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ctrlProps/ctrlProp3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158e70af3d60e3e5/Desktop/Excel/"/>
    </mc:Choice>
  </mc:AlternateContent>
  <xr:revisionPtr revIDLastSave="92" documentId="8_{FD956A48-DBCE-4427-8596-869448F7B898}" xr6:coauthVersionLast="47" xr6:coauthVersionMax="47" xr10:uidLastSave="{0037BBC9-9109-4DDD-B8BE-053C0CB45477}"/>
  <bookViews>
    <workbookView xWindow="-108" yWindow="-108" windowWidth="23256" windowHeight="12456" tabRatio="0" firstSheet="1" activeTab="1" xr2:uid="{00000000-000D-0000-FFFF-FFFF00000000}"/>
  </bookViews>
  <sheets>
    <sheet name="Menu2" sheetId="20" r:id="rId1"/>
    <sheet name="Menu" sheetId="13" r:id="rId2"/>
    <sheet name="Consultas" sheetId="10" r:id="rId3"/>
    <sheet name="Pesquisa" sheetId="12" r:id="rId4"/>
    <sheet name="Estoque" sheetId="2" r:id="rId5"/>
    <sheet name="Entradas" sheetId="3" r:id="rId6"/>
    <sheet name="Saídas" sheetId="4" r:id="rId7"/>
    <sheet name="Perdas" sheetId="5" r:id="rId8"/>
    <sheet name="F e C" sheetId="9" r:id="rId9"/>
    <sheet name="Ajustes" sheetId="8" r:id="rId10"/>
    <sheet name="Ajuda" sheetId="11" state="hidden" r:id="rId11"/>
    <sheet name="Aviso" sheetId="17" state="hidden" r:id="rId12"/>
    <sheet name="Versão" sheetId="7" state="hidden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4" hidden="1">Estoque!$A$2:$N$63</definedName>
    <definedName name="_xlnm.Extract" localSheetId="3">Pesquisa!$A$8:$N$8</definedName>
    <definedName name="CodigoFC" localSheetId="11">[1]!TabelaFC[Código]</definedName>
    <definedName name="CodigoFC">TabelaFC[Código]</definedName>
    <definedName name="colunadescrição" localSheetId="11">[1]!TabelaEstoque[Descrição]</definedName>
    <definedName name="colunadescrição">TabelaEstoque[Descrição]</definedName>
    <definedName name="conta1">[2]Ajustes!$C$9</definedName>
    <definedName name="conta2">[2]Ajustes!$C$10</definedName>
    <definedName name="conta3">[2]Ajustes!$C$11</definedName>
    <definedName name="conta4">[2]Ajustes!$C$12</definedName>
    <definedName name="conta5">[2]Ajustes!$C$13</definedName>
    <definedName name="conta6">[2]Ajustes!$C$14</definedName>
    <definedName name="conta7">[2]Ajustes!$C$15</definedName>
    <definedName name="conta8">[2]Ajustes!$C$16</definedName>
    <definedName name="conta9">[2]Ajustes!$C$17</definedName>
    <definedName name="contas">'[3]Controle de contas'!$A$3:$A$12</definedName>
    <definedName name="_xlnm.Criteria" localSheetId="3">Pesquisa!$A$4:$N$5</definedName>
    <definedName name="Medicao" localSheetId="11">[1]!TabelaMedicao[MEDIÇÃO]</definedName>
    <definedName name="Medicao">TabelaMedicao[MEDIÇÃO]</definedName>
    <definedName name="medidas" localSheetId="11">[4]!med[Medidas]</definedName>
    <definedName name="medidas">[5]!med[Medidas]</definedName>
    <definedName name="NomeDaConta">[2]!TabelaSaldoBancario[NOME DA CONTA]</definedName>
    <definedName name="NomeRessuprimento" localSheetId="11">[1]!Ressuprimento[RESSUPRIMENTO]</definedName>
    <definedName name="NomeRessuprimento">Ressuprimento[RESSUPRIMENTO]</definedName>
    <definedName name="NomeSubcategoria">CHOOSE(MATCH([2]!TabelaRegistroDeDespesas[[#This Row],[CATEGORIA]],[2]!TabelaCategorias[Tabela de Categorias],0),[2]!TabelaRendimentos[RENDIMENTOS],[2]!TabelaInvestimentos[INVESTIMENTOS],[2]!TabelaHabitação[HABITAÇÃO],[2]!TabelaAlimentação[ALIMENTAÇÃO],[2]!TabelaTransportes[TRANSPORTES],[2]!TabelaAutomóvel[AUTOMÓVEL],[2]!TabelaMarido[MARIDO],[2]!TabelaEsposa[ESPOSA],[2]!TabelaFilho1[FILHO 1],[2]!TabelaFilho2[FILHO 2],[2]!TabelaEducaçãoCultura[EDUCAÇÃO E CULTURA],[2]!TabelaLazer[LAZER],[2]!TabelaTrabalho[TRABALHO],[2]!TabelaEscritório[ESCRITÓRIO],[2]!TabelaSaudeFamilia[SAÚDA DA FAMÍLIA],[2]!TabelaAnimais[ANIMAIS],[2]!TabelaDoações[DOAÇÕES],[2]!TabelaFinanceiro[FINANCEIRO],[2]!TabelaExtra1[CATEGORIA EXTRA 1],[2]!TabelaExtra2[CATEGORIA EXTRA 2],[2]!TabelaExtra3[CATEGORIA EXTRA 3],[2]!TabelaExtra4[CATEGORIA EXTRA 4],[2]!TabelaExtra5[CATEGORIA EXTRA 5])</definedName>
    <definedName name="NomeTabelaCategorias">[2]!TabelaCategorias[Tabela de Categorias]</definedName>
    <definedName name="setores" localSheetId="11">[1]!TabSetores[SETOR]</definedName>
    <definedName name="setores">TabSetores[SETOR]</definedName>
    <definedName name="SKU" localSheetId="11">[1]!TabelaEstoque[SKU]</definedName>
    <definedName name="SKU">TabelaEstoque[SKU]</definedName>
    <definedName name="Subcategorias">CHOOSE(MATCH([6]!tblDespesas[[#This Row],[Categoria]],[6]!tblCategories[nome da categoria],0),[6]!tblCategoria1[Rendimentos],[6]!tblCategoria2[Sonhos/Investimentos],[6]!tblCategoria3[Habitação],[6]!tblCategoria4[Alimentação],[6]!tblCategoria5[Transporte],[6]!tblCategoria6[Automóvel],[6]!tblCategoria7[Moto],[6]!tblCategoria8[Gledson],[6]!tblCategoria9[Camila],[6]!tblCategoria10[Guilherme],[6]!tblCategoria11[Pedro],[6]!tblCategoria12[Educação/Cultura],[6]!tblCategoria13[Lazer],[6]!tblCategoria14[Trabalho],[6]!tblCategoria15[Escritório],[6]!tblCategoria16[Saúde Familiar],[6]!tblCategoria17[Animais],[6]!tblCategoria18[Doações],[6]!tblCategoria19[Bancos/Cartões],[6]!tblCategoria20[Diversos],[6]!tblCategoria21[Emprestimos],[6]!tblCategoria22[Podcast e sites],[6]!tblCategoria23[Extra 3],[6]!tblCategoria24[Extra 4])</definedName>
    <definedName name="SUBPESQUISA">CHOOSE(MATCH([2]R1!$E$4,[2]!TabelaCategorias[Tabela de Categorias],0),[2]!TabelaRendimentos[RENDIMENTOS],[2]!TabelaInvestimentos[INVESTIMENTOS],[2]!TabelaHabitação[HABITAÇÃO],[2]!TabelaAlimentação[ALIMENTAÇÃO],[2]!TabelaTransportes[TRANSPORTES],[2]!TabelaAutomóvel[AUTOMÓVEL],[2]!TabelaMarido[MARIDO],[2]!TabelaEsposa[ESPOSA],[2]!TabelaFilho1[FILHO 1],[2]!TabelaFilho2[FILHO 2],[2]!TabelaEducaçãoCultura[EDUCAÇÃO E CULTURA],[2]!TabelaLazer[LAZER],[2]!TabelaTrabalho[TRABALHO],[2]!TabelaEscritório[ESCRITÓRIO],[2]!TabelaSaudeFamilia[SAÚDA DA FAMÍLIA],[2]!TabelaAnimais[ANIMAIS],[2]!TabelaDoações[DOAÇÕES],[2]!TabelaFinanceiro[FINANCEIRO],[2]!TabelaExtra1[CATEGORIA EXTRA 1],[2]!TabelaExtra2[CATEGORIA EXTRA 2],[2]!TabelaExtra3[CATEGORIA EXTRA 3],[2]!TabelaExtra4[CATEGORIA EXTRA 4],[2]!TabelaExtra5[CATEGORIA EXTRA 5])</definedName>
    <definedName name="Tipo" localSheetId="11">[1]!TabelaTipo[TIPO]</definedName>
    <definedName name="Tipo">TabelaTipo[TIPO]</definedName>
    <definedName name="w" localSheetId="11">[4]!table[Tipo]</definedName>
    <definedName name="w">[5]!table[Tipo]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2" l="1"/>
  <c r="F5" i="12"/>
  <c r="B28" i="7"/>
  <c r="B20" i="3" l="1"/>
  <c r="C20" i="3"/>
  <c r="D20" i="3"/>
  <c r="B19" i="3"/>
  <c r="C19" i="3"/>
  <c r="D19" i="3"/>
  <c r="B18" i="3"/>
  <c r="C18" i="3"/>
  <c r="D18" i="3"/>
  <c r="B17" i="3"/>
  <c r="C17" i="3"/>
  <c r="D17" i="3"/>
  <c r="B16" i="3"/>
  <c r="C16" i="3"/>
  <c r="D16" i="3"/>
  <c r="B15" i="3"/>
  <c r="C15" i="3"/>
  <c r="D15" i="3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E22" i="10"/>
  <c r="B19" i="10"/>
  <c r="B18" i="10"/>
  <c r="D3" i="5"/>
  <c r="C3" i="5"/>
  <c r="B3" i="5"/>
  <c r="B3" i="4"/>
  <c r="D4" i="3"/>
  <c r="C4" i="3"/>
  <c r="B4" i="3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D5" i="3"/>
  <c r="D6" i="3"/>
  <c r="D7" i="3"/>
  <c r="D8" i="3"/>
  <c r="D9" i="3"/>
  <c r="D10" i="3"/>
  <c r="D11" i="3"/>
  <c r="D12" i="3"/>
  <c r="D13" i="3"/>
  <c r="D14" i="3"/>
  <c r="C5" i="3"/>
  <c r="C6" i="3"/>
  <c r="C7" i="3"/>
  <c r="C8" i="3"/>
  <c r="C9" i="3"/>
  <c r="C10" i="3"/>
  <c r="C11" i="3"/>
  <c r="C12" i="3"/>
  <c r="C13" i="3"/>
  <c r="C14" i="3"/>
  <c r="B5" i="3"/>
  <c r="B6" i="3"/>
  <c r="B7" i="3"/>
  <c r="B8" i="3"/>
  <c r="B9" i="3"/>
  <c r="B10" i="3"/>
  <c r="B11" i="3"/>
  <c r="B12" i="3"/>
  <c r="B13" i="3"/>
  <c r="B14" i="3"/>
  <c r="B5" i="7" l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C1" i="7" s="1"/>
  <c r="B27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4" i="7"/>
  <c r="H11" i="20" l="1"/>
  <c r="N14" i="2" l="1"/>
  <c r="B8" i="12"/>
  <c r="C8" i="12"/>
  <c r="D8" i="12"/>
  <c r="E8" i="12"/>
  <c r="F8" i="12"/>
  <c r="G8" i="12"/>
  <c r="H8" i="12"/>
  <c r="I8" i="12"/>
  <c r="J8" i="12"/>
  <c r="K8" i="12"/>
  <c r="L8" i="12"/>
  <c r="M8" i="12"/>
  <c r="N8" i="12"/>
  <c r="A8" i="12"/>
  <c r="B4" i="12"/>
  <c r="C4" i="12"/>
  <c r="D4" i="12"/>
  <c r="E4" i="12"/>
  <c r="F4" i="12"/>
  <c r="G4" i="12"/>
  <c r="H4" i="12"/>
  <c r="I4" i="12"/>
  <c r="J4" i="12"/>
  <c r="K4" i="12"/>
  <c r="L4" i="12"/>
  <c r="M4" i="12"/>
  <c r="N4" i="12"/>
  <c r="A4" i="12"/>
  <c r="C16" i="10"/>
  <c r="B17" i="10" s="1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B2" i="10"/>
  <c r="H16" i="2"/>
  <c r="I16" i="2"/>
  <c r="J16" i="2"/>
  <c r="H15" i="2"/>
  <c r="I15" i="2"/>
  <c r="J15" i="2"/>
  <c r="H14" i="2"/>
  <c r="I14" i="2"/>
  <c r="J14" i="2"/>
  <c r="H13" i="2"/>
  <c r="I13" i="2"/>
  <c r="J13" i="2"/>
  <c r="H12" i="2"/>
  <c r="I12" i="2"/>
  <c r="J12" i="2"/>
  <c r="E21" i="10" l="1"/>
  <c r="B4" i="10"/>
  <c r="B12" i="10"/>
  <c r="B5" i="10"/>
  <c r="B13" i="10"/>
  <c r="B6" i="10"/>
  <c r="K34" i="2"/>
  <c r="K46" i="2"/>
  <c r="K42" i="2"/>
  <c r="K30" i="2"/>
  <c r="K26" i="2"/>
  <c r="K22" i="2"/>
  <c r="K18" i="2"/>
  <c r="K54" i="2"/>
  <c r="K50" i="2"/>
  <c r="K38" i="2"/>
  <c r="K21" i="2"/>
  <c r="K61" i="2"/>
  <c r="K57" i="2"/>
  <c r="K53" i="2"/>
  <c r="K49" i="2"/>
  <c r="K45" i="2"/>
  <c r="K41" i="2"/>
  <c r="K37" i="2"/>
  <c r="K33" i="2"/>
  <c r="K29" i="2"/>
  <c r="K25" i="2"/>
  <c r="K62" i="2"/>
  <c r="K17" i="2"/>
  <c r="K59" i="2"/>
  <c r="K36" i="2"/>
  <c r="K20" i="2"/>
  <c r="K52" i="2"/>
  <c r="K63" i="2"/>
  <c r="K55" i="2"/>
  <c r="K51" i="2"/>
  <c r="K47" i="2"/>
  <c r="K43" i="2"/>
  <c r="K39" i="2"/>
  <c r="K35" i="2"/>
  <c r="K31" i="2"/>
  <c r="K27" i="2"/>
  <c r="K23" i="2"/>
  <c r="K19" i="2"/>
  <c r="K60" i="2"/>
  <c r="K56" i="2"/>
  <c r="K48" i="2"/>
  <c r="K44" i="2"/>
  <c r="K40" i="2"/>
  <c r="K32" i="2"/>
  <c r="K28" i="2"/>
  <c r="K24" i="2"/>
  <c r="K58" i="2"/>
  <c r="K15" i="2"/>
  <c r="K16" i="2"/>
  <c r="K14" i="2"/>
  <c r="K13" i="2"/>
  <c r="N13" i="2" s="1"/>
  <c r="K12" i="2"/>
  <c r="N12" i="2" s="1"/>
  <c r="H11" i="2"/>
  <c r="I11" i="2"/>
  <c r="J11" i="2"/>
  <c r="K11" i="2" l="1"/>
  <c r="N11" i="2" s="1"/>
  <c r="J3" i="2" l="1"/>
  <c r="B22" i="10" s="1"/>
  <c r="J4" i="2"/>
  <c r="J5" i="2"/>
  <c r="J6" i="2"/>
  <c r="J7" i="2"/>
  <c r="J8" i="2"/>
  <c r="J9" i="2"/>
  <c r="J10" i="2"/>
  <c r="I3" i="2"/>
  <c r="B21" i="10" s="1"/>
  <c r="I4" i="2"/>
  <c r="I5" i="2"/>
  <c r="B8" i="10" s="1"/>
  <c r="I6" i="2"/>
  <c r="I7" i="2"/>
  <c r="I8" i="2"/>
  <c r="I9" i="2"/>
  <c r="I10" i="2"/>
  <c r="H3" i="2"/>
  <c r="B20" i="10" s="1"/>
  <c r="H4" i="2"/>
  <c r="H5" i="2"/>
  <c r="B7" i="10" s="1"/>
  <c r="H6" i="2"/>
  <c r="H7" i="2"/>
  <c r="H8" i="2"/>
  <c r="H9" i="2"/>
  <c r="H10" i="2"/>
  <c r="B9" i="10" l="1"/>
  <c r="K6" i="2"/>
  <c r="N6" i="2" s="1"/>
  <c r="K9" i="2"/>
  <c r="N9" i="2" s="1"/>
  <c r="K5" i="2"/>
  <c r="K10" i="2"/>
  <c r="N10" i="2" s="1"/>
  <c r="K7" i="2"/>
  <c r="N7" i="2" s="1"/>
  <c r="K3" i="2"/>
  <c r="K8" i="2"/>
  <c r="N8" i="2" s="1"/>
  <c r="K4" i="2"/>
  <c r="N4" i="2" s="1"/>
  <c r="B11" i="10" s="1"/>
  <c r="B10" i="10" l="1"/>
  <c r="N5" i="2"/>
  <c r="E18" i="10"/>
  <c r="N3" i="2"/>
  <c r="E19" i="10" s="1"/>
  <c r="H9" i="20"/>
  <c r="H15" i="20" l="1"/>
  <c r="D15" i="20" s="1"/>
</calcChain>
</file>

<file path=xl/sharedStrings.xml><?xml version="1.0" encoding="utf-8"?>
<sst xmlns="http://schemas.openxmlformats.org/spreadsheetml/2006/main" count="596" uniqueCount="290">
  <si>
    <t>SKU</t>
  </si>
  <si>
    <t>Descrição</t>
  </si>
  <si>
    <t>Tipo</t>
  </si>
  <si>
    <t>Medição</t>
  </si>
  <si>
    <t>Entradas</t>
  </si>
  <si>
    <t>Saídas</t>
  </si>
  <si>
    <t>Percas</t>
  </si>
  <si>
    <t>Saldo</t>
  </si>
  <si>
    <t>Mínimo</t>
  </si>
  <si>
    <t>Resuprimento</t>
  </si>
  <si>
    <t>Quantidade</t>
  </si>
  <si>
    <t>Retirante</t>
  </si>
  <si>
    <t>Setor</t>
  </si>
  <si>
    <t>Data de pedido</t>
  </si>
  <si>
    <t>Preço de compra</t>
  </si>
  <si>
    <t>Data</t>
  </si>
  <si>
    <t>Motivo</t>
  </si>
  <si>
    <t>Versão da planilha</t>
  </si>
  <si>
    <t>Versão</t>
  </si>
  <si>
    <t>Melhoria</t>
  </si>
  <si>
    <t>COMEÇO DA PLANILHA</t>
  </si>
  <si>
    <t>Controle de versão implantado</t>
  </si>
  <si>
    <t>Controle centralizado de configurações implantado na Planilha "Configuração"</t>
  </si>
  <si>
    <t>Controle de estoque informando os status "Ideal", "Comprar" e "Excesso" nas recomendações</t>
  </si>
  <si>
    <t>Criado o fórum para suporte e sugestões para futuras atualizações na planilha - www.inovar.net/meudinheiro</t>
  </si>
  <si>
    <t>Adicionado 5 novas colunas para informações personalizadas pelo usuário</t>
  </si>
  <si>
    <t>Adicionado os campos RETIRANTE E SETOR na planilha Saídas</t>
  </si>
  <si>
    <t>Adicionado a pesquisa por lista de nomes e SKU na planilha Consultas</t>
  </si>
  <si>
    <t>Fornecedor</t>
  </si>
  <si>
    <t>PLANILHA DE AJUSTES</t>
  </si>
  <si>
    <t>TIPO</t>
  </si>
  <si>
    <t>MEDIÇÃO</t>
  </si>
  <si>
    <t>Gramas</t>
  </si>
  <si>
    <t>Pacote</t>
  </si>
  <si>
    <t>Saco</t>
  </si>
  <si>
    <t>Observação</t>
  </si>
  <si>
    <t>produto vencido</t>
  </si>
  <si>
    <t>Máximo</t>
  </si>
  <si>
    <t>Tipos</t>
  </si>
  <si>
    <t>Data de entrega</t>
  </si>
  <si>
    <t>José</t>
  </si>
  <si>
    <t>SETOR</t>
  </si>
  <si>
    <t>Escritório</t>
  </si>
  <si>
    <t>Vendas</t>
  </si>
  <si>
    <t>Status</t>
  </si>
  <si>
    <t>Inícil da atualização da planilha</t>
  </si>
  <si>
    <t>Produção do curso disponível em www.inovar.net/cursos</t>
  </si>
  <si>
    <t>Código</t>
  </si>
  <si>
    <t>Nome</t>
  </si>
  <si>
    <t>Sobrenome</t>
  </si>
  <si>
    <t>E-mail</t>
  </si>
  <si>
    <t>Telefone</t>
  </si>
  <si>
    <t>Endereço</t>
  </si>
  <si>
    <t>Silva</t>
  </si>
  <si>
    <t>Cliente</t>
  </si>
  <si>
    <t>email2@inovar.net</t>
  </si>
  <si>
    <t>emailteste@inovar.net</t>
  </si>
  <si>
    <t>rua X,100</t>
  </si>
  <si>
    <t>Roberto</t>
  </si>
  <si>
    <t>rua H,500</t>
  </si>
  <si>
    <t>Código Forcenedor</t>
  </si>
  <si>
    <t>Nome Fornecedor</t>
  </si>
  <si>
    <t>Código Fornecedor</t>
  </si>
  <si>
    <r>
      <t xml:space="preserve">Lançamento da nova Planilha no site </t>
    </r>
    <r>
      <rPr>
        <b/>
        <sz val="11"/>
        <color theme="1"/>
        <rFont val="Calibri"/>
        <family val="2"/>
        <scheme val="minor"/>
      </rPr>
      <t>www.inovar.net</t>
    </r>
    <r>
      <rPr>
        <sz val="11"/>
        <color theme="1"/>
        <rFont val="Calibri"/>
        <family val="2"/>
        <scheme val="minor"/>
      </rPr>
      <t xml:space="preserve"> e do curso no site </t>
    </r>
    <r>
      <rPr>
        <b/>
        <sz val="11"/>
        <color theme="1"/>
        <rFont val="Calibri"/>
        <family val="2"/>
        <scheme val="minor"/>
      </rPr>
      <t>www.inovar.net/cursos</t>
    </r>
  </si>
  <si>
    <t>Diversos</t>
  </si>
  <si>
    <t>Unidade</t>
  </si>
  <si>
    <t>Kilo</t>
  </si>
  <si>
    <t>Peça</t>
  </si>
  <si>
    <t>Metro</t>
  </si>
  <si>
    <t>Caixa</t>
  </si>
  <si>
    <t>Planilha de Controle de Estoques</t>
  </si>
  <si>
    <t>Autor</t>
  </si>
  <si>
    <t>Gledson Leitão</t>
  </si>
  <si>
    <t>Site</t>
  </si>
  <si>
    <t>Usa a Planilha com versão anterior?</t>
  </si>
  <si>
    <t>Vídeo ensinando como importar os dados para a nova versão.</t>
  </si>
  <si>
    <t>Curso Excel na Prática.</t>
  </si>
  <si>
    <t>http://inovar.net/curso-planilha-de-controle-de-estoques</t>
  </si>
  <si>
    <t>Clique no link abaixo e conheça detalhes do curso.</t>
  </si>
  <si>
    <t>Escolha o produto nas listas acima.</t>
  </si>
  <si>
    <t xml:space="preserve">Deseja sugerir uma melhoria para próxima atualização? </t>
  </si>
  <si>
    <t>DESCRIÇÃO</t>
  </si>
  <si>
    <t>Adicionado nome do fornecedor na planilha de consultas</t>
  </si>
  <si>
    <t>Digite o SKU    &gt;&gt;&gt;</t>
  </si>
  <si>
    <t>Adicionada outro campo de pesquisa digitando o SKU na planilha Consultas</t>
  </si>
  <si>
    <t>Resultado da busca</t>
  </si>
  <si>
    <t>Comprar Agora</t>
  </si>
  <si>
    <t>Planilha de pesquisa criada e aperfeiçoada</t>
  </si>
  <si>
    <t>RESSUPRIMENTO</t>
  </si>
  <si>
    <t>Quantidade Ideal</t>
  </si>
  <si>
    <t>Produto em EXCESSO</t>
  </si>
  <si>
    <t>Criada tabela para personalização das mensagens de ressuprimento na planilha Ajustes</t>
  </si>
  <si>
    <t>Digite ou escolha abaixo os critérios de pesquisa</t>
  </si>
  <si>
    <t>Criada a opção de buscar apenas digitando o SKU, Buscando por outras opções, e limpar pesquisa</t>
  </si>
  <si>
    <t>Criada planilha para menu geral</t>
  </si>
  <si>
    <t>ESSA PLANILHA TRABALHA COM MACROS, PARA HABILITAR TODOS OS RECURSOS SIGA OS PASSOS ABAIXO:</t>
  </si>
  <si>
    <t>CLIQUE EM OPÇÕES COMO MOSTRA A IMAGEM ACIMA</t>
  </si>
  <si>
    <t>MARQUE A OPÇÃO HABILITAR ESTE CONTEÚDO EM SEGUIDA CLIQUE EM OK</t>
  </si>
  <si>
    <t>Criada a planilha de aviso explicando como habilitar macros</t>
  </si>
  <si>
    <t>Criada a Planilha ajuda com informações sobre suporte técnico, loja e site</t>
  </si>
  <si>
    <t>COMEÇE POR AQUI</t>
  </si>
  <si>
    <t>MENU PRINCIPAL</t>
  </si>
  <si>
    <t>AJUDA</t>
  </si>
  <si>
    <t>PÁGINA DA PLANILHA</t>
  </si>
  <si>
    <t>Site Inovar.net</t>
  </si>
  <si>
    <t>TEM ALGUMA SUGESTÃO</t>
  </si>
  <si>
    <t>Envie sua sugestão clicando abaixo</t>
  </si>
  <si>
    <t/>
  </si>
  <si>
    <t>Número da Nota</t>
  </si>
  <si>
    <t>Use o link ao lado &gt;&gt;&gt; para me enviar uma sugestão.</t>
  </si>
  <si>
    <t xml:space="preserve"> </t>
  </si>
  <si>
    <t>1.1</t>
  </si>
  <si>
    <t>1.2</t>
  </si>
  <si>
    <t>Estoque</t>
  </si>
  <si>
    <t>1.3</t>
  </si>
  <si>
    <t>Fornecedores e clientes</t>
  </si>
  <si>
    <t>Consulta simples</t>
  </si>
  <si>
    <t>4.1</t>
  </si>
  <si>
    <t>Pesquisa</t>
  </si>
  <si>
    <t>Cadastro</t>
  </si>
  <si>
    <t>1.4</t>
  </si>
  <si>
    <t>|Pesquisar no estoque</t>
  </si>
  <si>
    <t>Ajustes</t>
  </si>
  <si>
    <t>Ajuda</t>
  </si>
  <si>
    <t>Aviso</t>
  </si>
  <si>
    <t>Site do desenvolvedor</t>
  </si>
  <si>
    <t>*</t>
  </si>
  <si>
    <t>Outros projetos</t>
  </si>
  <si>
    <t>Fórum</t>
  </si>
  <si>
    <t>Controle de estoques</t>
  </si>
  <si>
    <t>Criada nova página de Menus</t>
  </si>
  <si>
    <t>O melhor sistema é quele que melhor atende as necessidadedas da empresa</t>
  </si>
  <si>
    <t>Quantidade de itens no estoque</t>
  </si>
  <si>
    <t>Valor dos produto no estoque (em breve)</t>
  </si>
  <si>
    <t>Perdas</t>
  </si>
  <si>
    <t>Loja Inovar.net</t>
  </si>
  <si>
    <t>Variedade de itens em estoque</t>
  </si>
  <si>
    <t>PERSONALIZAÇÃO</t>
  </si>
  <si>
    <t>ENTRADAS DE PRODUTOS</t>
  </si>
  <si>
    <t>SAÍDAS DE PRODUTOS</t>
  </si>
  <si>
    <t>PERDAS DE PRODUTOS</t>
  </si>
  <si>
    <t>FORNECEDORES E CLIENTES</t>
  </si>
  <si>
    <t>CONSULTAS DE PRODUTO</t>
  </si>
  <si>
    <t>PESQUISA NO ESTOQUE</t>
  </si>
  <si>
    <t>PESQUISAR ENTRADAS</t>
  </si>
  <si>
    <t>PESQUISAR SAÍDAS</t>
  </si>
  <si>
    <t>PESQUISAR PERDAS</t>
  </si>
  <si>
    <t>SUPORTE TÉCNICO</t>
  </si>
  <si>
    <t>1.0.0</t>
  </si>
  <si>
    <t>1.0.1</t>
  </si>
  <si>
    <t>1.0.2</t>
  </si>
  <si>
    <t>1.0.3</t>
  </si>
  <si>
    <t>1.0.4</t>
  </si>
  <si>
    <t>1.0.5</t>
  </si>
  <si>
    <t>1.0.6</t>
  </si>
  <si>
    <t>1.0.7</t>
  </si>
  <si>
    <t>1.0.8</t>
  </si>
  <si>
    <t>1.0.9</t>
  </si>
  <si>
    <t>1.1.0</t>
  </si>
  <si>
    <t>1.1.1</t>
  </si>
  <si>
    <t>1.1.2</t>
  </si>
  <si>
    <t>1.1.3</t>
  </si>
  <si>
    <t>1.1.4</t>
  </si>
  <si>
    <t>1.1.5</t>
  </si>
  <si>
    <t>1.1.6</t>
  </si>
  <si>
    <t>1.1.7</t>
  </si>
  <si>
    <t>1.1.8</t>
  </si>
  <si>
    <t>1.1.9</t>
  </si>
  <si>
    <t>1.2.0</t>
  </si>
  <si>
    <t>1.2.1</t>
  </si>
  <si>
    <t>1.2.2</t>
  </si>
  <si>
    <t>1.2.3</t>
  </si>
  <si>
    <t>1.2.4</t>
  </si>
  <si>
    <t>1.2.5</t>
  </si>
  <si>
    <t>1.2.6</t>
  </si>
  <si>
    <t>1.2.7</t>
  </si>
  <si>
    <t>1.2.8</t>
  </si>
  <si>
    <t>1.2.9</t>
  </si>
  <si>
    <t>1.3.0</t>
  </si>
  <si>
    <t>1.3.1</t>
  </si>
  <si>
    <t>1.3.2</t>
  </si>
  <si>
    <t>1.3.3</t>
  </si>
  <si>
    <t>1.3.4</t>
  </si>
  <si>
    <t>1.3.5</t>
  </si>
  <si>
    <t>1.3.6</t>
  </si>
  <si>
    <t>1.3.7</t>
  </si>
  <si>
    <t>1.3.8</t>
  </si>
  <si>
    <t>1.3.9</t>
  </si>
  <si>
    <t>1.4.0</t>
  </si>
  <si>
    <t>1.4.1</t>
  </si>
  <si>
    <t>1.4.2</t>
  </si>
  <si>
    <t>1.4.3</t>
  </si>
  <si>
    <t>1.4.4</t>
  </si>
  <si>
    <t>1.4.5</t>
  </si>
  <si>
    <t>1.4.6</t>
  </si>
  <si>
    <t>1.4.7</t>
  </si>
  <si>
    <t>1.4.8</t>
  </si>
  <si>
    <t>1.4.9</t>
  </si>
  <si>
    <t>1.5.0</t>
  </si>
  <si>
    <t>1.5.1</t>
  </si>
  <si>
    <t>1.5.2</t>
  </si>
  <si>
    <t>1.5.3</t>
  </si>
  <si>
    <t>1.5.4</t>
  </si>
  <si>
    <t>1.5.5</t>
  </si>
  <si>
    <t>1.5.6</t>
  </si>
  <si>
    <t>1.5.7</t>
  </si>
  <si>
    <t>1.5.8</t>
  </si>
  <si>
    <t>1.5.9</t>
  </si>
  <si>
    <t>1.6.0</t>
  </si>
  <si>
    <t>1.6.1</t>
  </si>
  <si>
    <t>1.6.2</t>
  </si>
  <si>
    <t>1.6.3</t>
  </si>
  <si>
    <t>1.6.4</t>
  </si>
  <si>
    <t>1.6.5</t>
  </si>
  <si>
    <t>1.6.6</t>
  </si>
  <si>
    <t>1.6.7</t>
  </si>
  <si>
    <t>1.6.8</t>
  </si>
  <si>
    <t>1.6.9</t>
  </si>
  <si>
    <t>1.7.0</t>
  </si>
  <si>
    <t>1.7.1</t>
  </si>
  <si>
    <t>1.7.2</t>
  </si>
  <si>
    <t>1.7.3</t>
  </si>
  <si>
    <t>1.7.4</t>
  </si>
  <si>
    <t>1.7.5</t>
  </si>
  <si>
    <t>1.7.6</t>
  </si>
  <si>
    <t>1.7.7</t>
  </si>
  <si>
    <t>1.7.8</t>
  </si>
  <si>
    <t>1.7.9</t>
  </si>
  <si>
    <t>1.8.0</t>
  </si>
  <si>
    <t>1.8.1</t>
  </si>
  <si>
    <t>1.8.2</t>
  </si>
  <si>
    <t>1.8.3</t>
  </si>
  <si>
    <t>1.8.4</t>
  </si>
  <si>
    <t>1.8.5</t>
  </si>
  <si>
    <t>1.8.6</t>
  </si>
  <si>
    <t>1.8.7</t>
  </si>
  <si>
    <t>1.8.8</t>
  </si>
  <si>
    <t>1.8.9</t>
  </si>
  <si>
    <t>1.9.0</t>
  </si>
  <si>
    <t>1.9.1</t>
  </si>
  <si>
    <t>1.9.2</t>
  </si>
  <si>
    <t>1.9.3</t>
  </si>
  <si>
    <t>1.9.4</t>
  </si>
  <si>
    <t>1.9.5</t>
  </si>
  <si>
    <t>1.9.6</t>
  </si>
  <si>
    <t>1.9.7</t>
  </si>
  <si>
    <t>1.9.8</t>
  </si>
  <si>
    <t>1.9.9</t>
  </si>
  <si>
    <t>2.0.0</t>
  </si>
  <si>
    <t>Nova forma de contagem da versão da planilha, detalhando melhor cada passo e evolução</t>
  </si>
  <si>
    <t>Versão completa da Planilha de controle de estoque clique aqui.</t>
  </si>
  <si>
    <t>Na versão completa você tem:</t>
  </si>
  <si>
    <t>AJUSTES PERSONALIZADOS</t>
  </si>
  <si>
    <t>Funções corrigidas nas planilhas de entradas, saídas e perdas.</t>
  </si>
  <si>
    <t>Etiqueta de composição P</t>
  </si>
  <si>
    <t>Etiqueta de composição M</t>
  </si>
  <si>
    <t>Etiqueta de composição G</t>
  </si>
  <si>
    <t>Etiqueta de composição GG</t>
  </si>
  <si>
    <t>camiseta</t>
  </si>
  <si>
    <t>fivela</t>
  </si>
  <si>
    <t>linha branca</t>
  </si>
  <si>
    <t>fio branco</t>
  </si>
  <si>
    <t>linha azul</t>
  </si>
  <si>
    <t>fio azul</t>
  </si>
  <si>
    <t>short</t>
  </si>
  <si>
    <t>A versão completa dessa planilha está disponível no site inovar.net - clique aqui</t>
  </si>
  <si>
    <t>Curso ensinando passo a passo a criar uma planilha igual a essa</t>
  </si>
  <si>
    <t>Conheça a versão completa desta planilha clique abaixo.</t>
  </si>
  <si>
    <t>A versão completa possui vários recursos não disponíveis aqui, além disso possui suporte técnico prioritário.</t>
  </si>
  <si>
    <t>Observação: A imagem acima de refere ao Excel 2007 e 2010.</t>
  </si>
  <si>
    <t>http://www.inovar.net/</t>
  </si>
  <si>
    <t>E muito mais...</t>
  </si>
  <si>
    <t>Revisão de recursos e links, melhoria de desempenho.</t>
  </si>
  <si>
    <t>Menu 1</t>
  </si>
  <si>
    <t>Clique aqui.</t>
  </si>
  <si>
    <t>Uso interno</t>
  </si>
  <si>
    <t>Produto Pronto</t>
  </si>
  <si>
    <t>Materia Prima</t>
  </si>
  <si>
    <t>Removido aviso de informações de inclusão de informações pessoais.</t>
  </si>
  <si>
    <t>Basta Clicar no botão abaixo.</t>
  </si>
  <si>
    <t>A Planilha possui duas telas de menus, como defino qual usar?</t>
  </si>
  <si>
    <t>Adicionada função para mudar Tela principal clicando em um botão na parte de ajuda.</t>
  </si>
  <si>
    <t>teste</t>
  </si>
  <si>
    <t>Teste</t>
  </si>
  <si>
    <t>Dígite o código abaixo</t>
  </si>
  <si>
    <t>Edy</t>
  </si>
  <si>
    <t>Lauro</t>
  </si>
  <si>
    <t>email@email.com</t>
  </si>
  <si>
    <t>Rua de Exemplo, sem número, centro, Cidade</t>
  </si>
  <si>
    <t>PLANILHA CONTROLE DE ESTOQUE SIMPLIFICADO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</si>
</sst>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R$&quot;\ * #,##0.00_-;\-&quot;R$&quot;\ * #,##0.00_-;_-&quot;R$&quot;\ * &quot;-&quot;??_-;_-@_-"/>
    <numFmt numFmtId="164" formatCode="0.0"/>
    <numFmt numFmtId="165" formatCode="_(* #,##0.00_);[Red]_(* \(#,##0.00\);_(* &quot;-&quot;??_);_(@_)"/>
    <numFmt numFmtId="166" formatCode="000000"/>
    <numFmt numFmtId="167" formatCode="00000"/>
  </numFmts>
  <fonts count="8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theme="3" tint="0.24994659260841701"/>
      <name val="Cambria"/>
      <family val="2"/>
      <scheme val="major"/>
    </font>
    <font>
      <sz val="10"/>
      <name val="Calibri"/>
      <family val="2"/>
      <scheme val="minor"/>
    </font>
    <font>
      <sz val="12"/>
      <color indexed="8"/>
      <name val="Arial"/>
      <family val="2"/>
    </font>
    <font>
      <b/>
      <sz val="16"/>
      <color theme="3" tint="0.749961851863155"/>
      <name val="Calibri"/>
      <family val="2"/>
      <scheme val="minor"/>
    </font>
    <font>
      <b/>
      <sz val="24"/>
      <color theme="5" tint="-0.24994659260841701"/>
      <name val="Cambria"/>
      <family val="2"/>
      <scheme val="major"/>
    </font>
    <font>
      <b/>
      <sz val="14"/>
      <color theme="3" tint="0.24994659260841701"/>
      <name val="Cambria"/>
      <family val="2"/>
      <scheme val="major"/>
    </font>
    <font>
      <b/>
      <sz val="11"/>
      <color theme="3" tint="0.24994659260841701"/>
      <name val="Cambria"/>
      <family val="2"/>
      <scheme val="major"/>
    </font>
    <font>
      <sz val="36"/>
      <color theme="3" tint="0.24994659260841701"/>
      <name val="Cambria"/>
      <family val="2"/>
      <scheme val="maj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u/>
      <sz val="11"/>
      <color theme="10"/>
      <name val="Calibri"/>
      <family val="2"/>
    </font>
    <font>
      <b/>
      <sz val="16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5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theme="1" tint="0.34998626667073579"/>
      <name val="Arial"/>
      <family val="2"/>
    </font>
    <font>
      <u/>
      <sz val="9.9"/>
      <color theme="10"/>
      <name val="Calibri"/>
      <family val="2"/>
    </font>
    <font>
      <b/>
      <u/>
      <sz val="10"/>
      <color theme="10"/>
      <name val="Arial"/>
      <family val="2"/>
    </font>
    <font>
      <sz val="11"/>
      <color indexed="8"/>
      <name val="Arial"/>
      <family val="2"/>
    </font>
    <font>
      <sz val="11"/>
      <color indexed="9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indexed="12"/>
      <name val="Arial"/>
      <family val="2"/>
    </font>
    <font>
      <sz val="10"/>
      <color theme="1"/>
      <name val="Arial"/>
      <family val="2"/>
    </font>
    <font>
      <sz val="12"/>
      <name val="宋体"/>
      <charset val="134"/>
    </font>
    <font>
      <sz val="10"/>
      <color theme="0" tint="-0.34998626667073579"/>
      <name val="Calibri"/>
      <family val="2"/>
      <scheme val="minor"/>
    </font>
    <font>
      <b/>
      <sz val="10.5"/>
      <color theme="0" tint="-0.34998626667073579"/>
      <name val="Cambria"/>
      <family val="1"/>
      <scheme val="major"/>
    </font>
    <font>
      <b/>
      <sz val="13"/>
      <color theme="1"/>
      <name val="Arial"/>
      <family val="2"/>
    </font>
    <font>
      <b/>
      <sz val="22"/>
      <color theme="0" tint="-0.34998626667073579"/>
      <name val="Cambria"/>
      <family val="2"/>
      <scheme val="major"/>
    </font>
    <font>
      <b/>
      <sz val="30"/>
      <color theme="4"/>
      <name val="Cambria"/>
      <family val="2"/>
      <scheme val="major"/>
    </font>
    <font>
      <sz val="11"/>
      <color indexed="17"/>
      <name val="Arial"/>
      <family val="2"/>
    </font>
    <font>
      <sz val="11"/>
      <color indexed="20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1"/>
      <color indexed="9"/>
      <name val="Arial"/>
      <family val="2"/>
    </font>
    <font>
      <b/>
      <sz val="11"/>
      <color indexed="8"/>
      <name val="Arial"/>
      <family val="2"/>
    </font>
    <font>
      <i/>
      <sz val="11"/>
      <color indexed="23"/>
      <name val="Arial"/>
      <family val="2"/>
    </font>
    <font>
      <sz val="11"/>
      <color indexed="10"/>
      <name val="Arial"/>
      <family val="2"/>
    </font>
    <font>
      <b/>
      <sz val="11"/>
      <color indexed="52"/>
      <name val="Arial"/>
      <family val="2"/>
    </font>
    <font>
      <sz val="11"/>
      <color indexed="62"/>
      <name val="Arial"/>
      <family val="2"/>
    </font>
    <font>
      <b/>
      <sz val="11"/>
      <color indexed="63"/>
      <name val="Arial"/>
      <family val="2"/>
    </font>
    <font>
      <sz val="11"/>
      <color indexed="60"/>
      <name val="Arial"/>
      <family val="2"/>
    </font>
    <font>
      <sz val="11"/>
      <color indexed="52"/>
      <name val="Arial"/>
      <family val="2"/>
    </font>
    <font>
      <u/>
      <sz val="14"/>
      <color theme="10"/>
      <name val="Calibri"/>
      <family val="2"/>
    </font>
    <font>
      <sz val="11"/>
      <color theme="0" tint="-0.14999847407452621"/>
      <name val="Calibri"/>
      <family val="2"/>
      <scheme val="minor"/>
    </font>
    <font>
      <sz val="18"/>
      <color theme="0" tint="-0.14999847407452621"/>
      <name val="Calibri"/>
      <family val="2"/>
      <scheme val="minor"/>
    </font>
    <font>
      <b/>
      <sz val="12"/>
      <color theme="0" tint="-0.14999847407452621"/>
      <name val="Calibri"/>
      <family val="2"/>
      <scheme val="minor"/>
    </font>
    <font>
      <sz val="28"/>
      <color theme="0" tint="-0.1499984740745262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b/>
      <sz val="11"/>
      <color theme="1"/>
      <name val="Arial Black"/>
      <family val="2"/>
    </font>
    <font>
      <b/>
      <sz val="14"/>
      <color theme="0"/>
      <name val="Arial Black"/>
      <family val="2"/>
    </font>
    <font>
      <b/>
      <sz val="14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b/>
      <sz val="36"/>
      <color theme="0" tint="-0.249977111117893"/>
      <name val="Calibri"/>
      <family val="2"/>
      <scheme val="minor"/>
    </font>
    <font>
      <u/>
      <sz val="14"/>
      <color theme="0"/>
      <name val="Calibri"/>
      <family val="2"/>
    </font>
    <font>
      <u/>
      <sz val="18"/>
      <color theme="0"/>
      <name val="Calibri"/>
      <family val="2"/>
    </font>
    <font>
      <sz val="11"/>
      <color rgb="FF000000"/>
      <name val="Calibri"/>
      <family val="2"/>
    </font>
    <font>
      <b/>
      <sz val="18"/>
      <color theme="1"/>
      <name val="Arial Black"/>
      <family val="2"/>
    </font>
  </fonts>
  <fills count="4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749992370372631"/>
        <bgColor indexed="65"/>
      </patternFill>
    </fill>
    <fill>
      <patternFill patternType="solid">
        <fgColor theme="5"/>
        <bgColor auto="1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27"/>
      </patternFill>
    </fill>
    <fill>
      <patternFill patternType="solid">
        <fgColor theme="3" tint="0.2499465926084170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</fills>
  <borders count="4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3" tint="0.24994659260841701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/>
      <right/>
      <top/>
      <bottom style="thin">
        <color theme="3" tint="0.24994659260841701"/>
      </bottom>
      <diagonal/>
    </border>
    <border>
      <left/>
      <right/>
      <top/>
      <bottom style="dashed">
        <color theme="3" tint="0.499984740745262"/>
      </bottom>
      <diagonal/>
    </border>
    <border>
      <left/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4" tint="0.39997558519241921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 style="thin">
        <color theme="1" tint="0.499984740745262"/>
      </top>
      <bottom/>
      <diagonal/>
    </border>
  </borders>
  <cellStyleXfs count="92">
    <xf numFmtId="0" fontId="0" fillId="0" borderId="0"/>
    <xf numFmtId="0" fontId="1" fillId="0" borderId="0"/>
    <xf numFmtId="0" fontId="1" fillId="0" borderId="0"/>
    <xf numFmtId="0" fontId="1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6" fillId="5" borderId="0"/>
    <xf numFmtId="0" fontId="3" fillId="6" borderId="0"/>
    <xf numFmtId="0" fontId="7" fillId="7" borderId="2" applyNumberFormat="0" applyProtection="0">
      <alignment horizontal="left" vertical="center" indent="1"/>
    </xf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8" fillId="8" borderId="0">
      <alignment vertical="center"/>
    </xf>
    <xf numFmtId="0" fontId="1" fillId="0" borderId="0"/>
    <xf numFmtId="0" fontId="1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9" fillId="9" borderId="3" applyNumberFormat="0" applyProtection="0">
      <alignment horizontal="left" vertical="center" wrapText="1" indent="1"/>
    </xf>
    <xf numFmtId="0" fontId="10" fillId="10" borderId="0" applyNumberFormat="0" applyProtection="0">
      <alignment vertical="center"/>
    </xf>
    <xf numFmtId="0" fontId="11" fillId="10" borderId="0" applyNumberFormat="0" applyFill="0" applyProtection="0">
      <alignment horizontal="left" vertical="center"/>
    </xf>
    <xf numFmtId="0" fontId="12" fillId="0" borderId="4" applyNumberFormat="0" applyFill="0" applyProtection="0">
      <alignment vertical="center"/>
    </xf>
    <xf numFmtId="0" fontId="13" fillId="0" borderId="5" applyNumberFormat="0" applyFill="0" applyProtection="0">
      <alignment vertical="center"/>
    </xf>
    <xf numFmtId="0" fontId="14" fillId="8" borderId="0" applyNumberFormat="0" applyBorder="0" applyAlignment="0" applyProtection="0"/>
    <xf numFmtId="0" fontId="15" fillId="0" borderId="6" applyNumberFormat="0" applyProtection="0">
      <alignment horizontal="center" vertical="center"/>
    </xf>
    <xf numFmtId="0" fontId="23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37" fillId="0" borderId="0" applyNumberFormat="0" applyFill="0" applyBorder="0" applyAlignment="0" applyProtection="0">
      <alignment vertical="top"/>
      <protection locked="0"/>
    </xf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0" borderId="0" applyNumberFormat="0" applyBorder="0" applyAlignment="0" applyProtection="0"/>
    <xf numFmtId="0" fontId="39" fillId="23" borderId="0" applyNumberFormat="0" applyBorder="0" applyAlignment="0" applyProtection="0"/>
    <xf numFmtId="0" fontId="39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>
      <alignment vertical="top"/>
      <protection locked="0"/>
    </xf>
    <xf numFmtId="165" fontId="43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3" fillId="0" borderId="0"/>
    <xf numFmtId="0" fontId="1" fillId="0" borderId="0"/>
    <xf numFmtId="0" fontId="39" fillId="0" borderId="0"/>
    <xf numFmtId="0" fontId="15" fillId="0" borderId="0"/>
    <xf numFmtId="0" fontId="44" fillId="0" borderId="0">
      <alignment vertical="center"/>
    </xf>
    <xf numFmtId="0" fontId="15" fillId="0" borderId="0"/>
    <xf numFmtId="0" fontId="1" fillId="0" borderId="0"/>
    <xf numFmtId="0" fontId="45" fillId="0" borderId="0">
      <alignment vertical="center"/>
    </xf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26" applyNumberFormat="0" applyFill="0" applyAlignment="0" applyProtection="0"/>
    <xf numFmtId="0" fontId="48" fillId="0" borderId="0" applyNumberFormat="0" applyFill="0" applyBorder="0" applyAlignment="0" applyProtection="0"/>
    <xf numFmtId="0" fontId="49" fillId="8" borderId="0" applyNumberFormat="0" applyBorder="0" applyAlignment="0" applyProtection="0"/>
    <xf numFmtId="0" fontId="50" fillId="19" borderId="0" applyNumberFormat="0" applyBorder="0" applyAlignment="0" applyProtection="0"/>
    <xf numFmtId="0" fontId="51" fillId="18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4" borderId="0" applyNumberFormat="0" applyBorder="0" applyAlignment="0" applyProtection="0"/>
    <xf numFmtId="0" fontId="52" fillId="0" borderId="0" applyNumberFormat="0" applyFill="0" applyBorder="0" applyAlignment="0" applyProtection="0"/>
    <xf numFmtId="0" fontId="53" fillId="0" borderId="27" applyNumberFormat="0" applyFill="0" applyAlignment="0" applyProtection="0"/>
    <xf numFmtId="0" fontId="54" fillId="0" borderId="28" applyNumberFormat="0" applyFill="0" applyAlignment="0" applyProtection="0"/>
    <xf numFmtId="0" fontId="55" fillId="0" borderId="29" applyNumberFormat="0" applyFill="0" applyAlignment="0" applyProtection="0"/>
    <xf numFmtId="0" fontId="55" fillId="0" borderId="0" applyNumberFormat="0" applyFill="0" applyBorder="0" applyAlignment="0" applyProtection="0"/>
    <xf numFmtId="0" fontId="56" fillId="35" borderId="30" applyNumberFormat="0" applyAlignment="0" applyProtection="0"/>
    <xf numFmtId="0" fontId="57" fillId="0" borderId="31" applyNumberFormat="0" applyFill="0" applyAlignment="0" applyProtection="0"/>
    <xf numFmtId="0" fontId="39" fillId="36" borderId="32" applyNumberFormat="0" applyFont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37" borderId="33" applyNumberFormat="0" applyAlignment="0" applyProtection="0"/>
    <xf numFmtId="0" fontId="61" fillId="22" borderId="33" applyNumberFormat="0" applyAlignment="0" applyProtection="0"/>
    <xf numFmtId="0" fontId="62" fillId="37" borderId="34" applyNumberFormat="0" applyAlignment="0" applyProtection="0"/>
    <xf numFmtId="0" fontId="63" fillId="38" borderId="0" applyNumberFormat="0" applyBorder="0" applyAlignment="0" applyProtection="0"/>
    <xf numFmtId="0" fontId="64" fillId="0" borderId="35" applyNumberFormat="0" applyFill="0" applyAlignment="0" applyProtection="0"/>
    <xf numFmtId="44" fontId="1" fillId="0" borderId="0" applyFont="0" applyFill="0" applyBorder="0" applyAlignment="0" applyProtection="0"/>
  </cellStyleXfs>
  <cellXfs count="156">
    <xf numFmtId="0" fontId="0" fillId="0" borderId="0" xfId="0"/>
    <xf numFmtId="0" fontId="1" fillId="0" borderId="0" xfId="1"/>
    <xf numFmtId="164" fontId="1" fillId="0" borderId="0" xfId="1" applyNumberFormat="1" applyAlignment="1" applyProtection="1">
      <alignment horizontal="center"/>
      <protection hidden="1"/>
    </xf>
    <xf numFmtId="0" fontId="22" fillId="12" borderId="0" xfId="0" applyFont="1" applyFill="1" applyProtection="1">
      <protection hidden="1"/>
    </xf>
    <xf numFmtId="0" fontId="4" fillId="12" borderId="0" xfId="0" applyFont="1" applyFill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4" fillId="13" borderId="0" xfId="0" applyFont="1" applyFill="1" applyProtection="1">
      <protection hidden="1"/>
    </xf>
    <xf numFmtId="0" fontId="18" fillId="13" borderId="0" xfId="0" applyFont="1" applyFill="1" applyAlignment="1" applyProtection="1">
      <alignment horizontal="left"/>
      <protection hidden="1"/>
    </xf>
    <xf numFmtId="0" fontId="17" fillId="12" borderId="0" xfId="0" applyFont="1" applyFill="1" applyProtection="1">
      <protection hidden="1"/>
    </xf>
    <xf numFmtId="0" fontId="0" fillId="12" borderId="0" xfId="0" applyFill="1" applyAlignment="1" applyProtection="1">
      <alignment horizontal="left"/>
      <protection hidden="1"/>
    </xf>
    <xf numFmtId="0" fontId="0" fillId="12" borderId="0" xfId="0" applyFill="1" applyAlignment="1" applyProtection="1">
      <alignment horizontal="center"/>
      <protection hidden="1"/>
    </xf>
    <xf numFmtId="0" fontId="21" fillId="13" borderId="0" xfId="0" applyFont="1" applyFill="1" applyProtection="1">
      <protection hidden="1"/>
    </xf>
    <xf numFmtId="0" fontId="21" fillId="13" borderId="0" xfId="0" applyFont="1" applyFill="1" applyAlignment="1" applyProtection="1">
      <alignment horizontal="center"/>
      <protection hidden="1"/>
    </xf>
    <xf numFmtId="0" fontId="18" fillId="14" borderId="0" xfId="0" applyFont="1" applyFill="1" applyProtection="1">
      <protection hidden="1"/>
    </xf>
    <xf numFmtId="0" fontId="22" fillId="12" borderId="0" xfId="0" applyFont="1" applyFill="1" applyAlignment="1" applyProtection="1">
      <alignment horizontal="center"/>
      <protection locked="0" hidden="1"/>
    </xf>
    <xf numFmtId="0" fontId="4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locked="0" hidden="1"/>
    </xf>
    <xf numFmtId="0" fontId="0" fillId="0" borderId="0" xfId="0" applyAlignment="1" applyProtection="1">
      <alignment horizontal="center"/>
      <protection locked="0" hidden="1"/>
    </xf>
    <xf numFmtId="0" fontId="0" fillId="0" borderId="0" xfId="0" applyAlignment="1" applyProtection="1">
      <alignment horizontal="left"/>
      <protection hidden="1"/>
    </xf>
    <xf numFmtId="14" fontId="0" fillId="0" borderId="0" xfId="0" applyNumberFormat="1" applyAlignment="1" applyProtection="1">
      <alignment horizontal="center"/>
      <protection locked="0" hidden="1"/>
    </xf>
    <xf numFmtId="4" fontId="0" fillId="0" borderId="0" xfId="0" applyNumberFormat="1" applyAlignment="1" applyProtection="1">
      <alignment horizontal="center"/>
      <protection locked="0" hidden="1"/>
    </xf>
    <xf numFmtId="0" fontId="0" fillId="0" borderId="0" xfId="0" applyAlignment="1" applyProtection="1">
      <alignment horizontal="left"/>
      <protection locked="0" hidden="1"/>
    </xf>
    <xf numFmtId="14" fontId="0" fillId="0" borderId="0" xfId="0" applyNumberFormat="1" applyProtection="1">
      <protection locked="0" hidden="1"/>
    </xf>
    <xf numFmtId="0" fontId="23" fillId="0" borderId="0" xfId="26" applyAlignment="1" applyProtection="1">
      <protection locked="0" hidden="1"/>
    </xf>
    <xf numFmtId="0" fontId="16" fillId="11" borderId="0" xfId="0" applyFont="1" applyFill="1" applyProtection="1">
      <protection hidden="1"/>
    </xf>
    <xf numFmtId="0" fontId="23" fillId="0" borderId="0" xfId="26" applyAlignment="1" applyProtection="1"/>
    <xf numFmtId="0" fontId="17" fillId="0" borderId="0" xfId="0" applyFont="1"/>
    <xf numFmtId="0" fontId="24" fillId="0" borderId="0" xfId="0" applyFont="1"/>
    <xf numFmtId="0" fontId="4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26" fillId="0" borderId="0" xfId="0" applyFont="1"/>
    <xf numFmtId="0" fontId="27" fillId="0" borderId="0" xfId="0" applyFont="1"/>
    <xf numFmtId="0" fontId="0" fillId="12" borderId="0" xfId="0" applyFill="1" applyProtection="1">
      <protection hidden="1"/>
    </xf>
    <xf numFmtId="0" fontId="18" fillId="14" borderId="0" xfId="0" applyFont="1" applyFill="1" applyAlignment="1" applyProtection="1">
      <alignment horizontal="center"/>
      <protection hidden="1"/>
    </xf>
    <xf numFmtId="0" fontId="0" fillId="14" borderId="0" xfId="0" applyFill="1" applyProtection="1">
      <protection hidden="1"/>
    </xf>
    <xf numFmtId="0" fontId="0" fillId="14" borderId="8" xfId="0" applyFill="1" applyBorder="1" applyProtection="1">
      <protection hidden="1"/>
    </xf>
    <xf numFmtId="0" fontId="0" fillId="14" borderId="9" xfId="0" applyFill="1" applyBorder="1" applyProtection="1">
      <protection hidden="1"/>
    </xf>
    <xf numFmtId="0" fontId="0" fillId="14" borderId="8" xfId="0" applyFill="1" applyBorder="1" applyAlignment="1" applyProtection="1">
      <alignment horizontal="left"/>
      <protection hidden="1"/>
    </xf>
    <xf numFmtId="0" fontId="0" fillId="14" borderId="9" xfId="0" applyFill="1" applyBorder="1" applyAlignment="1" applyProtection="1">
      <alignment horizontal="left"/>
      <protection hidden="1"/>
    </xf>
    <xf numFmtId="0" fontId="17" fillId="14" borderId="10" xfId="0" applyFont="1" applyFill="1" applyBorder="1" applyProtection="1">
      <protection hidden="1"/>
    </xf>
    <xf numFmtId="0" fontId="17" fillId="14" borderId="11" xfId="0" applyFont="1" applyFill="1" applyBorder="1" applyProtection="1">
      <protection hidden="1"/>
    </xf>
    <xf numFmtId="0" fontId="17" fillId="14" borderId="12" xfId="0" applyFont="1" applyFill="1" applyBorder="1" applyProtection="1">
      <protection hidden="1"/>
    </xf>
    <xf numFmtId="0" fontId="17" fillId="14" borderId="0" xfId="0" applyFont="1" applyFill="1" applyProtection="1">
      <protection hidden="1"/>
    </xf>
    <xf numFmtId="0" fontId="4" fillId="15" borderId="8" xfId="0" applyFont="1" applyFill="1" applyBorder="1" applyProtection="1">
      <protection hidden="1"/>
    </xf>
    <xf numFmtId="0" fontId="25" fillId="12" borderId="0" xfId="0" applyFont="1" applyFill="1" applyProtection="1">
      <protection hidden="1"/>
    </xf>
    <xf numFmtId="0" fontId="0" fillId="14" borderId="13" xfId="0" applyFill="1" applyBorder="1" applyAlignment="1" applyProtection="1">
      <alignment horizontal="left"/>
      <protection hidden="1"/>
    </xf>
    <xf numFmtId="0" fontId="17" fillId="14" borderId="14" xfId="0" applyFont="1" applyFill="1" applyBorder="1" applyProtection="1">
      <protection hidden="1"/>
    </xf>
    <xf numFmtId="0" fontId="0" fillId="14" borderId="13" xfId="0" applyFill="1" applyBorder="1" applyProtection="1">
      <protection hidden="1"/>
    </xf>
    <xf numFmtId="0" fontId="0" fillId="15" borderId="16" xfId="0" applyFill="1" applyBorder="1" applyProtection="1">
      <protection hidden="1"/>
    </xf>
    <xf numFmtId="0" fontId="0" fillId="15" borderId="13" xfId="0" applyFill="1" applyBorder="1" applyProtection="1">
      <protection hidden="1"/>
    </xf>
    <xf numFmtId="0" fontId="0" fillId="15" borderId="17" xfId="0" applyFill="1" applyBorder="1" applyProtection="1">
      <protection hidden="1"/>
    </xf>
    <xf numFmtId="0" fontId="0" fillId="14" borderId="18" xfId="0" applyFill="1" applyBorder="1" applyProtection="1">
      <protection hidden="1"/>
    </xf>
    <xf numFmtId="0" fontId="0" fillId="14" borderId="19" xfId="0" applyFill="1" applyBorder="1" applyProtection="1">
      <protection hidden="1"/>
    </xf>
    <xf numFmtId="0" fontId="0" fillId="14" borderId="20" xfId="0" applyFill="1" applyBorder="1" applyProtection="1">
      <protection hidden="1"/>
    </xf>
    <xf numFmtId="0" fontId="0" fillId="14" borderId="21" xfId="0" applyFill="1" applyBorder="1" applyProtection="1">
      <protection hidden="1"/>
    </xf>
    <xf numFmtId="0" fontId="4" fillId="15" borderId="8" xfId="0" applyFont="1" applyFill="1" applyBorder="1" applyAlignment="1" applyProtection="1">
      <alignment horizontal="center"/>
      <protection hidden="1"/>
    </xf>
    <xf numFmtId="0" fontId="0" fillId="15" borderId="8" xfId="0" applyFill="1" applyBorder="1" applyProtection="1">
      <protection hidden="1"/>
    </xf>
    <xf numFmtId="0" fontId="3" fillId="11" borderId="0" xfId="0" applyFont="1" applyFill="1"/>
    <xf numFmtId="0" fontId="29" fillId="11" borderId="0" xfId="0" applyFont="1" applyFill="1" applyAlignment="1">
      <alignment vertical="center"/>
    </xf>
    <xf numFmtId="0" fontId="0" fillId="13" borderId="0" xfId="0" applyFill="1"/>
    <xf numFmtId="0" fontId="17" fillId="13" borderId="0" xfId="0" applyFont="1" applyFill="1"/>
    <xf numFmtId="0" fontId="17" fillId="0" borderId="0" xfId="0" applyFont="1" applyAlignment="1">
      <alignment vertical="center"/>
    </xf>
    <xf numFmtId="0" fontId="30" fillId="13" borderId="0" xfId="0" applyFont="1" applyFill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3" fillId="11" borderId="0" xfId="0" applyFont="1" applyFill="1" applyProtection="1">
      <protection locked="0"/>
    </xf>
    <xf numFmtId="0" fontId="31" fillId="13" borderId="0" xfId="0" applyFont="1" applyFill="1"/>
    <xf numFmtId="0" fontId="32" fillId="14" borderId="0" xfId="0" applyFont="1" applyFill="1" applyProtection="1">
      <protection hidden="1"/>
    </xf>
    <xf numFmtId="0" fontId="0" fillId="11" borderId="22" xfId="0" applyFill="1" applyBorder="1"/>
    <xf numFmtId="0" fontId="33" fillId="11" borderId="23" xfId="0" applyFont="1" applyFill="1" applyBorder="1" applyAlignment="1">
      <alignment vertical="center"/>
    </xf>
    <xf numFmtId="0" fontId="16" fillId="11" borderId="23" xfId="0" applyFont="1" applyFill="1" applyBorder="1" applyAlignment="1" applyProtection="1">
      <alignment vertical="center"/>
      <protection locked="0"/>
    </xf>
    <xf numFmtId="0" fontId="0" fillId="11" borderId="23" xfId="0" applyFill="1" applyBorder="1"/>
    <xf numFmtId="0" fontId="0" fillId="11" borderId="24" xfId="0" applyFill="1" applyBorder="1"/>
    <xf numFmtId="0" fontId="5" fillId="11" borderId="25" xfId="0" applyFont="1" applyFill="1" applyBorder="1" applyAlignment="1">
      <alignment vertical="center"/>
    </xf>
    <xf numFmtId="0" fontId="5" fillId="11" borderId="25" xfId="0" applyFont="1" applyFill="1" applyBorder="1" applyAlignment="1">
      <alignment vertical="center" wrapText="1"/>
    </xf>
    <xf numFmtId="0" fontId="0" fillId="12" borderId="25" xfId="0" applyFill="1" applyBorder="1" applyAlignment="1" applyProtection="1">
      <alignment horizontal="center"/>
      <protection locked="0"/>
    </xf>
    <xf numFmtId="0" fontId="0" fillId="12" borderId="25" xfId="0" applyFill="1" applyBorder="1" applyAlignment="1" applyProtection="1">
      <alignment horizontal="left"/>
      <protection locked="0"/>
    </xf>
    <xf numFmtId="0" fontId="0" fillId="12" borderId="25" xfId="0" applyFill="1" applyBorder="1" applyAlignment="1" applyProtection="1">
      <alignment horizontal="center"/>
      <protection locked="0" hidden="1"/>
    </xf>
    <xf numFmtId="0" fontId="3" fillId="12" borderId="25" xfId="0" applyFont="1" applyFill="1" applyBorder="1" applyAlignment="1" applyProtection="1">
      <alignment horizontal="left"/>
      <protection locked="0" hidden="1"/>
    </xf>
    <xf numFmtId="0" fontId="2" fillId="11" borderId="25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 wrapText="1"/>
    </xf>
    <xf numFmtId="0" fontId="4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36" fillId="0" borderId="0" xfId="27" applyFont="1"/>
    <xf numFmtId="0" fontId="35" fillId="16" borderId="0" xfId="27" applyFont="1" applyFill="1" applyAlignment="1">
      <alignment vertical="top" wrapText="1"/>
    </xf>
    <xf numFmtId="0" fontId="38" fillId="0" borderId="0" xfId="28" applyFont="1" applyFill="1" applyAlignment="1" applyProtection="1"/>
    <xf numFmtId="0" fontId="38" fillId="0" borderId="0" xfId="28" applyFont="1" applyFill="1" applyAlignment="1" applyProtection="1">
      <alignment horizontal="center"/>
    </xf>
    <xf numFmtId="0" fontId="35" fillId="11" borderId="0" xfId="27" applyFont="1" applyFill="1" applyAlignment="1">
      <alignment vertical="top" wrapText="1"/>
    </xf>
    <xf numFmtId="0" fontId="20" fillId="11" borderId="0" xfId="0" applyFont="1" applyFill="1"/>
    <xf numFmtId="0" fontId="0" fillId="39" borderId="0" xfId="0" applyFill="1"/>
    <xf numFmtId="0" fontId="66" fillId="39" borderId="0" xfId="0" applyFont="1" applyFill="1"/>
    <xf numFmtId="0" fontId="66" fillId="39" borderId="0" xfId="0" applyFont="1" applyFill="1" applyAlignment="1">
      <alignment horizontal="left"/>
    </xf>
    <xf numFmtId="0" fontId="67" fillId="39" borderId="0" xfId="0" applyFont="1" applyFill="1"/>
    <xf numFmtId="0" fontId="68" fillId="39" borderId="0" xfId="0" applyFont="1" applyFill="1"/>
    <xf numFmtId="0" fontId="35" fillId="39" borderId="0" xfId="27" applyFont="1" applyFill="1" applyAlignment="1">
      <alignment vertical="top" wrapText="1"/>
    </xf>
    <xf numFmtId="0" fontId="66" fillId="39" borderId="0" xfId="0" applyFont="1" applyFill="1" applyAlignment="1">
      <alignment horizontal="center" vertical="center"/>
    </xf>
    <xf numFmtId="0" fontId="0" fillId="39" borderId="37" xfId="0" applyFill="1" applyBorder="1"/>
    <xf numFmtId="0" fontId="70" fillId="39" borderId="0" xfId="0" applyFont="1" applyFill="1"/>
    <xf numFmtId="0" fontId="66" fillId="39" borderId="38" xfId="0" applyFont="1" applyFill="1" applyBorder="1"/>
    <xf numFmtId="0" fontId="68" fillId="39" borderId="38" xfId="0" applyFont="1" applyFill="1" applyBorder="1"/>
    <xf numFmtId="0" fontId="0" fillId="39" borderId="38" xfId="0" applyFill="1" applyBorder="1"/>
    <xf numFmtId="0" fontId="66" fillId="39" borderId="38" xfId="0" applyFont="1" applyFill="1" applyBorder="1" applyAlignment="1">
      <alignment horizontal="right"/>
    </xf>
    <xf numFmtId="0" fontId="71" fillId="39" borderId="0" xfId="0" applyFont="1" applyFill="1"/>
    <xf numFmtId="0" fontId="72" fillId="39" borderId="0" xfId="0" applyFont="1" applyFill="1"/>
    <xf numFmtId="0" fontId="72" fillId="0" borderId="0" xfId="0" applyFont="1"/>
    <xf numFmtId="0" fontId="72" fillId="39" borderId="39" xfId="0" applyFont="1" applyFill="1" applyBorder="1"/>
    <xf numFmtId="0" fontId="72" fillId="39" borderId="40" xfId="0" applyFont="1" applyFill="1" applyBorder="1"/>
    <xf numFmtId="44" fontId="72" fillId="39" borderId="40" xfId="91" applyFont="1" applyFill="1" applyBorder="1"/>
    <xf numFmtId="0" fontId="73" fillId="39" borderId="0" xfId="0" applyFont="1" applyFill="1"/>
    <xf numFmtId="14" fontId="0" fillId="0" borderId="0" xfId="0" applyNumberFormat="1" applyProtection="1">
      <protection hidden="1"/>
    </xf>
    <xf numFmtId="0" fontId="0" fillId="0" borderId="0" xfId="0" applyAlignment="1">
      <alignment horizontal="center" vertical="center"/>
    </xf>
    <xf numFmtId="0" fontId="71" fillId="40" borderId="0" xfId="0" applyFont="1" applyFill="1" applyAlignment="1">
      <alignment horizontal="center" vertical="top"/>
    </xf>
    <xf numFmtId="0" fontId="77" fillId="40" borderId="0" xfId="27" applyFont="1" applyFill="1" applyAlignment="1">
      <alignment horizontal="center" vertical="top" wrapText="1"/>
    </xf>
    <xf numFmtId="0" fontId="77" fillId="40" borderId="0" xfId="27" applyFont="1" applyFill="1" applyAlignment="1">
      <alignment vertical="top" wrapText="1"/>
    </xf>
    <xf numFmtId="1" fontId="72" fillId="39" borderId="40" xfId="91" applyNumberFormat="1" applyFont="1" applyFill="1" applyBorder="1"/>
    <xf numFmtId="0" fontId="72" fillId="39" borderId="40" xfId="0" applyFont="1" applyFill="1" applyBorder="1" applyAlignment="1">
      <alignment horizontal="right"/>
    </xf>
    <xf numFmtId="0" fontId="0" fillId="39" borderId="41" xfId="0" applyFill="1" applyBorder="1"/>
    <xf numFmtId="0" fontId="79" fillId="40" borderId="0" xfId="0" applyFont="1" applyFill="1" applyAlignment="1">
      <alignment horizontal="center" vertical="center"/>
    </xf>
    <xf numFmtId="0" fontId="78" fillId="0" borderId="0" xfId="0" applyFont="1" applyAlignment="1">
      <alignment horizontal="left"/>
    </xf>
    <xf numFmtId="0" fontId="0" fillId="0" borderId="0" xfId="1" applyFont="1"/>
    <xf numFmtId="14" fontId="1" fillId="0" borderId="0" xfId="2" applyNumberFormat="1"/>
    <xf numFmtId="0" fontId="1" fillId="0" borderId="0" xfId="3"/>
    <xf numFmtId="0" fontId="0" fillId="0" borderId="0" xfId="3" applyFont="1"/>
    <xf numFmtId="14" fontId="1" fillId="0" borderId="0" xfId="1" applyNumberFormat="1"/>
    <xf numFmtId="0" fontId="3" fillId="0" borderId="0" xfId="1" applyFont="1" applyProtection="1">
      <protection hidden="1"/>
    </xf>
    <xf numFmtId="38" fontId="3" fillId="0" borderId="0" xfId="1" applyNumberFormat="1" applyFont="1" applyProtection="1">
      <protection hidden="1"/>
    </xf>
    <xf numFmtId="164" fontId="80" fillId="41" borderId="0" xfId="1" applyNumberFormat="1" applyFont="1" applyFill="1" applyAlignment="1">
      <alignment horizontal="left" vertical="center"/>
    </xf>
    <xf numFmtId="164" fontId="81" fillId="41" borderId="0" xfId="1" applyNumberFormat="1" applyFont="1" applyFill="1"/>
    <xf numFmtId="0" fontId="82" fillId="41" borderId="0" xfId="1" applyFont="1" applyFill="1" applyAlignment="1">
      <alignment horizontal="left" vertical="center"/>
    </xf>
    <xf numFmtId="0" fontId="28" fillId="41" borderId="0" xfId="1" applyFont="1" applyFill="1" applyAlignment="1">
      <alignment vertical="top"/>
    </xf>
    <xf numFmtId="0" fontId="66" fillId="39" borderId="0" xfId="0" applyFont="1" applyFill="1" applyAlignment="1">
      <alignment horizontal="center"/>
    </xf>
    <xf numFmtId="0" fontId="21" fillId="0" borderId="0" xfId="0" applyFont="1"/>
    <xf numFmtId="0" fontId="17" fillId="16" borderId="0" xfId="0" applyFont="1" applyFill="1" applyProtection="1">
      <protection hidden="1"/>
    </xf>
    <xf numFmtId="1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 hidden="1"/>
    </xf>
    <xf numFmtId="167" fontId="19" fillId="14" borderId="15" xfId="0" applyNumberFormat="1" applyFont="1" applyFill="1" applyBorder="1" applyAlignment="1" applyProtection="1">
      <alignment horizontal="center"/>
      <protection locked="0" hidden="1"/>
    </xf>
    <xf numFmtId="167" fontId="19" fillId="12" borderId="7" xfId="0" applyNumberFormat="1" applyFont="1" applyFill="1" applyBorder="1" applyAlignment="1" applyProtection="1">
      <alignment horizontal="center" vertical="center"/>
      <protection hidden="1"/>
    </xf>
    <xf numFmtId="166" fontId="0" fillId="0" borderId="0" xfId="0" applyNumberFormat="1" applyAlignment="1" applyProtection="1">
      <alignment horizontal="center"/>
      <protection locked="0"/>
    </xf>
    <xf numFmtId="0" fontId="74" fillId="40" borderId="0" xfId="0" applyFont="1" applyFill="1" applyAlignment="1">
      <alignment horizontal="center" vertical="center"/>
    </xf>
    <xf numFmtId="0" fontId="75" fillId="40" borderId="0" xfId="0" applyFont="1" applyFill="1" applyAlignment="1">
      <alignment horizontal="center" vertical="top"/>
    </xf>
    <xf numFmtId="0" fontId="76" fillId="40" borderId="0" xfId="27" applyFont="1" applyFill="1" applyAlignment="1">
      <alignment horizontal="center" vertical="top"/>
    </xf>
    <xf numFmtId="0" fontId="69" fillId="39" borderId="0" xfId="0" applyFont="1" applyFill="1" applyAlignment="1">
      <alignment horizontal="center" vertical="center"/>
    </xf>
    <xf numFmtId="0" fontId="69" fillId="39" borderId="36" xfId="0" applyFont="1" applyFill="1" applyBorder="1" applyAlignment="1">
      <alignment horizontal="center" vertical="center"/>
    </xf>
    <xf numFmtId="0" fontId="77" fillId="40" borderId="0" xfId="27" applyFont="1" applyFill="1" applyAlignment="1">
      <alignment horizontal="center" vertical="top" wrapText="1"/>
    </xf>
    <xf numFmtId="0" fontId="83" fillId="39" borderId="42" xfId="26" applyFont="1" applyFill="1" applyBorder="1" applyAlignment="1" applyProtection="1">
      <alignment horizontal="center"/>
    </xf>
    <xf numFmtId="0" fontId="86" fillId="0" borderId="0" xfId="0" applyFont="1" applyAlignment="1">
      <alignment horizontal="center" vertical="top"/>
    </xf>
    <xf numFmtId="0" fontId="28" fillId="14" borderId="0" xfId="0" applyFont="1" applyFill="1" applyAlignment="1" applyProtection="1">
      <alignment horizontal="left"/>
      <protection hidden="1"/>
    </xf>
    <xf numFmtId="0" fontId="20" fillId="11" borderId="0" xfId="0" applyFont="1" applyFill="1" applyAlignment="1" applyProtection="1">
      <alignment horizontal="center"/>
      <protection hidden="1"/>
    </xf>
    <xf numFmtId="0" fontId="34" fillId="11" borderId="0" xfId="27" applyFont="1" applyFill="1" applyAlignment="1">
      <alignment horizontal="center" vertical="top"/>
    </xf>
    <xf numFmtId="0" fontId="35" fillId="11" borderId="0" xfId="27" applyFont="1" applyFill="1" applyAlignment="1">
      <alignment horizontal="center" vertical="top" wrapText="1"/>
    </xf>
    <xf numFmtId="0" fontId="65" fillId="0" borderId="0" xfId="26" applyFont="1" applyAlignment="1" applyProtection="1">
      <alignment horizontal="left"/>
    </xf>
    <xf numFmtId="0" fontId="5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top"/>
    </xf>
    <xf numFmtId="0" fontId="3" fillId="11" borderId="0" xfId="0" applyFont="1" applyFill="1" applyAlignment="1">
      <alignment horizontal="center" vertical="top" wrapText="1"/>
    </xf>
    <xf numFmtId="0" fontId="84" fillId="11" borderId="0" xfId="26" applyFont="1" applyFill="1" applyAlignment="1" applyProtection="1">
      <alignment horizontal="center"/>
    </xf>
  </cellXfs>
  <cellStyles count="92">
    <cellStyle name="20% - Ênfase5 2" xfId="4" xr:uid="{00000000-0005-0000-0000-000000000000}"/>
    <cellStyle name="20% - Ênfase5 3" xfId="5" xr:uid="{00000000-0005-0000-0000-000001000000}"/>
    <cellStyle name="20% - 强调文字颜色 1" xfId="29" xr:uid="{00000000-0005-0000-0000-000002000000}"/>
    <cellStyle name="20% - 强调文字颜色 2" xfId="30" xr:uid="{00000000-0005-0000-0000-000003000000}"/>
    <cellStyle name="20% - 强调文字颜色 3" xfId="31" xr:uid="{00000000-0005-0000-0000-000004000000}"/>
    <cellStyle name="20% - 强调文字颜色 4" xfId="32" xr:uid="{00000000-0005-0000-0000-000005000000}"/>
    <cellStyle name="20% - 强调文字颜色 5" xfId="33" xr:uid="{00000000-0005-0000-0000-000006000000}"/>
    <cellStyle name="20% - 强调文字颜色 6" xfId="34" xr:uid="{00000000-0005-0000-0000-000007000000}"/>
    <cellStyle name="40% - Ênfase5 2" xfId="6" xr:uid="{00000000-0005-0000-0000-000008000000}"/>
    <cellStyle name="40% - Ênfase5 3" xfId="7" xr:uid="{00000000-0005-0000-0000-000009000000}"/>
    <cellStyle name="40% - 强调文字颜色 1" xfId="35" xr:uid="{00000000-0005-0000-0000-00000A000000}"/>
    <cellStyle name="40% - 强调文字颜色 2" xfId="36" xr:uid="{00000000-0005-0000-0000-00000B000000}"/>
    <cellStyle name="40% - 强调文字颜色 3" xfId="37" xr:uid="{00000000-0005-0000-0000-00000C000000}"/>
    <cellStyle name="40% - 强调文字颜色 4" xfId="38" xr:uid="{00000000-0005-0000-0000-00000D000000}"/>
    <cellStyle name="40% - 强调文字颜色 5" xfId="39" xr:uid="{00000000-0005-0000-0000-00000E000000}"/>
    <cellStyle name="40% - 强调文字颜色 6" xfId="40" xr:uid="{00000000-0005-0000-0000-00000F000000}"/>
    <cellStyle name="60% - 强调文字颜色 1" xfId="41" xr:uid="{00000000-0005-0000-0000-000010000000}"/>
    <cellStyle name="60% - 强调文字颜色 2" xfId="42" xr:uid="{00000000-0005-0000-0000-000011000000}"/>
    <cellStyle name="60% - 强调文字颜色 3" xfId="43" xr:uid="{00000000-0005-0000-0000-000012000000}"/>
    <cellStyle name="60% - 强调文字颜色 4" xfId="44" xr:uid="{00000000-0005-0000-0000-000013000000}"/>
    <cellStyle name="60% - 强调文字颜色 5" xfId="45" xr:uid="{00000000-0005-0000-0000-000014000000}"/>
    <cellStyle name="60% - 强调文字颜色 6" xfId="46" xr:uid="{00000000-0005-0000-0000-000015000000}"/>
    <cellStyle name="Custom Style  1" xfId="8" xr:uid="{00000000-0005-0000-0000-000016000000}"/>
    <cellStyle name="Custom Style 2" xfId="9" xr:uid="{00000000-0005-0000-0000-000017000000}"/>
    <cellStyle name="Heading 5" xfId="10" xr:uid="{00000000-0005-0000-0000-000018000000}"/>
    <cellStyle name="Hiperlink" xfId="26" builtinId="8"/>
    <cellStyle name="Hiperlink 2" xfId="28" xr:uid="{00000000-0005-0000-0000-00001A000000}"/>
    <cellStyle name="Hyperlink 2" xfId="47" xr:uid="{00000000-0005-0000-0000-00001B000000}"/>
    <cellStyle name="Hyperlink 3" xfId="48" xr:uid="{00000000-0005-0000-0000-00001C000000}"/>
    <cellStyle name="Moeda" xfId="91" builtinId="4"/>
    <cellStyle name="Moeda 2" xfId="11" xr:uid="{00000000-0005-0000-0000-00001E000000}"/>
    <cellStyle name="Moeda 3" xfId="49" xr:uid="{00000000-0005-0000-0000-00001F000000}"/>
    <cellStyle name="Moeda 4" xfId="50" xr:uid="{00000000-0005-0000-0000-000020000000}"/>
    <cellStyle name="Moeda 5" xfId="51" xr:uid="{00000000-0005-0000-0000-000021000000}"/>
    <cellStyle name="Moeda 6" xfId="52" xr:uid="{00000000-0005-0000-0000-000022000000}"/>
    <cellStyle name="Moeda 7" xfId="53" xr:uid="{00000000-0005-0000-0000-000023000000}"/>
    <cellStyle name="Normal" xfId="0" builtinId="0"/>
    <cellStyle name="Normal 10" xfId="54" xr:uid="{00000000-0005-0000-0000-000025000000}"/>
    <cellStyle name="Normal 11" xfId="55" xr:uid="{00000000-0005-0000-0000-000026000000}"/>
    <cellStyle name="Normal 12" xfId="56" xr:uid="{00000000-0005-0000-0000-000027000000}"/>
    <cellStyle name="Normal 13" xfId="57" xr:uid="{00000000-0005-0000-0000-000028000000}"/>
    <cellStyle name="Normal 14" xfId="58" xr:uid="{00000000-0005-0000-0000-000029000000}"/>
    <cellStyle name="Normal 15" xfId="59" xr:uid="{00000000-0005-0000-0000-00002A000000}"/>
    <cellStyle name="Normal 16" xfId="60" xr:uid="{00000000-0005-0000-0000-00002B000000}"/>
    <cellStyle name="Normal 17" xfId="61" xr:uid="{00000000-0005-0000-0000-00002C000000}"/>
    <cellStyle name="Normal 2" xfId="12" xr:uid="{00000000-0005-0000-0000-00002D000000}"/>
    <cellStyle name="Normal 2 2" xfId="27" xr:uid="{00000000-0005-0000-0000-00002E000000}"/>
    <cellStyle name="Normal 3" xfId="13" xr:uid="{00000000-0005-0000-0000-00002F000000}"/>
    <cellStyle name="Normal 4" xfId="14" xr:uid="{00000000-0005-0000-0000-000030000000}"/>
    <cellStyle name="Normal 5" xfId="1" xr:uid="{00000000-0005-0000-0000-000031000000}"/>
    <cellStyle name="Normal 6" xfId="2" xr:uid="{00000000-0005-0000-0000-000032000000}"/>
    <cellStyle name="Normal 7" xfId="3" xr:uid="{00000000-0005-0000-0000-000033000000}"/>
    <cellStyle name="Normal 8" xfId="15" xr:uid="{00000000-0005-0000-0000-000034000000}"/>
    <cellStyle name="Normal 9" xfId="16" xr:uid="{00000000-0005-0000-0000-000035000000}"/>
    <cellStyle name="Nota 2" xfId="17" xr:uid="{00000000-0005-0000-0000-000036000000}"/>
    <cellStyle name="Nota 3" xfId="18" xr:uid="{00000000-0005-0000-0000-000037000000}"/>
    <cellStyle name="obs-normal" xfId="19" xr:uid="{00000000-0005-0000-0000-000038000000}"/>
    <cellStyle name="Porcentagem 2" xfId="62" xr:uid="{00000000-0005-0000-0000-000039000000}"/>
    <cellStyle name="Porcentagem 3" xfId="63" xr:uid="{00000000-0005-0000-0000-00003A000000}"/>
    <cellStyle name="Título 1 2" xfId="20" xr:uid="{00000000-0005-0000-0000-00003B000000}"/>
    <cellStyle name="Título 1 3" xfId="64" xr:uid="{00000000-0005-0000-0000-00003C000000}"/>
    <cellStyle name="Título 2 2" xfId="21" xr:uid="{00000000-0005-0000-0000-00003D000000}"/>
    <cellStyle name="Título 2 3" xfId="65" xr:uid="{00000000-0005-0000-0000-00003E000000}"/>
    <cellStyle name="Título 3 2" xfId="22" xr:uid="{00000000-0005-0000-0000-00003F000000}"/>
    <cellStyle name="Título 4 2" xfId="23" xr:uid="{00000000-0005-0000-0000-000040000000}"/>
    <cellStyle name="Título 5" xfId="24" xr:uid="{00000000-0005-0000-0000-000041000000}"/>
    <cellStyle name="Título 6" xfId="66" xr:uid="{00000000-0005-0000-0000-000042000000}"/>
    <cellStyle name="Título 7" xfId="67" xr:uid="{00000000-0005-0000-0000-000043000000}"/>
    <cellStyle name="valores-normal" xfId="25" xr:uid="{00000000-0005-0000-0000-000044000000}"/>
    <cellStyle name="好" xfId="68" xr:uid="{00000000-0005-0000-0000-000045000000}"/>
    <cellStyle name="差" xfId="69" xr:uid="{00000000-0005-0000-0000-000046000000}"/>
    <cellStyle name="强调文字颜色 1" xfId="70" xr:uid="{00000000-0005-0000-0000-000047000000}"/>
    <cellStyle name="强调文字颜色 2" xfId="71" xr:uid="{00000000-0005-0000-0000-000048000000}"/>
    <cellStyle name="强调文字颜色 3" xfId="72" xr:uid="{00000000-0005-0000-0000-000049000000}"/>
    <cellStyle name="强调文字颜色 4" xfId="73" xr:uid="{00000000-0005-0000-0000-00004A000000}"/>
    <cellStyle name="强调文字颜色 5" xfId="74" xr:uid="{00000000-0005-0000-0000-00004B000000}"/>
    <cellStyle name="强调文字颜色 6" xfId="75" xr:uid="{00000000-0005-0000-0000-00004C000000}"/>
    <cellStyle name="标题" xfId="76" xr:uid="{00000000-0005-0000-0000-00004D000000}"/>
    <cellStyle name="标题 1" xfId="77" xr:uid="{00000000-0005-0000-0000-00004E000000}"/>
    <cellStyle name="标题 2" xfId="78" xr:uid="{00000000-0005-0000-0000-00004F000000}"/>
    <cellStyle name="标题 3" xfId="79" xr:uid="{00000000-0005-0000-0000-000050000000}"/>
    <cellStyle name="标题 4" xfId="80" xr:uid="{00000000-0005-0000-0000-000051000000}"/>
    <cellStyle name="检查单元格" xfId="81" xr:uid="{00000000-0005-0000-0000-000052000000}"/>
    <cellStyle name="汇总" xfId="82" xr:uid="{00000000-0005-0000-0000-000053000000}"/>
    <cellStyle name="注释" xfId="83" xr:uid="{00000000-0005-0000-0000-000054000000}"/>
    <cellStyle name="解释性文本" xfId="84" xr:uid="{00000000-0005-0000-0000-000055000000}"/>
    <cellStyle name="警告文本" xfId="85" xr:uid="{00000000-0005-0000-0000-000056000000}"/>
    <cellStyle name="计算" xfId="86" xr:uid="{00000000-0005-0000-0000-000057000000}"/>
    <cellStyle name="输入" xfId="87" xr:uid="{00000000-0005-0000-0000-000058000000}"/>
    <cellStyle name="输出" xfId="88" xr:uid="{00000000-0005-0000-0000-000059000000}"/>
    <cellStyle name="适中" xfId="89" xr:uid="{00000000-0005-0000-0000-00005A000000}"/>
    <cellStyle name="链接单元格" xfId="90" xr:uid="{00000000-0005-0000-0000-00005B000000}"/>
  </cellStyles>
  <dxfs count="73">
    <dxf>
      <protection locked="1" hidden="0"/>
    </dxf>
    <dxf>
      <numFmt numFmtId="164" formatCode="0.0"/>
      <alignment horizontal="center" vertical="bottom" textRotation="0" wrapText="0" indent="0" justifyLastLine="0" shrinkToFit="0" readingOrder="0"/>
      <protection locked="1" hidden="1"/>
    </dxf>
    <dxf>
      <numFmt numFmtId="19" formatCode="dd/mm/yyyy"/>
      <protection locked="1" hidden="0"/>
    </dxf>
    <dxf>
      <protection locked="1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1" tint="0.249977111117893"/>
        </patternFill>
      </fill>
      <alignment horizontal="general" vertical="top" textRotation="0" wrapText="0" indent="0" justifyLastLine="0" shrinkToFit="0" readingOrder="0"/>
    </dxf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protection locked="1" hidden="1"/>
    </dxf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protection locked="1" hidden="1"/>
    </dxf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protection locked="1" hidden="1"/>
    </dxf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protection locked="1" hidden="1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alignment horizontal="center" vertical="bottom" textRotation="0" wrapText="0" indent="0" justifyLastLine="0" shrinkToFit="0" readingOrder="0"/>
      <protection locked="0" hidden="1"/>
    </dxf>
    <dxf>
      <protection locked="0" hidden="1"/>
    </dxf>
    <dxf>
      <alignment horizontal="left" vertical="bottom" textRotation="0" wrapText="0" indent="0" justifyLastLine="0" shrinkToFit="0" readingOrder="0"/>
      <protection locked="0" hidden="1"/>
    </dxf>
    <dxf>
      <alignment horizontal="center" vertical="bottom" textRotation="0" wrapText="0" indent="0" justifyLastLine="0" shrinkToFit="0" readingOrder="0"/>
      <protection locked="0" hidden="1"/>
    </dxf>
    <dxf>
      <numFmt numFmtId="19" formatCode="dd/mm/yyyy"/>
      <alignment horizontal="center" vertical="bottom" textRotation="0" wrapText="0" indent="0" justifyLastLine="0" shrinkToFit="0" readingOrder="0"/>
      <protection locked="0" hidden="1"/>
    </dxf>
    <dxf>
      <numFmt numFmtId="0" formatCode="General"/>
      <alignment horizontal="left" vertical="bottom" textRotation="0" wrapText="0" indent="0" justifyLastLine="0" shrinkToFit="0" readingOrder="0"/>
      <protection locked="1" hidden="1"/>
    </dxf>
    <dxf>
      <numFmt numFmtId="0" formatCode="General"/>
      <alignment horizontal="left" vertical="bottom" textRotation="0" wrapText="0" indent="0" justifyLastLine="0" shrinkToFit="0" readingOrder="0"/>
      <protection locked="1" hidden="1"/>
    </dxf>
    <dxf>
      <numFmt numFmtId="0" formatCode="General"/>
      <protection locked="1" hidden="1"/>
    </dxf>
    <dxf>
      <numFmt numFmtId="166" formatCode="000000"/>
      <alignment horizontal="center" vertical="bottom" textRotation="0" wrapText="0" indent="0" justifyLastLine="0" shrinkToFit="0" readingOrder="0"/>
      <protection locked="0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1"/>
    </dxf>
    <dxf>
      <alignment horizontal="left" vertical="bottom" textRotation="0" wrapText="0" indent="0" justifyLastLine="0" shrinkToFit="0" readingOrder="0"/>
      <protection locked="0" hidden="1"/>
    </dxf>
    <dxf>
      <protection locked="0" hidden="1"/>
    </dxf>
    <dxf>
      <protection locked="0" hidden="1"/>
    </dxf>
    <dxf>
      <alignment horizontal="center" vertical="bottom" textRotation="0" wrapText="0" indent="0" justifyLastLine="0" shrinkToFit="0" readingOrder="0"/>
      <protection locked="0" hidden="1"/>
    </dxf>
    <dxf>
      <numFmt numFmtId="19" formatCode="dd/mm/yyyy"/>
      <protection locked="0" hidden="1"/>
    </dxf>
    <dxf>
      <numFmt numFmtId="0" formatCode="General"/>
      <alignment horizontal="left" vertical="bottom" textRotation="0" wrapText="0" indent="0" justifyLastLine="0" shrinkToFit="0" readingOrder="0"/>
      <protection locked="1" hidden="1"/>
    </dxf>
    <dxf>
      <numFmt numFmtId="0" formatCode="General"/>
      <alignment horizontal="left" vertical="bottom" textRotation="0" wrapText="0" indent="0" justifyLastLine="0" shrinkToFit="0" readingOrder="0"/>
      <protection locked="1" hidden="1"/>
    </dxf>
    <dxf>
      <numFmt numFmtId="0" formatCode="General"/>
      <protection locked="1" hidden="1"/>
    </dxf>
    <dxf>
      <numFmt numFmtId="166" formatCode="000000"/>
      <alignment horizontal="center" vertical="bottom" textRotation="0" wrapText="0" indent="0" justifyLastLine="0" shrinkToFit="0" readingOrder="0"/>
      <protection locked="0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1" hidden="1"/>
    </dxf>
    <dxf>
      <alignment horizontal="left" vertical="bottom" textRotation="0" wrapText="0" indent="0" justifyLastLine="0" shrinkToFit="0" readingOrder="0"/>
      <protection locked="0" hidden="1"/>
    </dxf>
    <dxf>
      <alignment horizontal="center" vertical="bottom" textRotation="0" wrapText="0" indent="0" justifyLastLine="0" shrinkToFit="0" readingOrder="0"/>
      <protection locked="0" hidden="1"/>
    </dxf>
    <dxf>
      <numFmt numFmtId="4" formatCode="#,##0.00"/>
      <alignment horizontal="center" vertical="bottom" textRotation="0" wrapText="0" indent="0" justifyLastLine="0" shrinkToFit="0" readingOrder="0"/>
      <protection locked="0" hidden="1"/>
    </dxf>
    <dxf>
      <numFmt numFmtId="19" formatCode="dd/mm/yyyy"/>
      <alignment horizontal="center" vertical="bottom" textRotation="0" wrapText="0" indent="0" justifyLastLine="0" shrinkToFit="0" readingOrder="0"/>
      <protection locked="0" hidden="1"/>
    </dxf>
    <dxf>
      <numFmt numFmtId="19" formatCode="dd/mm/yyyy"/>
      <alignment horizontal="center" vertical="bottom" textRotation="0" wrapText="0" indent="0" justifyLastLine="0" shrinkToFit="0" readingOrder="0"/>
      <protection locked="0" hidden="1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1" hidden="1"/>
    </dxf>
    <dxf>
      <numFmt numFmtId="0" formatCode="General"/>
      <alignment horizontal="left" vertical="bottom" textRotation="0" wrapText="0" indent="0" justifyLastLine="0" shrinkToFit="0" readingOrder="0"/>
      <protection locked="1" hidden="1"/>
    </dxf>
    <dxf>
      <numFmt numFmtId="0" formatCode="General"/>
      <protection locked="1" hidden="1"/>
    </dxf>
    <dxf>
      <numFmt numFmtId="166" formatCode="000000"/>
      <alignment horizontal="center" vertical="bottom" textRotation="0" wrapText="0" indent="0" justifyLastLine="0" shrinkToFit="0" readingOrder="0"/>
      <protection locked="0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center" textRotation="0" wrapText="0" indent="0" justifyLastLine="0" shrinkToFit="0" readingOrder="0"/>
      <protection locked="1" hidden="1"/>
    </dxf>
    <dxf>
      <numFmt numFmtId="0" formatCode="General"/>
      <protection locked="1" hidden="1"/>
    </dxf>
    <dxf>
      <alignment horizontal="center" vertical="bottom" textRotation="0" wrapText="0" indent="0" justifyLastLine="0" shrinkToFit="0" readingOrder="0"/>
      <protection locked="0" hidden="1"/>
    </dxf>
    <dxf>
      <alignment horizontal="center" vertical="bottom" textRotation="0" wrapText="0" indent="0" justifyLastLine="0" shrinkToFit="0" readingOrder="0"/>
      <protection locked="0" hidden="1"/>
    </dxf>
    <dxf>
      <numFmt numFmtId="0" formatCode="General"/>
      <alignment horizontal="center" vertical="bottom" textRotation="0" wrapText="0" indent="0" justifyLastLine="0" shrinkToFit="0" readingOrder="0"/>
      <protection locked="1" hidden="1"/>
    </dxf>
    <dxf>
      <numFmt numFmtId="0" formatCode="General"/>
      <alignment horizontal="center" vertical="bottom" textRotation="0" wrapText="0" indent="0" justifyLastLine="0" shrinkToFit="0" readingOrder="0"/>
      <protection locked="1" hidden="1"/>
    </dxf>
    <dxf>
      <numFmt numFmtId="0" formatCode="General"/>
      <alignment horizontal="center" vertical="bottom" textRotation="0" wrapText="0" indent="0" justifyLastLine="0" shrinkToFit="0" readingOrder="0"/>
      <protection locked="1" hidden="1"/>
    </dxf>
    <dxf>
      <numFmt numFmtId="0" formatCode="General"/>
      <alignment horizontal="center" vertical="bottom" textRotation="0" wrapText="0" indent="0" justifyLastLine="0" shrinkToFit="0" readingOrder="0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0" hidden="1"/>
    </dxf>
    <dxf>
      <protection locked="0" hidden="1"/>
    </dxf>
    <dxf>
      <numFmt numFmtId="0" formatCode="General"/>
      <protection locked="0" hidden="1"/>
    </dxf>
    <dxf>
      <numFmt numFmtId="0" formatCode="General"/>
      <protection locked="0" hidden="1"/>
    </dxf>
    <dxf>
      <numFmt numFmtId="166" formatCode="000000"/>
      <alignment horizontal="center" vertical="bottom" textRotation="0" wrapText="0" indent="0" justifyLastLine="0" shrinkToFit="0" readingOrder="0"/>
      <protection locked="0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justifyLastLine="0" shrinkToFit="0" readingOrder="0"/>
      <protection locked="1" hidden="1"/>
    </dxf>
  </dxfs>
  <tableStyles count="1" defaultTableStyle="TableStyleMedium9" defaultPivotStyle="PivotStyleLight16">
    <tableStyle name="Invisible" pivot="0" table="0" count="0" xr9:uid="{F3EF0C10-061E-4C71-9ABD-52417E0B36B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List" dx="16" fmlaLink="$A$2" fmlaRange="SKU" noThreeD="1" sel="8" val="0"/>
</file>

<file path=xl/ctrlProps/ctrlProp2.xml><?xml version="1.0" encoding="utf-8"?>
<formControlPr xmlns="http://schemas.microsoft.com/office/spreadsheetml/2009/9/main" objectType="List" dx="16" fmlaLink="$A$2" fmlaRange="colunadescrição" noThreeD="1" sel="8" val="0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://inovar.net/sugestoes/ref/948/" TargetMode="External"/><Relationship Id="rId3" Type="http://schemas.openxmlformats.org/officeDocument/2006/relationships/hyperlink" Target="https://www.facebook.com/inovar.net" TargetMode="External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2" Type="http://schemas.openxmlformats.org/officeDocument/2006/relationships/image" Target="../media/image1.png"/><Relationship Id="rId16" Type="http://schemas.openxmlformats.org/officeDocument/2006/relationships/image" Target="../media/image9.png"/><Relationship Id="rId1" Type="http://schemas.openxmlformats.org/officeDocument/2006/relationships/hyperlink" Target="http://inovar.net/ref/948/" TargetMode="External"/><Relationship Id="rId6" Type="http://schemas.openxmlformats.org/officeDocument/2006/relationships/hyperlink" Target="https://www.youtube.com/user/inovartv" TargetMode="External"/><Relationship Id="rId11" Type="http://schemas.openxmlformats.org/officeDocument/2006/relationships/hyperlink" Target="http://inovar.net/produto/planilha-de-controle-de-estoques-versao-2-6/ref/948/" TargetMode="External"/><Relationship Id="rId5" Type="http://schemas.openxmlformats.org/officeDocument/2006/relationships/image" Target="../media/image3.png"/><Relationship Id="rId15" Type="http://schemas.openxmlformats.org/officeDocument/2006/relationships/hyperlink" Target="#Menu!A1"/><Relationship Id="rId10" Type="http://schemas.openxmlformats.org/officeDocument/2006/relationships/image" Target="../media/image6.png"/><Relationship Id="rId4" Type="http://schemas.openxmlformats.org/officeDocument/2006/relationships/image" Target="../media/image2.png"/><Relationship Id="rId9" Type="http://schemas.openxmlformats.org/officeDocument/2006/relationships/hyperlink" Target="#Ajuda!A1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F e C'!A1"/><Relationship Id="rId13" Type="http://schemas.openxmlformats.org/officeDocument/2006/relationships/hyperlink" Target="#PEntradas!A1"/><Relationship Id="rId18" Type="http://schemas.openxmlformats.org/officeDocument/2006/relationships/image" Target="../media/image17.png"/><Relationship Id="rId3" Type="http://schemas.openxmlformats.org/officeDocument/2006/relationships/hyperlink" Target="#Consultas!A1"/><Relationship Id="rId7" Type="http://schemas.openxmlformats.org/officeDocument/2006/relationships/hyperlink" Target="#Perdas!A1"/><Relationship Id="rId12" Type="http://schemas.openxmlformats.org/officeDocument/2006/relationships/image" Target="../media/image13.png"/><Relationship Id="rId17" Type="http://schemas.openxmlformats.org/officeDocument/2006/relationships/image" Target="../media/image16.png"/><Relationship Id="rId2" Type="http://schemas.openxmlformats.org/officeDocument/2006/relationships/image" Target="../media/image10.png"/><Relationship Id="rId16" Type="http://schemas.openxmlformats.org/officeDocument/2006/relationships/image" Target="../media/image15.png"/><Relationship Id="rId1" Type="http://schemas.openxmlformats.org/officeDocument/2006/relationships/hyperlink" Target="#Pesquisa!A1"/><Relationship Id="rId6" Type="http://schemas.openxmlformats.org/officeDocument/2006/relationships/hyperlink" Target="#Sa&#237;das!A1"/><Relationship Id="rId11" Type="http://schemas.openxmlformats.org/officeDocument/2006/relationships/image" Target="../media/image12.png"/><Relationship Id="rId5" Type="http://schemas.openxmlformats.org/officeDocument/2006/relationships/hyperlink" Target="#Entradas!A1"/><Relationship Id="rId15" Type="http://schemas.openxmlformats.org/officeDocument/2006/relationships/image" Target="../media/image14.png"/><Relationship Id="rId10" Type="http://schemas.openxmlformats.org/officeDocument/2006/relationships/image" Target="../media/image11.png"/><Relationship Id="rId4" Type="http://schemas.openxmlformats.org/officeDocument/2006/relationships/hyperlink" Target="#Estoque!A1"/><Relationship Id="rId9" Type="http://schemas.openxmlformats.org/officeDocument/2006/relationships/hyperlink" Target="#Ajustes!A1"/><Relationship Id="rId14" Type="http://schemas.openxmlformats.org/officeDocument/2006/relationships/hyperlink" Target="#PSaida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19.png"/><Relationship Id="rId1" Type="http://schemas.openxmlformats.org/officeDocument/2006/relationships/image" Target="../media/image10.png"/><Relationship Id="rId4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hyperlink" Target="http://inovar.net/produto/suporte-tecnico-individual/ref/948/" TargetMode="External"/><Relationship Id="rId7" Type="http://schemas.openxmlformats.org/officeDocument/2006/relationships/hyperlink" Target="http://inovar.net/produto/planilha-de-controle-de-estoques-versao-2-6/ref/948/" TargetMode="External"/><Relationship Id="rId2" Type="http://schemas.openxmlformats.org/officeDocument/2006/relationships/image" Target="../media/image20.png"/><Relationship Id="rId1" Type="http://schemas.openxmlformats.org/officeDocument/2006/relationships/hyperlink" Target="http://inovar.net/ref/948/" TargetMode="External"/><Relationship Id="rId6" Type="http://schemas.openxmlformats.org/officeDocument/2006/relationships/image" Target="../media/image22.png"/><Relationship Id="rId11" Type="http://schemas.openxmlformats.org/officeDocument/2006/relationships/image" Target="../media/image18.png"/><Relationship Id="rId5" Type="http://schemas.openxmlformats.org/officeDocument/2006/relationships/hyperlink" Target="#Menu!A1"/><Relationship Id="rId10" Type="http://schemas.openxmlformats.org/officeDocument/2006/relationships/image" Target="../media/image24.png"/><Relationship Id="rId4" Type="http://schemas.openxmlformats.org/officeDocument/2006/relationships/image" Target="../media/image21.jpeg"/><Relationship Id="rId9" Type="http://schemas.openxmlformats.org/officeDocument/2006/relationships/hyperlink" Target="http://inovar.net/sugestoes/ref/948/" TargetMode="Externa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http://inovar.net/produto/planilha-de-controle-de-estoques-versao-2-6/ref/948/" TargetMode="External"/><Relationship Id="rId3" Type="http://schemas.openxmlformats.org/officeDocument/2006/relationships/image" Target="../media/image20.png"/><Relationship Id="rId7" Type="http://schemas.openxmlformats.org/officeDocument/2006/relationships/image" Target="../media/image22.png"/><Relationship Id="rId2" Type="http://schemas.openxmlformats.org/officeDocument/2006/relationships/hyperlink" Target="http://inovar.net/ref/948/" TargetMode="External"/><Relationship Id="rId1" Type="http://schemas.openxmlformats.org/officeDocument/2006/relationships/image" Target="../media/image25.jpeg"/><Relationship Id="rId6" Type="http://schemas.openxmlformats.org/officeDocument/2006/relationships/hyperlink" Target="#Menu!A1"/><Relationship Id="rId11" Type="http://schemas.openxmlformats.org/officeDocument/2006/relationships/image" Target="../media/image24.png"/><Relationship Id="rId5" Type="http://schemas.openxmlformats.org/officeDocument/2006/relationships/image" Target="../media/image21.jpeg"/><Relationship Id="rId10" Type="http://schemas.openxmlformats.org/officeDocument/2006/relationships/hyperlink" Target="http://inovar.net/sugestoes/ref/948/" TargetMode="External"/><Relationship Id="rId4" Type="http://schemas.openxmlformats.org/officeDocument/2006/relationships/hyperlink" Target="#Ajuda!A1"/><Relationship Id="rId9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642687</xdr:colOff>
      <xdr:row>20</xdr:row>
      <xdr:rowOff>24472</xdr:rowOff>
    </xdr:from>
    <xdr:ext cx="471738" cy="413678"/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86862" y="4339297"/>
          <a:ext cx="471738" cy="413678"/>
        </a:xfrm>
        <a:prstGeom prst="rect">
          <a:avLst/>
        </a:prstGeom>
      </xdr:spPr>
    </xdr:pic>
    <xdr:clientData/>
  </xdr:oneCellAnchor>
  <xdr:twoCellAnchor editAs="oneCell">
    <xdr:from>
      <xdr:col>10</xdr:col>
      <xdr:colOff>57150</xdr:colOff>
      <xdr:row>20</xdr:row>
      <xdr:rowOff>28575</xdr:rowOff>
    </xdr:from>
    <xdr:to>
      <xdr:col>10</xdr:col>
      <xdr:colOff>463499</xdr:colOff>
      <xdr:row>22</xdr:row>
      <xdr:rowOff>53924</xdr:rowOff>
    </xdr:to>
    <xdr:pic>
      <xdr:nvPicPr>
        <xdr:cNvPr id="15" name="Imagem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0225" y="4010025"/>
          <a:ext cx="406349" cy="406349"/>
        </a:xfrm>
        <a:prstGeom prst="rect">
          <a:avLst/>
        </a:prstGeom>
      </xdr:spPr>
    </xdr:pic>
    <xdr:clientData/>
  </xdr:twoCellAnchor>
  <xdr:twoCellAnchor editAs="oneCell">
    <xdr:from>
      <xdr:col>10</xdr:col>
      <xdr:colOff>652425</xdr:colOff>
      <xdr:row>20</xdr:row>
      <xdr:rowOff>33300</xdr:rowOff>
    </xdr:from>
    <xdr:to>
      <xdr:col>10</xdr:col>
      <xdr:colOff>1058774</xdr:colOff>
      <xdr:row>22</xdr:row>
      <xdr:rowOff>58649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15500" y="4014750"/>
          <a:ext cx="406349" cy="406349"/>
        </a:xfrm>
        <a:prstGeom prst="rect">
          <a:avLst/>
        </a:prstGeom>
      </xdr:spPr>
    </xdr:pic>
    <xdr:clientData/>
  </xdr:twoCellAnchor>
  <xdr:twoCellAnchor editAs="oneCell">
    <xdr:from>
      <xdr:col>12</xdr:col>
      <xdr:colOff>40425</xdr:colOff>
      <xdr:row>20</xdr:row>
      <xdr:rowOff>30900</xdr:rowOff>
    </xdr:from>
    <xdr:to>
      <xdr:col>12</xdr:col>
      <xdr:colOff>446774</xdr:colOff>
      <xdr:row>22</xdr:row>
      <xdr:rowOff>56249</xdr:rowOff>
    </xdr:to>
    <xdr:pic>
      <xdr:nvPicPr>
        <xdr:cNvPr id="18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4600" y="4012350"/>
          <a:ext cx="406349" cy="406349"/>
        </a:xfrm>
        <a:prstGeom prst="rect">
          <a:avLst/>
        </a:prstGeom>
      </xdr:spPr>
    </xdr:pic>
    <xdr:clientData/>
  </xdr:twoCellAnchor>
  <xdr:twoCellAnchor editAs="oneCell">
    <xdr:from>
      <xdr:col>12</xdr:col>
      <xdr:colOff>378600</xdr:colOff>
      <xdr:row>9</xdr:row>
      <xdr:rowOff>130950</xdr:rowOff>
    </xdr:from>
    <xdr:to>
      <xdr:col>12</xdr:col>
      <xdr:colOff>790575</xdr:colOff>
      <xdr:row>11</xdr:row>
      <xdr:rowOff>161925</xdr:rowOff>
    </xdr:to>
    <xdr:pic>
      <xdr:nvPicPr>
        <xdr:cNvPr id="27" name="Imagem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2775" y="2016900"/>
          <a:ext cx="411975" cy="411975"/>
        </a:xfrm>
        <a:prstGeom prst="rect">
          <a:avLst/>
        </a:prstGeom>
      </xdr:spPr>
    </xdr:pic>
    <xdr:clientData/>
  </xdr:twoCellAnchor>
  <xdr:twoCellAnchor editAs="oneCell">
    <xdr:from>
      <xdr:col>12</xdr:col>
      <xdr:colOff>266625</xdr:colOff>
      <xdr:row>4</xdr:row>
      <xdr:rowOff>66600</xdr:rowOff>
    </xdr:from>
    <xdr:to>
      <xdr:col>12</xdr:col>
      <xdr:colOff>876225</xdr:colOff>
      <xdr:row>7</xdr:row>
      <xdr:rowOff>104700</xdr:rowOff>
    </xdr:to>
    <xdr:pic>
      <xdr:nvPicPr>
        <xdr:cNvPr id="30" name="Imagem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0800" y="94290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10</xdr:col>
      <xdr:colOff>426150</xdr:colOff>
      <xdr:row>10</xdr:row>
      <xdr:rowOff>26100</xdr:rowOff>
    </xdr:from>
    <xdr:to>
      <xdr:col>10</xdr:col>
      <xdr:colOff>752475</xdr:colOff>
      <xdr:row>11</xdr:row>
      <xdr:rowOff>161925</xdr:rowOff>
    </xdr:to>
    <xdr:pic>
      <xdr:nvPicPr>
        <xdr:cNvPr id="31" name="Imagem 3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89225" y="2102550"/>
          <a:ext cx="326325" cy="326325"/>
        </a:xfrm>
        <a:prstGeom prst="rect">
          <a:avLst/>
        </a:prstGeom>
      </xdr:spPr>
    </xdr:pic>
    <xdr:clientData/>
  </xdr:twoCellAnchor>
  <xdr:twoCellAnchor editAs="oneCell">
    <xdr:from>
      <xdr:col>10</xdr:col>
      <xdr:colOff>876300</xdr:colOff>
      <xdr:row>15</xdr:row>
      <xdr:rowOff>57150</xdr:rowOff>
    </xdr:from>
    <xdr:to>
      <xdr:col>12</xdr:col>
      <xdr:colOff>304800</xdr:colOff>
      <xdr:row>18</xdr:row>
      <xdr:rowOff>95250</xdr:rowOff>
    </xdr:to>
    <xdr:pic>
      <xdr:nvPicPr>
        <xdr:cNvPr id="35" name="Imagem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9375" y="3419475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10</xdr:col>
      <xdr:colOff>254775</xdr:colOff>
      <xdr:row>4</xdr:row>
      <xdr:rowOff>26175</xdr:rowOff>
    </xdr:from>
    <xdr:to>
      <xdr:col>10</xdr:col>
      <xdr:colOff>864375</xdr:colOff>
      <xdr:row>7</xdr:row>
      <xdr:rowOff>64275</xdr:rowOff>
    </xdr:to>
    <xdr:pic>
      <xdr:nvPicPr>
        <xdr:cNvPr id="36" name="Imagem 3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17850" y="902475"/>
          <a:ext cx="609600" cy="60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</xdr:row>
      <xdr:rowOff>132293</xdr:rowOff>
    </xdr:from>
    <xdr:to>
      <xdr:col>3</xdr:col>
      <xdr:colOff>490008</xdr:colOff>
      <xdr:row>4</xdr:row>
      <xdr:rowOff>134409</xdr:rowOff>
    </xdr:to>
    <xdr:sp macro="[0]!PesquisarDestravando" textlink="">
      <xdr:nvSpPr>
        <xdr:cNvPr id="2" name="Arredondar Retângulo no Mesmo Canto Latera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8650" y="894293"/>
          <a:ext cx="1690158" cy="383116"/>
        </a:xfrm>
        <a:prstGeom prst="round2Same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PESQUISA</a:t>
          </a:r>
          <a:r>
            <a:rPr lang="pt-BR" sz="1100" b="1" baseline="0"/>
            <a:t> AVANÇADA</a:t>
          </a:r>
          <a:endParaRPr lang="pt-BR" sz="1100" b="1"/>
        </a:p>
      </xdr:txBody>
    </xdr:sp>
    <xdr:clientData/>
  </xdr:twoCellAnchor>
  <xdr:twoCellAnchor editAs="oneCell">
    <xdr:from>
      <xdr:col>3</xdr:col>
      <xdr:colOff>298446</xdr:colOff>
      <xdr:row>2</xdr:row>
      <xdr:rowOff>123825</xdr:rowOff>
    </xdr:from>
    <xdr:to>
      <xdr:col>4</xdr:col>
      <xdr:colOff>260346</xdr:colOff>
      <xdr:row>5</xdr:row>
      <xdr:rowOff>123825</xdr:rowOff>
    </xdr:to>
    <xdr:pic macro="[0]!PesquisarDestravando">
      <xdr:nvPicPr>
        <xdr:cNvPr id="3" name="Imagem 2" descr="iconePesquisa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27246" y="885825"/>
          <a:ext cx="571500" cy="571500"/>
        </a:xfrm>
        <a:prstGeom prst="rect">
          <a:avLst/>
        </a:prstGeom>
      </xdr:spPr>
    </xdr:pic>
    <xdr:clientData/>
  </xdr:twoCellAnchor>
  <xdr:twoCellAnchor>
    <xdr:from>
      <xdr:col>1</xdr:col>
      <xdr:colOff>19050</xdr:colOff>
      <xdr:row>6</xdr:row>
      <xdr:rowOff>113243</xdr:rowOff>
    </xdr:from>
    <xdr:to>
      <xdr:col>3</xdr:col>
      <xdr:colOff>490008</xdr:colOff>
      <xdr:row>8</xdr:row>
      <xdr:rowOff>115359</xdr:rowOff>
    </xdr:to>
    <xdr:sp macro="[0]!PesquisarDestravando" textlink="">
      <xdr:nvSpPr>
        <xdr:cNvPr id="4" name="Arredondar Retângulo no Mesmo Canto Latera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28650" y="1637243"/>
          <a:ext cx="1690158" cy="383116"/>
        </a:xfrm>
        <a:prstGeom prst="round2Same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PESQUISA</a:t>
          </a:r>
          <a:r>
            <a:rPr lang="pt-BR" sz="1100" b="1" baseline="0"/>
            <a:t>  SIMPLES</a:t>
          </a:r>
          <a:endParaRPr lang="pt-BR" sz="1100" b="1"/>
        </a:p>
      </xdr:txBody>
    </xdr:sp>
    <xdr:clientData/>
  </xdr:twoCellAnchor>
  <xdr:twoCellAnchor editAs="oneCell">
    <xdr:from>
      <xdr:col>3</xdr:col>
      <xdr:colOff>298446</xdr:colOff>
      <xdr:row>6</xdr:row>
      <xdr:rowOff>104775</xdr:rowOff>
    </xdr:from>
    <xdr:to>
      <xdr:col>4</xdr:col>
      <xdr:colOff>260346</xdr:colOff>
      <xdr:row>9</xdr:row>
      <xdr:rowOff>104775</xdr:rowOff>
    </xdr:to>
    <xdr:pic macro="[0]!PesquisarDestravando">
      <xdr:nvPicPr>
        <xdr:cNvPr id="5" name="Imagem 4" descr="iconePesquisa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27246" y="1628775"/>
          <a:ext cx="571500" cy="571500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2</xdr:row>
      <xdr:rowOff>142875</xdr:rowOff>
    </xdr:from>
    <xdr:to>
      <xdr:col>13</xdr:col>
      <xdr:colOff>490008</xdr:colOff>
      <xdr:row>4</xdr:row>
      <xdr:rowOff>144991</xdr:rowOff>
    </xdr:to>
    <xdr:sp macro="[0]!PesquisarDestravando" textlink="">
      <xdr:nvSpPr>
        <xdr:cNvPr id="6" name="Arredondar Retângulo no Mesmo Canto Lateral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724650" y="523875"/>
          <a:ext cx="1690158" cy="383116"/>
        </a:xfrm>
        <a:prstGeom prst="round2Same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ESTOQUE</a:t>
          </a:r>
        </a:p>
      </xdr:txBody>
    </xdr:sp>
    <xdr:clientData/>
  </xdr:twoCellAnchor>
  <xdr:twoCellAnchor>
    <xdr:from>
      <xdr:col>6</xdr:col>
      <xdr:colOff>9525</xdr:colOff>
      <xdr:row>3</xdr:row>
      <xdr:rowOff>0</xdr:rowOff>
    </xdr:from>
    <xdr:to>
      <xdr:col>8</xdr:col>
      <xdr:colOff>480483</xdr:colOff>
      <xdr:row>5</xdr:row>
      <xdr:rowOff>2116</xdr:rowOff>
    </xdr:to>
    <xdr:sp macro="[0]!PesquisarDestravando" textlink="">
      <xdr:nvSpPr>
        <xdr:cNvPr id="7" name="Arredondar Retângulo no Mesmo Canto Lateral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667125" y="952500"/>
          <a:ext cx="1690158" cy="383116"/>
        </a:xfrm>
        <a:prstGeom prst="round2Same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ENTRADAS</a:t>
          </a:r>
        </a:p>
      </xdr:txBody>
    </xdr:sp>
    <xdr:clientData/>
  </xdr:twoCellAnchor>
  <xdr:twoCellAnchor>
    <xdr:from>
      <xdr:col>6</xdr:col>
      <xdr:colOff>9525</xdr:colOff>
      <xdr:row>7</xdr:row>
      <xdr:rowOff>0</xdr:rowOff>
    </xdr:from>
    <xdr:to>
      <xdr:col>8</xdr:col>
      <xdr:colOff>480483</xdr:colOff>
      <xdr:row>9</xdr:row>
      <xdr:rowOff>2116</xdr:rowOff>
    </xdr:to>
    <xdr:sp macro="[0]!PesquisarDestravando" textlink="">
      <xdr:nvSpPr>
        <xdr:cNvPr id="8" name="Arredondar Retângulo no Mesmo Canto Lateral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67125" y="1714500"/>
          <a:ext cx="1690158" cy="383116"/>
        </a:xfrm>
        <a:prstGeom prst="round2Same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SAÍDAS</a:t>
          </a:r>
        </a:p>
      </xdr:txBody>
    </xdr:sp>
    <xdr:clientData/>
  </xdr:twoCellAnchor>
  <xdr:twoCellAnchor>
    <xdr:from>
      <xdr:col>6</xdr:col>
      <xdr:colOff>9525</xdr:colOff>
      <xdr:row>11</xdr:row>
      <xdr:rowOff>0</xdr:rowOff>
    </xdr:from>
    <xdr:to>
      <xdr:col>8</xdr:col>
      <xdr:colOff>480483</xdr:colOff>
      <xdr:row>13</xdr:row>
      <xdr:rowOff>2116</xdr:rowOff>
    </xdr:to>
    <xdr:sp macro="[0]!PesquisarDestravando" textlink="">
      <xdr:nvSpPr>
        <xdr:cNvPr id="9" name="Arredondar Retângulo no Mesmo Canto Lateral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667125" y="2476500"/>
          <a:ext cx="1690158" cy="383116"/>
        </a:xfrm>
        <a:prstGeom prst="round2Same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PERCAS</a:t>
          </a:r>
        </a:p>
      </xdr:txBody>
    </xdr:sp>
    <xdr:clientData/>
  </xdr:twoCellAnchor>
  <xdr:twoCellAnchor>
    <xdr:from>
      <xdr:col>6</xdr:col>
      <xdr:colOff>9525</xdr:colOff>
      <xdr:row>15</xdr:row>
      <xdr:rowOff>0</xdr:rowOff>
    </xdr:from>
    <xdr:to>
      <xdr:col>8</xdr:col>
      <xdr:colOff>480483</xdr:colOff>
      <xdr:row>17</xdr:row>
      <xdr:rowOff>2116</xdr:rowOff>
    </xdr:to>
    <xdr:sp macro="[0]!PesquisarDestravando" textlink="">
      <xdr:nvSpPr>
        <xdr:cNvPr id="11" name="Arredondar Retângulo no Mesmo Canto Lateral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667125" y="3238500"/>
          <a:ext cx="1690158" cy="383116"/>
        </a:xfrm>
        <a:prstGeom prst="round2Same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FORNECEDORES E CLIENTES</a:t>
          </a:r>
        </a:p>
      </xdr:txBody>
    </xdr:sp>
    <xdr:clientData/>
  </xdr:twoCellAnchor>
  <xdr:twoCellAnchor>
    <xdr:from>
      <xdr:col>11</xdr:col>
      <xdr:colOff>0</xdr:colOff>
      <xdr:row>7</xdr:row>
      <xdr:rowOff>9525</xdr:rowOff>
    </xdr:from>
    <xdr:to>
      <xdr:col>13</xdr:col>
      <xdr:colOff>470958</xdr:colOff>
      <xdr:row>9</xdr:row>
      <xdr:rowOff>11641</xdr:rowOff>
    </xdr:to>
    <xdr:sp macro="[0]!PesquisarDestravando" textlink="">
      <xdr:nvSpPr>
        <xdr:cNvPr id="13" name="Arredondar Retângulo no Mesmo Canto Lateral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705600" y="1343025"/>
          <a:ext cx="1690158" cy="383116"/>
        </a:xfrm>
        <a:prstGeom prst="round2Same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AJUSTES</a:t>
          </a:r>
        </a:p>
      </xdr:txBody>
    </xdr:sp>
    <xdr:clientData/>
  </xdr:twoCellAnchor>
  <xdr:twoCellAnchor editAs="oneCell">
    <xdr:from>
      <xdr:col>13</xdr:col>
      <xdr:colOff>190500</xdr:colOff>
      <xdr:row>2</xdr:row>
      <xdr:rowOff>104775</xdr:rowOff>
    </xdr:from>
    <xdr:to>
      <xdr:col>14</xdr:col>
      <xdr:colOff>238125</xdr:colOff>
      <xdr:row>6</xdr:row>
      <xdr:rowOff>0</xdr:rowOff>
    </xdr:to>
    <xdr:pic>
      <xdr:nvPicPr>
        <xdr:cNvPr id="18" name="Imagem 17" descr="1371144275_Warehouse_icon_3D_rev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8115300" y="485775"/>
          <a:ext cx="657225" cy="657225"/>
        </a:xfrm>
        <a:prstGeom prst="rect">
          <a:avLst/>
        </a:prstGeom>
      </xdr:spPr>
    </xdr:pic>
    <xdr:clientData/>
  </xdr:twoCellAnchor>
  <xdr:twoCellAnchor editAs="oneCell">
    <xdr:from>
      <xdr:col>13</xdr:col>
      <xdr:colOff>323850</xdr:colOff>
      <xdr:row>7</xdr:row>
      <xdr:rowOff>66675</xdr:rowOff>
    </xdr:from>
    <xdr:to>
      <xdr:col>14</xdr:col>
      <xdr:colOff>152400</xdr:colOff>
      <xdr:row>9</xdr:row>
      <xdr:rowOff>141351</xdr:rowOff>
    </xdr:to>
    <xdr:pic>
      <xdr:nvPicPr>
        <xdr:cNvPr id="19" name="Imagem 18" descr="resetnetworksettings.pn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8248650" y="1400175"/>
          <a:ext cx="438150" cy="455676"/>
        </a:xfrm>
        <a:prstGeom prst="rect">
          <a:avLst/>
        </a:prstGeom>
      </xdr:spPr>
    </xdr:pic>
    <xdr:clientData/>
  </xdr:twoCellAnchor>
  <xdr:twoCellAnchor editAs="oneCell">
    <xdr:from>
      <xdr:col>8</xdr:col>
      <xdr:colOff>285750</xdr:colOff>
      <xdr:row>15</xdr:row>
      <xdr:rowOff>47625</xdr:rowOff>
    </xdr:from>
    <xdr:to>
      <xdr:col>9</xdr:col>
      <xdr:colOff>171450</xdr:colOff>
      <xdr:row>17</xdr:row>
      <xdr:rowOff>161925</xdr:rowOff>
    </xdr:to>
    <xdr:pic>
      <xdr:nvPicPr>
        <xdr:cNvPr id="22" name="Imagem 21" descr="Groups-Meeting-Light-icon.png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5162550" y="3286125"/>
          <a:ext cx="495300" cy="4953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0</xdr:rowOff>
    </xdr:from>
    <xdr:to>
      <xdr:col>3</xdr:col>
      <xdr:colOff>470958</xdr:colOff>
      <xdr:row>13</xdr:row>
      <xdr:rowOff>2116</xdr:rowOff>
    </xdr:to>
    <xdr:sp macro="[0]!PesquisarDestravando" textlink="">
      <xdr:nvSpPr>
        <xdr:cNvPr id="23" name="Arredondar Retângulo no Mesmo Canto Lateral 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609600" y="2095500"/>
          <a:ext cx="1690158" cy="383116"/>
        </a:xfrm>
        <a:prstGeom prst="round2Same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PESQUISA</a:t>
          </a:r>
          <a:r>
            <a:rPr lang="pt-BR" sz="1100" b="1" baseline="0"/>
            <a:t>R ENTRADAS</a:t>
          </a:r>
          <a:endParaRPr lang="pt-BR" sz="1100" b="1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3</xdr:col>
      <xdr:colOff>470958</xdr:colOff>
      <xdr:row>18</xdr:row>
      <xdr:rowOff>2116</xdr:rowOff>
    </xdr:to>
    <xdr:sp macro="[0]!PesquisarDestravando" textlink="">
      <xdr:nvSpPr>
        <xdr:cNvPr id="24" name="Arredondar Retângulo no Mesmo Canto Lateral 2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609600" y="3048000"/>
          <a:ext cx="1690158" cy="383116"/>
        </a:xfrm>
        <a:prstGeom prst="round2Same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PESQUISAR SAÍDAS</a:t>
          </a:r>
        </a:p>
      </xdr:txBody>
    </xdr:sp>
    <xdr:clientData/>
  </xdr:twoCellAnchor>
  <xdr:twoCellAnchor editAs="oneCell">
    <xdr:from>
      <xdr:col>3</xdr:col>
      <xdr:colOff>342900</xdr:colOff>
      <xdr:row>16</xdr:row>
      <xdr:rowOff>114300</xdr:rowOff>
    </xdr:from>
    <xdr:to>
      <xdr:col>3</xdr:col>
      <xdr:colOff>571500</xdr:colOff>
      <xdr:row>17</xdr:row>
      <xdr:rowOff>152400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31623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3</xdr:col>
      <xdr:colOff>361950</xdr:colOff>
      <xdr:row>11</xdr:row>
      <xdr:rowOff>85725</xdr:rowOff>
    </xdr:from>
    <xdr:to>
      <xdr:col>3</xdr:col>
      <xdr:colOff>590550</xdr:colOff>
      <xdr:row>12</xdr:row>
      <xdr:rowOff>123825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2190750" y="218122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371475</xdr:colOff>
      <xdr:row>3</xdr:row>
      <xdr:rowOff>85725</xdr:rowOff>
    </xdr:from>
    <xdr:to>
      <xdr:col>8</xdr:col>
      <xdr:colOff>600075</xdr:colOff>
      <xdr:row>4</xdr:row>
      <xdr:rowOff>123825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48275" y="65722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352425</xdr:colOff>
      <xdr:row>7</xdr:row>
      <xdr:rowOff>85725</xdr:rowOff>
    </xdr:from>
    <xdr:to>
      <xdr:col>8</xdr:col>
      <xdr:colOff>581025</xdr:colOff>
      <xdr:row>8</xdr:row>
      <xdr:rowOff>123825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9225" y="141922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390525</xdr:colOff>
      <xdr:row>11</xdr:row>
      <xdr:rowOff>104775</xdr:rowOff>
    </xdr:from>
    <xdr:to>
      <xdr:col>9</xdr:col>
      <xdr:colOff>9525</xdr:colOff>
      <xdr:row>12</xdr:row>
      <xdr:rowOff>142875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2200275"/>
          <a:ext cx="228600" cy="228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114300</xdr:rowOff>
    </xdr:from>
    <xdr:to>
      <xdr:col>0</xdr:col>
      <xdr:colOff>390525</xdr:colOff>
      <xdr:row>1</xdr:row>
      <xdr:rowOff>142875</xdr:rowOff>
    </xdr:to>
    <xdr:pic>
      <xdr:nvPicPr>
        <xdr:cNvPr id="5" name="Imagem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114300"/>
          <a:ext cx="228600" cy="228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0</xdr:row>
          <xdr:rowOff>175260</xdr:rowOff>
        </xdr:from>
        <xdr:to>
          <xdr:col>2</xdr:col>
          <xdr:colOff>754380</xdr:colOff>
          <xdr:row>13</xdr:row>
          <xdr:rowOff>38100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0</xdr:row>
          <xdr:rowOff>175260</xdr:rowOff>
        </xdr:from>
        <xdr:to>
          <xdr:col>8</xdr:col>
          <xdr:colOff>274320</xdr:colOff>
          <xdr:row>13</xdr:row>
          <xdr:rowOff>38100</xdr:rowOff>
        </xdr:to>
        <xdr:sp macro="" textlink="">
          <xdr:nvSpPr>
            <xdr:cNvPr id="4100" name="List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360896</xdr:colOff>
      <xdr:row>0</xdr:row>
      <xdr:rowOff>8468</xdr:rowOff>
    </xdr:from>
    <xdr:to>
      <xdr:col>5</xdr:col>
      <xdr:colOff>330204</xdr:colOff>
      <xdr:row>0</xdr:row>
      <xdr:rowOff>391584</xdr:rowOff>
    </xdr:to>
    <xdr:sp macro="[0]!LimparPesquisaRestaurarFormulas" textlink="">
      <xdr:nvSpPr>
        <xdr:cNvPr id="4" name="Arredondar Retângulo no Mesmo Canto Lateral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523321" y="8468"/>
          <a:ext cx="1617133" cy="383116"/>
        </a:xfrm>
        <a:prstGeom prst="round2Same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LIMPAR</a:t>
          </a:r>
          <a:r>
            <a:rPr lang="pt-BR" sz="1100" b="1" baseline="0"/>
            <a:t> PESQUISA</a:t>
          </a:r>
          <a:endParaRPr lang="pt-BR" sz="1100" b="1"/>
        </a:p>
      </xdr:txBody>
    </xdr:sp>
    <xdr:clientData/>
  </xdr:twoCellAnchor>
  <xdr:twoCellAnchor>
    <xdr:from>
      <xdr:col>5</xdr:col>
      <xdr:colOff>977904</xdr:colOff>
      <xdr:row>0</xdr:row>
      <xdr:rowOff>8468</xdr:rowOff>
    </xdr:from>
    <xdr:to>
      <xdr:col>8</xdr:col>
      <xdr:colOff>86787</xdr:colOff>
      <xdr:row>0</xdr:row>
      <xdr:rowOff>391584</xdr:rowOff>
    </xdr:to>
    <xdr:sp macro="[0]!PesquisarDestravando" textlink="">
      <xdr:nvSpPr>
        <xdr:cNvPr id="5" name="Arredondar Retângulo no Mesmo Canto Lateral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788154" y="8468"/>
          <a:ext cx="1690158" cy="383116"/>
        </a:xfrm>
        <a:prstGeom prst="round2Same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PESQUISAR</a:t>
          </a:r>
          <a:r>
            <a:rPr lang="pt-BR" sz="1100" b="1" baseline="0"/>
            <a:t> AGORA</a:t>
          </a:r>
          <a:endParaRPr lang="pt-BR" sz="1100" b="1"/>
        </a:p>
      </xdr:txBody>
    </xdr:sp>
    <xdr:clientData/>
  </xdr:twoCellAnchor>
  <xdr:twoCellAnchor editAs="oneCell">
    <xdr:from>
      <xdr:col>7</xdr:col>
      <xdr:colOff>504825</xdr:colOff>
      <xdr:row>0</xdr:row>
      <xdr:rowOff>0</xdr:rowOff>
    </xdr:from>
    <xdr:to>
      <xdr:col>8</xdr:col>
      <xdr:colOff>466725</xdr:colOff>
      <xdr:row>1</xdr:row>
      <xdr:rowOff>133350</xdr:rowOff>
    </xdr:to>
    <xdr:pic macro="[0]!PesquisarDestravando">
      <xdr:nvPicPr>
        <xdr:cNvPr id="6" name="Imagem 5" descr="iconePesquisa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286750" y="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123825</xdr:colOff>
      <xdr:row>0</xdr:row>
      <xdr:rowOff>0</xdr:rowOff>
    </xdr:from>
    <xdr:to>
      <xdr:col>5</xdr:col>
      <xdr:colOff>771525</xdr:colOff>
      <xdr:row>2</xdr:row>
      <xdr:rowOff>28575</xdr:rowOff>
    </xdr:to>
    <xdr:pic macro="[0]!LimparPesquisaRestaurarFormulas">
      <xdr:nvPicPr>
        <xdr:cNvPr id="7" name="Imagem 6" descr="limpar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934075" y="0"/>
          <a:ext cx="647700" cy="647700"/>
        </a:xfrm>
        <a:prstGeom prst="rect">
          <a:avLst/>
        </a:prstGeom>
      </xdr:spPr>
    </xdr:pic>
    <xdr:clientData/>
  </xdr:twoCellAnchor>
  <xdr:twoCellAnchor editAs="oneCell">
    <xdr:from>
      <xdr:col>9</xdr:col>
      <xdr:colOff>400050</xdr:colOff>
      <xdr:row>0</xdr:row>
      <xdr:rowOff>104775</xdr:rowOff>
    </xdr:from>
    <xdr:to>
      <xdr:col>10</xdr:col>
      <xdr:colOff>19050</xdr:colOff>
      <xdr:row>0</xdr:row>
      <xdr:rowOff>333375</xdr:rowOff>
    </xdr:to>
    <xdr:pic>
      <xdr:nvPicPr>
        <xdr:cNvPr id="9" name="Imagem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1175" y="104775"/>
          <a:ext cx="228600" cy="2286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1512093</xdr:colOff>
      <xdr:row>1</xdr:row>
      <xdr:rowOff>11907</xdr:rowOff>
    </xdr:from>
    <xdr:to>
      <xdr:col>1</xdr:col>
      <xdr:colOff>1740693</xdr:colOff>
      <xdr:row>1</xdr:row>
      <xdr:rowOff>240507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49" y="59532"/>
          <a:ext cx="228600" cy="228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466725</xdr:colOff>
      <xdr:row>0</xdr:row>
      <xdr:rowOff>57150</xdr:rowOff>
    </xdr:from>
    <xdr:to>
      <xdr:col>0</xdr:col>
      <xdr:colOff>695325</xdr:colOff>
      <xdr:row>1</xdr:row>
      <xdr:rowOff>95250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" y="57150"/>
          <a:ext cx="228600" cy="2286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0</xdr:row>
      <xdr:rowOff>47625</xdr:rowOff>
    </xdr:from>
    <xdr:to>
      <xdr:col>0</xdr:col>
      <xdr:colOff>504825</xdr:colOff>
      <xdr:row>0</xdr:row>
      <xdr:rowOff>276225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47625"/>
          <a:ext cx="228600" cy="2286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66675</xdr:rowOff>
    </xdr:from>
    <xdr:to>
      <xdr:col>0</xdr:col>
      <xdr:colOff>533400</xdr:colOff>
      <xdr:row>0</xdr:row>
      <xdr:rowOff>295275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66675"/>
          <a:ext cx="228600" cy="2286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514350</xdr:colOff>
      <xdr:row>0</xdr:row>
      <xdr:rowOff>28575</xdr:rowOff>
    </xdr:from>
    <xdr:to>
      <xdr:col>1</xdr:col>
      <xdr:colOff>123825</xdr:colOff>
      <xdr:row>0</xdr:row>
      <xdr:rowOff>257175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" y="28575"/>
          <a:ext cx="228600" cy="2286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485775</xdr:colOff>
      <xdr:row>0</xdr:row>
      <xdr:rowOff>219075</xdr:rowOff>
    </xdr:from>
    <xdr:to>
      <xdr:col>1</xdr:col>
      <xdr:colOff>104775</xdr:colOff>
      <xdr:row>1</xdr:row>
      <xdr:rowOff>114300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219075"/>
          <a:ext cx="228600" cy="2286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133350</xdr:colOff>
      <xdr:row>10</xdr:row>
      <xdr:rowOff>180975</xdr:rowOff>
    </xdr:from>
    <xdr:ext cx="814638" cy="714375"/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4975" y="1990725"/>
          <a:ext cx="814638" cy="714375"/>
        </a:xfrm>
        <a:prstGeom prst="rect">
          <a:avLst/>
        </a:prstGeom>
      </xdr:spPr>
    </xdr:pic>
    <xdr:clientData/>
  </xdr:oneCellAnchor>
  <xdr:oneCellAnchor>
    <xdr:from>
      <xdr:col>13</xdr:col>
      <xdr:colOff>247649</xdr:colOff>
      <xdr:row>5</xdr:row>
      <xdr:rowOff>47624</xdr:rowOff>
    </xdr:from>
    <xdr:ext cx="657225" cy="657225"/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9274" y="1009649"/>
          <a:ext cx="657225" cy="657225"/>
        </a:xfrm>
        <a:prstGeom prst="rect">
          <a:avLst/>
        </a:prstGeom>
      </xdr:spPr>
    </xdr:pic>
    <xdr:clientData/>
  </xdr:oneCellAnchor>
  <xdr:oneCellAnchor>
    <xdr:from>
      <xdr:col>11</xdr:col>
      <xdr:colOff>200025</xdr:colOff>
      <xdr:row>5</xdr:row>
      <xdr:rowOff>0</xdr:rowOff>
    </xdr:from>
    <xdr:ext cx="790575" cy="790575"/>
    <xdr:pic>
      <xdr:nvPicPr>
        <xdr:cNvPr id="6" name="Imagem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01025" y="962025"/>
          <a:ext cx="790575" cy="790575"/>
        </a:xfrm>
        <a:prstGeom prst="rect">
          <a:avLst/>
        </a:prstGeom>
      </xdr:spPr>
    </xdr:pic>
    <xdr:clientData/>
  </xdr:oneCellAnchor>
  <xdr:oneCellAnchor>
    <xdr:from>
      <xdr:col>11</xdr:col>
      <xdr:colOff>28575</xdr:colOff>
      <xdr:row>11</xdr:row>
      <xdr:rowOff>0</xdr:rowOff>
    </xdr:from>
    <xdr:ext cx="990600" cy="990600"/>
    <xdr:pic>
      <xdr:nvPicPr>
        <xdr:cNvPr id="7" name="Imagem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9575" y="2000250"/>
          <a:ext cx="990600" cy="990600"/>
        </a:xfrm>
        <a:prstGeom prst="rect">
          <a:avLst/>
        </a:prstGeom>
      </xdr:spPr>
    </xdr:pic>
    <xdr:clientData/>
  </xdr:oneCellAnchor>
  <xdr:absoluteAnchor>
    <xdr:pos x="8734425" y="3590925"/>
    <xdr:ext cx="1219200" cy="1219200"/>
    <xdr:pic>
      <xdr:nvPicPr>
        <xdr:cNvPr id="8" name="Imagem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4425" y="3590925"/>
          <a:ext cx="1219200" cy="1219200"/>
        </a:xfrm>
        <a:prstGeom prst="rect">
          <a:avLst/>
        </a:prstGeom>
      </xdr:spPr>
    </xdr:pic>
    <xdr:clientData/>
  </xdr:absoluteAnchor>
  <xdr:twoCellAnchor editAs="oneCell">
    <xdr:from>
      <xdr:col>9</xdr:col>
      <xdr:colOff>476250</xdr:colOff>
      <xdr:row>0</xdr:row>
      <xdr:rowOff>57150</xdr:rowOff>
    </xdr:from>
    <xdr:to>
      <xdr:col>10</xdr:col>
      <xdr:colOff>95250</xdr:colOff>
      <xdr:row>0</xdr:row>
      <xdr:rowOff>285750</xdr:rowOff>
    </xdr:to>
    <xdr:pic>
      <xdr:nvPicPr>
        <xdr:cNvPr id="9" name="Imagem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2650" y="57150"/>
          <a:ext cx="228600" cy="228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480060</xdr:colOff>
          <xdr:row>25</xdr:row>
          <xdr:rowOff>160020</xdr:rowOff>
        </xdr:from>
        <xdr:to>
          <xdr:col>3</xdr:col>
          <xdr:colOff>899160</xdr:colOff>
          <xdr:row>27</xdr:row>
          <xdr:rowOff>99060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Mudar Menu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561975</xdr:colOff>
      <xdr:row>28</xdr:row>
      <xdr:rowOff>209550</xdr:rowOff>
    </xdr:from>
    <xdr:ext cx="790575" cy="790575"/>
    <xdr:pic>
      <xdr:nvPicPr>
        <xdr:cNvPr id="10" name="Imagem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1175" y="6762750"/>
          <a:ext cx="790575" cy="790575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209550</xdr:colOff>
      <xdr:row>5</xdr:row>
      <xdr:rowOff>76200</xdr:rowOff>
    </xdr:from>
    <xdr:ext cx="4810125" cy="2533650"/>
    <xdr:pic>
      <xdr:nvPicPr>
        <xdr:cNvPr id="2" name="Imagem 1" descr="IMG1.jp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28750" y="1028700"/>
          <a:ext cx="4810125" cy="2533650"/>
        </a:xfrm>
        <a:prstGeom prst="rect">
          <a:avLst/>
        </a:prstGeom>
      </xdr:spPr>
    </xdr:pic>
    <xdr:clientData/>
  </xdr:oneCellAnchor>
  <xdr:twoCellAnchor>
    <xdr:from>
      <xdr:col>4</xdr:col>
      <xdr:colOff>257175</xdr:colOff>
      <xdr:row>0</xdr:row>
      <xdr:rowOff>123825</xdr:rowOff>
    </xdr:from>
    <xdr:to>
      <xdr:col>5</xdr:col>
      <xdr:colOff>419100</xdr:colOff>
      <xdr:row>3</xdr:row>
      <xdr:rowOff>152400</xdr:rowOff>
    </xdr:to>
    <xdr:sp macro="" textlink="">
      <xdr:nvSpPr>
        <xdr:cNvPr id="3" name="Seta para a direita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 rot="16200000">
          <a:off x="2781300" y="38100"/>
          <a:ext cx="600075" cy="771525"/>
        </a:xfrm>
        <a:prstGeom prst="rightArrow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16</xdr:col>
      <xdr:colOff>133350</xdr:colOff>
      <xdr:row>10</xdr:row>
      <xdr:rowOff>180975</xdr:rowOff>
    </xdr:from>
    <xdr:ext cx="814638" cy="714375"/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950" y="2085975"/>
          <a:ext cx="814638" cy="714375"/>
        </a:xfrm>
        <a:prstGeom prst="rect">
          <a:avLst/>
        </a:prstGeom>
      </xdr:spPr>
    </xdr:pic>
    <xdr:clientData/>
  </xdr:oneCellAnchor>
  <xdr:oneCellAnchor>
    <xdr:from>
      <xdr:col>16</xdr:col>
      <xdr:colOff>247649</xdr:colOff>
      <xdr:row>5</xdr:row>
      <xdr:rowOff>47624</xdr:rowOff>
    </xdr:from>
    <xdr:ext cx="657225" cy="657225"/>
    <xdr:pic>
      <xdr:nvPicPr>
        <xdr:cNvPr id="5" name="Imagem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49" y="1000124"/>
          <a:ext cx="657225" cy="657225"/>
        </a:xfrm>
        <a:prstGeom prst="rect">
          <a:avLst/>
        </a:prstGeom>
      </xdr:spPr>
    </xdr:pic>
    <xdr:clientData/>
  </xdr:oneCellAnchor>
  <xdr:oneCellAnchor>
    <xdr:from>
      <xdr:col>14</xdr:col>
      <xdr:colOff>200025</xdr:colOff>
      <xdr:row>5</xdr:row>
      <xdr:rowOff>0</xdr:rowOff>
    </xdr:from>
    <xdr:ext cx="790575" cy="790575"/>
    <xdr:pic>
      <xdr:nvPicPr>
        <xdr:cNvPr id="6" name="Imagem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4425" y="952500"/>
          <a:ext cx="790575" cy="790575"/>
        </a:xfrm>
        <a:prstGeom prst="rect">
          <a:avLst/>
        </a:prstGeom>
      </xdr:spPr>
    </xdr:pic>
    <xdr:clientData/>
  </xdr:oneCellAnchor>
  <xdr:oneCellAnchor>
    <xdr:from>
      <xdr:col>14</xdr:col>
      <xdr:colOff>28575</xdr:colOff>
      <xdr:row>11</xdr:row>
      <xdr:rowOff>0</xdr:rowOff>
    </xdr:from>
    <xdr:ext cx="990600" cy="990600"/>
    <xdr:pic>
      <xdr:nvPicPr>
        <xdr:cNvPr id="7" name="Imagem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2975" y="2095500"/>
          <a:ext cx="990600" cy="990600"/>
        </a:xfrm>
        <a:prstGeom prst="rect">
          <a:avLst/>
        </a:prstGeom>
      </xdr:spPr>
    </xdr:pic>
    <xdr:clientData/>
  </xdr:oneCellAnchor>
  <xdr:twoCellAnchor>
    <xdr:from>
      <xdr:col>7</xdr:col>
      <xdr:colOff>290515</xdr:colOff>
      <xdr:row>15</xdr:row>
      <xdr:rowOff>4763</xdr:rowOff>
    </xdr:from>
    <xdr:to>
      <xdr:col>8</xdr:col>
      <xdr:colOff>328615</xdr:colOff>
      <xdr:row>18</xdr:row>
      <xdr:rowOff>52388</xdr:rowOff>
    </xdr:to>
    <xdr:sp macro="" textlink="">
      <xdr:nvSpPr>
        <xdr:cNvPr id="8" name="Seta para a direita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 rot="16200000">
          <a:off x="4572002" y="2847976"/>
          <a:ext cx="619125" cy="647700"/>
        </a:xfrm>
        <a:prstGeom prst="rightArrow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absoluteAnchor>
    <xdr:pos x="8572500" y="3305175"/>
    <xdr:ext cx="1219200" cy="1219200"/>
    <xdr:pic>
      <xdr:nvPicPr>
        <xdr:cNvPr id="9" name="Imagem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00" y="3305175"/>
          <a:ext cx="1219200" cy="1219200"/>
        </a:xfrm>
        <a:prstGeom prst="rect">
          <a:avLst/>
        </a:prstGeom>
      </xdr:spPr>
    </xdr:pic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2447925</xdr:colOff>
      <xdr:row>0</xdr:row>
      <xdr:rowOff>171450</xdr:rowOff>
    </xdr:from>
    <xdr:to>
      <xdr:col>2</xdr:col>
      <xdr:colOff>2676525</xdr:colOff>
      <xdr:row>0</xdr:row>
      <xdr:rowOff>400050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0" y="1714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3</xdr:col>
      <xdr:colOff>219075</xdr:colOff>
      <xdr:row>0</xdr:row>
      <xdr:rowOff>419100</xdr:rowOff>
    </xdr:from>
    <xdr:to>
      <xdr:col>3</xdr:col>
      <xdr:colOff>447675</xdr:colOff>
      <xdr:row>1</xdr:row>
      <xdr:rowOff>114300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1150" y="419100"/>
          <a:ext cx="228600" cy="228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ledson\Desktop\Planilha_Estoque_Versao_2.6%20COM%20MACR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ledson\Dropbox\Documentos\InfoProdutos\Plan%20Financeira%20Pessoal\Plan%20Fin%20Pessoal%201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ledson\Dropbox\Documentos\InfoProdutos\Plan%20Financeira%20Pessoal\Antigas\Controle%20%20Gledson%20-%20DSOP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ledson\Desktop\Estoque-Intern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ledson\Dropbox\Inovar.net\InfoProdutos\Planilhas%20Gr&#225;tis\Plan%20Controle%20estoque%20gratis\Estoque-Interno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ledson\Dropbox\Documentos\InfoProdutos\Plan%20Financeira%20Pessoal\Planilha%20de%20Gest&#227;o%20GLEDS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Consultas"/>
      <sheetName val="Pesquisa"/>
      <sheetName val="Estoque"/>
      <sheetName val="Entradas"/>
      <sheetName val="Saídas"/>
      <sheetName val="Percas"/>
      <sheetName val="F e C"/>
      <sheetName val="Ajustes"/>
      <sheetName val="Versão"/>
      <sheetName val="Ajuda"/>
      <sheetName val="Planilha_Estoque_Versao_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D"/>
      <sheetName val="Ajuda"/>
      <sheetName val="MENU"/>
      <sheetName val="REGISTRAR"/>
      <sheetName val="CONTAS"/>
      <sheetName val="CATEGORIAS"/>
      <sheetName val="RESUMO"/>
      <sheetName val="ORÇAMENTO"/>
      <sheetName val="Gráficos"/>
      <sheetName val="Ajustes"/>
      <sheetName val="Imprimir"/>
      <sheetName val="R1"/>
      <sheetName val="ZP"/>
      <sheetName val="V"/>
      <sheetName val="Dep"/>
      <sheetName val="Aviso"/>
      <sheetName val="Plan Fin Pessoal 12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>
        <row r="9">
          <cell r="C9" t="str">
            <v>Conta Corrente</v>
          </cell>
        </row>
        <row r="10">
          <cell r="C10" t="str">
            <v>Dinheiro</v>
          </cell>
        </row>
        <row r="11">
          <cell r="C11" t="str">
            <v>Conta Poupança</v>
          </cell>
        </row>
        <row r="12">
          <cell r="C12" t="str">
            <v>Cartão</v>
          </cell>
        </row>
        <row r="13">
          <cell r="C13" t="str">
            <v>EXTRA 1</v>
          </cell>
        </row>
        <row r="14">
          <cell r="C14" t="str">
            <v>EXTRA 2</v>
          </cell>
        </row>
        <row r="15">
          <cell r="C15" t="str">
            <v>EXTRA 3</v>
          </cell>
        </row>
        <row r="16">
          <cell r="C16" t="str">
            <v>EXTRA 4</v>
          </cell>
        </row>
        <row r="17">
          <cell r="C17" t="str">
            <v>EXTRA 5</v>
          </cell>
        </row>
      </sheetData>
      <sheetData sheetId="10" refreshError="1"/>
      <sheetData sheetId="11">
        <row r="4">
          <cell r="E4" t="str">
            <v>HABITAÇÃO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nçamentos"/>
      <sheetName val="Orçamento"/>
      <sheetName val="Debitos"/>
      <sheetName val="Plan1"/>
      <sheetName val="Controle de contas"/>
      <sheetName val="Prioridades"/>
      <sheetName val="Calc.Sonhos"/>
      <sheetName val="Depreciação"/>
      <sheetName val="RaioX"/>
      <sheetName val="Relatorios"/>
      <sheetName val="Ajuda"/>
      <sheetName val="Versão"/>
      <sheetName val="Imprimir"/>
    </sheetNames>
    <sheetDataSet>
      <sheetData sheetId="0" refreshError="1"/>
      <sheetData sheetId="1">
        <row r="391">
          <cell r="B391" t="str">
            <v>Bradesco</v>
          </cell>
        </row>
      </sheetData>
      <sheetData sheetId="2" refreshError="1"/>
      <sheetData sheetId="3" refreshError="1"/>
      <sheetData sheetId="4">
        <row r="3">
          <cell r="A3" t="str">
            <v>Dinheiro</v>
          </cell>
        </row>
        <row r="4">
          <cell r="A4" t="str">
            <v>Banco Bradesco</v>
          </cell>
        </row>
        <row r="5">
          <cell r="A5" t="str">
            <v>Investimentos</v>
          </cell>
        </row>
        <row r="6">
          <cell r="A6" t="str">
            <v>Vendas</v>
          </cell>
        </row>
        <row r="7">
          <cell r="A7" t="str">
            <v>Pagamentos</v>
          </cell>
        </row>
        <row r="8">
          <cell r="A8" t="str">
            <v>Bens</v>
          </cell>
        </row>
        <row r="9">
          <cell r="A9" t="str">
            <v>Saldo Anterior</v>
          </cell>
        </row>
        <row r="10">
          <cell r="A10" t="str">
            <v>Poupança Bradesco</v>
          </cell>
        </row>
        <row r="11">
          <cell r="A11" t="str">
            <v>Poupança/Sonhos</v>
          </cell>
        </row>
        <row r="12">
          <cell r="A12" t="str">
            <v>Salários</v>
          </cell>
        </row>
      </sheetData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ultas"/>
      <sheetName val="Estoque"/>
      <sheetName val="Entradas"/>
      <sheetName val="Saídas"/>
      <sheetName val="Configuração"/>
      <sheetName val="Versão"/>
      <sheetName val="Ajuda"/>
      <sheetName val="Estoque-Interno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ultas"/>
      <sheetName val="Estoque"/>
      <sheetName val="Entradas"/>
      <sheetName val="Saídas"/>
      <sheetName val="Configuração"/>
      <sheetName val="Versão"/>
      <sheetName val="Ajuda"/>
      <sheetName val="Estoque-Interno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inel"/>
      <sheetName val="Registro de Despesas"/>
      <sheetName val="Orçamento"/>
      <sheetName val="Ajuda"/>
      <sheetName val="Depreciação"/>
      <sheetName val="Imprimir"/>
      <sheetName val="Ajuste Financeiro"/>
      <sheetName val="Cartão"/>
      <sheetName val="Dívidas"/>
      <sheetName val="CD"/>
      <sheetName val="Planilha de Gestão GLEDSON"/>
      <sheetName val="a"/>
      <sheetName val="Ajus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Estoque" displayName="TabelaEstoque" ref="A2:N63" totalsRowShown="0" headerRowDxfId="72" dataDxfId="71">
  <tableColumns count="14">
    <tableColumn id="1" xr3:uid="{00000000-0010-0000-0000-000001000000}" name="SKU" dataDxfId="70"/>
    <tableColumn id="2" xr3:uid="{00000000-0010-0000-0000-000002000000}" name="Descrição" dataDxfId="69"/>
    <tableColumn id="3" xr3:uid="{00000000-0010-0000-0000-000003000000}" name="Tipos" dataDxfId="68"/>
    <tableColumn id="4" xr3:uid="{00000000-0010-0000-0000-000004000000}" name="Medição" dataDxfId="67"/>
    <tableColumn id="14" xr3:uid="{00000000-0010-0000-0000-00000E000000}" name="Código Forcenedor" dataDxfId="66"/>
    <tableColumn id="15" xr3:uid="{00000000-0010-0000-0000-00000F000000}" name="Nome Fornecedor" dataDxfId="65">
      <calculatedColumnFormula>IFERROR(VLOOKUP(TabelaEstoque[[#This Row],[Código Forcenedor]],TabelaFC[],MATCH(TabelaFC[[#Headers],[Nome]],TabelaFC[#Headers],0)),"")</calculatedColumnFormula>
    </tableColumn>
    <tableColumn id="16" xr3:uid="{00000000-0010-0000-0000-000010000000}" name="Sobrenome" dataDxfId="64">
      <calculatedColumnFormula>IFERROR(VLOOKUP(TabelaEstoque[[#This Row],[Código Forcenedor]],TabelaFC[],MATCH(TabelaFC[[#Headers],[Sobrenome]],TabelaFC[#Headers],0)),"")</calculatedColumnFormula>
    </tableColumn>
    <tableColumn id="5" xr3:uid="{00000000-0010-0000-0000-000005000000}" name="Entradas" dataDxfId="63">
      <calculatedColumnFormula>SUMIF(TabelaEntradas[SKU],TabelaEstoque[[#This Row],[SKU]],TabelaEntradas[Quantidade])</calculatedColumnFormula>
    </tableColumn>
    <tableColumn id="6" xr3:uid="{00000000-0010-0000-0000-000006000000}" name="Saídas" dataDxfId="62">
      <calculatedColumnFormula>SUMIF(TabelaSaidas[SKU],TabelaEstoque[[#This Row],[SKU]],TabelaSaidas[Quantidade])</calculatedColumnFormula>
    </tableColumn>
    <tableColumn id="9" xr3:uid="{00000000-0010-0000-0000-000009000000}" name="Percas" dataDxfId="61">
      <calculatedColumnFormula>SUMIF(TabelaPercas[SKU],TabelaEstoque[[#This Row],[SKU]],TabelaPercas[Quantidade])</calculatedColumnFormula>
    </tableColumn>
    <tableColumn id="10" xr3:uid="{00000000-0010-0000-0000-00000A000000}" name="Saldo" dataDxfId="60">
      <calculatedColumnFormula>TabelaEstoque[[#This Row],[Entradas]]-TabelaEstoque[[#This Row],[Saídas]]-TabelaEstoque[[#This Row],[Percas]]</calculatedColumnFormula>
    </tableColumn>
    <tableColumn id="11" xr3:uid="{00000000-0010-0000-0000-00000B000000}" name="Mínimo" dataDxfId="59"/>
    <tableColumn id="12" xr3:uid="{00000000-0010-0000-0000-00000C000000}" name="Máximo" dataDxfId="58"/>
    <tableColumn id="13" xr3:uid="{00000000-0010-0000-0000-00000D000000}" name="Resuprimento" dataDxfId="57">
      <calculatedColumnFormula>IF(TabelaEstoque[[#This Row],[Mínimo]]="","",IF(TabelaEstoque[[#This Row],[Saldo]]&lt;=TabelaEstoque[[#This Row],[Mínimo]],Ajustes!$H$5,IF(TabelaEstoque[[#This Row],[Saldo]]&gt;=TabelaEstoque[[#This Row],[Máximo]],Ajustes!$H$7,Ajustes!$H$6)))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Entradas" displayName="TabelaEntradas" ref="A3:J20" totalsRowShown="0" headerRowDxfId="56" dataDxfId="55">
  <autoFilter ref="A3:J20" xr:uid="{00000000-0009-0000-0100-000003000000}"/>
  <tableColumns count="10">
    <tableColumn id="1" xr3:uid="{00000000-0010-0000-0100-000001000000}" name="SKU" dataDxfId="54"/>
    <tableColumn id="2" xr3:uid="{00000000-0010-0000-0100-000002000000}" name="Descrição" dataDxfId="53">
      <calculatedColumnFormula>IF(TabelaEntradas[[#This Row],[SKU]]="","Digite o SKU ao lado",VLOOKUP(TabelaEntradas[[#This Row],[SKU]],TabelaEstoque[#All],MATCH(TabelaEstoque[[#Headers],[Descrição]],TabelaEstoque[#Headers],0),FALSE))</calculatedColumnFormula>
    </tableColumn>
    <tableColumn id="3" xr3:uid="{00000000-0010-0000-0100-000003000000}" name="Tipo" dataDxfId="52">
      <calculatedColumnFormula>IF(TabelaEntradas[[#This Row],[SKU]]="","",VLOOKUP(TabelaEntradas[[#This Row],[SKU]],TabelaEstoque[#All],MATCH(TabelaEstoque[[#Headers],[Tipos]],TabelaEstoque[#Headers],0),FALSE))</calculatedColumnFormula>
    </tableColumn>
    <tableColumn id="4" xr3:uid="{00000000-0010-0000-0100-000004000000}" name="Medição" dataDxfId="51">
      <calculatedColumnFormula>IF(TabelaEntradas[[#This Row],[SKU]]="","",VLOOKUP(TabelaEntradas[[#This Row],[SKU]],TabelaEstoque[#All],MATCH(TabelaEstoque[[#Headers],[Medição]],TabelaEstoque[#Headers],0),FALSE))</calculatedColumnFormula>
    </tableColumn>
    <tableColumn id="9" xr3:uid="{00000000-0010-0000-0100-000009000000}" name="Número da Nota" dataDxfId="50"/>
    <tableColumn id="5" xr3:uid="{00000000-0010-0000-0100-000005000000}" name="Data de pedido" dataDxfId="49"/>
    <tableColumn id="6" xr3:uid="{00000000-0010-0000-0100-000006000000}" name="Data de entrega" dataDxfId="48"/>
    <tableColumn id="7" xr3:uid="{00000000-0010-0000-0100-000007000000}" name="Preço de compra" dataDxfId="47"/>
    <tableColumn id="8" xr3:uid="{00000000-0010-0000-0100-000008000000}" name="Quantidade" dataDxfId="46"/>
    <tableColumn id="10" xr3:uid="{00000000-0010-0000-0100-00000A000000}" name="Observação" dataDxfId="4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Saidas" displayName="TabelaSaidas" ref="A2:I21" totalsRowShown="0" headerRowDxfId="44" dataDxfId="43">
  <autoFilter ref="A2:I21" xr:uid="{00000000-0009-0000-0100-000004000000}"/>
  <tableColumns count="9">
    <tableColumn id="1" xr3:uid="{00000000-0010-0000-0200-000001000000}" name="SKU" dataDxfId="42"/>
    <tableColumn id="2" xr3:uid="{00000000-0010-0000-0200-000002000000}" name="Descrição" dataDxfId="41">
      <calculatedColumnFormula>IFERROR(IF(TabelaSaidas[[#This Row],[SKU]]="","",VLOOKUP(TabelaSaidas[[#This Row],[SKU]],TabelaEstoque[#All],MATCH(TabelaEstoque[[#Headers],[Descrição]],TabelaEstoque[#Headers],0),FALSE)),"SKU não localizado")</calculatedColumnFormula>
    </tableColumn>
    <tableColumn id="3" xr3:uid="{00000000-0010-0000-0200-000003000000}" name="Tipo" dataDxfId="40">
      <calculatedColumnFormula>IFERROR(IF(TabelaSaidas[[#This Row],[SKU]]="","",VLOOKUP(TabelaSaidas[[#This Row],[SKU]],TabelaEstoque[#All],MATCH(TabelaEstoque[[#Headers],[Tipos]],TabelaEstoque[#Headers],0),FALSE)),"")</calculatedColumnFormula>
    </tableColumn>
    <tableColumn id="4" xr3:uid="{00000000-0010-0000-0200-000004000000}" name="Medição" dataDxfId="39">
      <calculatedColumnFormula>IFERROR(IF(TabelaSaidas[[#This Row],[SKU]]="","",VLOOKUP(TabelaSaidas[[#This Row],[SKU]],TabelaEstoque[#All],MATCH(TabelaEstoque[[#Headers],[Medição]],TabelaEstoque[#Headers],0),FALSE)),"")</calculatedColumnFormula>
    </tableColumn>
    <tableColumn id="5" xr3:uid="{00000000-0010-0000-0200-000005000000}" name="Data" dataDxfId="38"/>
    <tableColumn id="6" xr3:uid="{00000000-0010-0000-0200-000006000000}" name="Quantidade" dataDxfId="37"/>
    <tableColumn id="7" xr3:uid="{00000000-0010-0000-0200-000007000000}" name="Retirante" dataDxfId="36"/>
    <tableColumn id="8" xr3:uid="{00000000-0010-0000-0200-000008000000}" name="Setor" dataDxfId="35"/>
    <tableColumn id="9" xr3:uid="{00000000-0010-0000-0200-000009000000}" name="Observação" dataDxfId="3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Percas" displayName="TabelaPercas" ref="A2:G20" totalsRowShown="0" headerRowDxfId="33" dataDxfId="32">
  <autoFilter ref="A2:G20" xr:uid="{00000000-0009-0000-0100-000005000000}"/>
  <tableColumns count="7">
    <tableColumn id="1" xr3:uid="{00000000-0010-0000-0300-000001000000}" name="SKU" dataDxfId="31"/>
    <tableColumn id="2" xr3:uid="{00000000-0010-0000-0300-000002000000}" name="Descrição" dataDxfId="30">
      <calculatedColumnFormula>IFERROR(IF(TabelaPercas[[#This Row],[SKU]]="","",VLOOKUP(TabelaPercas[[#This Row],[SKU]],TabelaEstoque[#All],MATCH(TabelaEstoque[[#Headers],[Descrição]],TabelaEstoque[#Headers],0),FALSE)),"SKU não localizado")</calculatedColumnFormula>
    </tableColumn>
    <tableColumn id="3" xr3:uid="{00000000-0010-0000-0300-000003000000}" name="Tipo" dataDxfId="29">
      <calculatedColumnFormula>IFERROR(IF(TabelaPercas[[#This Row],[SKU]]="","",VLOOKUP(TabelaPercas[[#This Row],[SKU]],TabelaEstoque[#All],MATCH(TabelaEstoque[[#Headers],[Tipos]],TabelaEstoque[#Headers],0),FALSE)),"")</calculatedColumnFormula>
    </tableColumn>
    <tableColumn id="4" xr3:uid="{00000000-0010-0000-0300-000004000000}" name="Medição" dataDxfId="28">
      <calculatedColumnFormula>IFERROR(IF(TabelaPercas[[#This Row],[SKU]]="","",VLOOKUP(TabelaPercas[[#This Row],[SKU]],TabelaEstoque[#All],MATCH(TabelaEstoque[[#Headers],[Medição]],TabelaEstoque[#Headers],0),FALSE)),"")</calculatedColumnFormula>
    </tableColumn>
    <tableColumn id="5" xr3:uid="{00000000-0010-0000-0300-000005000000}" name="Data" dataDxfId="27"/>
    <tableColumn id="6" xr3:uid="{00000000-0010-0000-0300-000006000000}" name="Quantidade" dataDxfId="26"/>
    <tableColumn id="7" xr3:uid="{00000000-0010-0000-0300-000007000000}" name="Motivo" dataDxfId="2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TabelaFC" displayName="TabelaFC" ref="A2:G12" totalsRowShown="0" dataDxfId="24">
  <autoFilter ref="A2:G12" xr:uid="{00000000-0009-0000-0100-00000A000000}"/>
  <tableColumns count="7">
    <tableColumn id="1" xr3:uid="{00000000-0010-0000-0400-000001000000}" name="Código" dataDxfId="23"/>
    <tableColumn id="2" xr3:uid="{00000000-0010-0000-0400-000002000000}" name="Nome" dataDxfId="22"/>
    <tableColumn id="3" xr3:uid="{00000000-0010-0000-0400-000003000000}" name="Sobrenome" dataDxfId="21"/>
    <tableColumn id="4" xr3:uid="{00000000-0010-0000-0400-000004000000}" name="Tipo" dataDxfId="20"/>
    <tableColumn id="5" xr3:uid="{00000000-0010-0000-0400-000005000000}" name="E-mail" dataDxfId="19"/>
    <tableColumn id="6" xr3:uid="{00000000-0010-0000-0400-000006000000}" name="Telefone" dataDxfId="18"/>
    <tableColumn id="7" xr3:uid="{00000000-0010-0000-0400-000007000000}" name="Endereço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Tipo" displayName="TabelaTipo" ref="B4:B8" totalsRowShown="0" headerRowDxfId="16" dataDxfId="15">
  <autoFilter ref="B4:B8" xr:uid="{00000000-0009-0000-0100-000006000000}"/>
  <tableColumns count="1">
    <tableColumn id="1" xr3:uid="{00000000-0010-0000-0500-000001000000}" name="TIPO" dataDxfId="14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Medicao" displayName="TabelaMedicao" ref="D4:D12" totalsRowShown="0" headerRowDxfId="13" dataDxfId="12">
  <autoFilter ref="D4:D12" xr:uid="{00000000-0009-0000-0100-000007000000}"/>
  <tableColumns count="1">
    <tableColumn id="1" xr3:uid="{00000000-0010-0000-0600-000001000000}" name="MEDIÇÃO" dataDxfId="11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Setores" displayName="TabSetores" ref="F4:F7" totalsRowShown="0" headerRowDxfId="10" dataDxfId="9">
  <autoFilter ref="F4:F7" xr:uid="{00000000-0009-0000-0100-000008000000}"/>
  <tableColumns count="1">
    <tableColumn id="1" xr3:uid="{00000000-0010-0000-0700-000001000000}" name="SETOR" dataDxfId="8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Ressuprimento" displayName="Ressuprimento" ref="H4:H7" totalsRowShown="0" headerRowDxfId="7" dataDxfId="6">
  <autoFilter ref="H4:H7" xr:uid="{00000000-0009-0000-0100-000009000000}"/>
  <tableColumns count="1">
    <tableColumn id="1" xr3:uid="{00000000-0010-0000-0800-000001000000}" name="RESSUPRIMENTO" dataDxfId="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9000000}" name="Tabela1" displayName="Tabela1" ref="A3:C104" totalsRowShown="0" headerRowDxfId="4" dataDxfId="3">
  <autoFilter ref="A3:C104" xr:uid="{00000000-0009-0000-0100-000001000000}"/>
  <sortState xmlns:xlrd2="http://schemas.microsoft.com/office/spreadsheetml/2017/richdata2" ref="A6:C106">
    <sortCondition ref="A5:A106"/>
  </sortState>
  <tableColumns count="3">
    <tableColumn id="1" xr3:uid="{00000000-0010-0000-0900-000001000000}" name="Data" dataDxfId="2"/>
    <tableColumn id="2" xr3:uid="{00000000-0010-0000-0900-000002000000}" name="Versão" dataDxfId="1">
      <calculatedColumnFormula>IF(Tabela1[[#This Row],[Melhoria]]="","",E4)</calculatedColumnFormula>
    </tableColumn>
    <tableColumn id="3" xr3:uid="{00000000-0010-0000-0900-000003000000}" name="Melhoria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inovar.net/forum" TargetMode="External"/><Relationship Id="rId2" Type="http://schemas.openxmlformats.org/officeDocument/2006/relationships/hyperlink" Target="http://inovar.net/ref/948/" TargetMode="External"/><Relationship Id="rId1" Type="http://schemas.openxmlformats.org/officeDocument/2006/relationships/hyperlink" Target="http://inovar.net/ref/948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inovar.net/produto/planilha-de-controle-de-estoque/ref/1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mailto:email2@inovar.net" TargetMode="External"/><Relationship Id="rId1" Type="http://schemas.openxmlformats.org/officeDocument/2006/relationships/hyperlink" Target="mailto:emailteste@inovar.net" TargetMode="External"/><Relationship Id="rId5" Type="http://schemas.openxmlformats.org/officeDocument/2006/relationships/table" Target="../tables/table5.xml"/><Relationship Id="rId4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http://inovar.net/produto/planilha-de-controle-de-estoque/" TargetMode="External"/><Relationship Id="rId7" Type="http://schemas.openxmlformats.org/officeDocument/2006/relationships/printerSettings" Target="../printerSettings/printerSettings11.bin"/><Relationship Id="rId2" Type="http://schemas.openxmlformats.org/officeDocument/2006/relationships/hyperlink" Target="http://inovar.net/produto/curso-planilha-de-controle-de-estoques/" TargetMode="External"/><Relationship Id="rId1" Type="http://schemas.openxmlformats.org/officeDocument/2006/relationships/hyperlink" Target="http://www.inovar.net/ref/948/" TargetMode="External"/><Relationship Id="rId6" Type="http://schemas.openxmlformats.org/officeDocument/2006/relationships/hyperlink" Target="http://inovar.net/2015/05/14/planilha-de-controle-de-estoques-importando-dados-para-a-nova-versao/ref/948/" TargetMode="External"/><Relationship Id="rId5" Type="http://schemas.openxmlformats.org/officeDocument/2006/relationships/hyperlink" Target="http://inovar.net/produto/curso-planilha-de-controle-de-estoques/ref/948/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http://inovar.net/produto/planilha-de-controle-de-estoque/ref/948/" TargetMode="External"/><Relationship Id="rId9" Type="http://schemas.openxmlformats.org/officeDocument/2006/relationships/vmlDrawing" Target="../drawings/vmlDrawing2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2"/>
  <dimension ref="A1:M34"/>
  <sheetViews>
    <sheetView showGridLines="0" workbookViewId="0">
      <selection activeCell="B15" sqref="B15"/>
    </sheetView>
  </sheetViews>
  <sheetFormatPr defaultColWidth="0" defaultRowHeight="14.4" zeroHeight="1"/>
  <cols>
    <col min="1" max="1" width="3.44140625" customWidth="1"/>
    <col min="2" max="2" width="25.88671875" customWidth="1"/>
    <col min="3" max="3" width="1.109375" customWidth="1"/>
    <col min="4" max="10" width="15.6640625" style="105" customWidth="1"/>
    <col min="11" max="11" width="16.6640625" customWidth="1"/>
    <col min="12" max="12" width="1" customWidth="1"/>
    <col min="13" max="13" width="16.6640625" customWidth="1"/>
    <col min="14" max="16384" width="9.109375" hidden="1"/>
  </cols>
  <sheetData>
    <row r="1" spans="1:13" ht="23.4">
      <c r="A1" s="93" t="s">
        <v>273</v>
      </c>
      <c r="B1" s="90"/>
      <c r="C1" s="90"/>
      <c r="D1" s="142" t="s">
        <v>129</v>
      </c>
      <c r="E1" s="142"/>
      <c r="F1" s="142"/>
      <c r="G1" s="142"/>
      <c r="H1" s="142"/>
      <c r="I1" s="142"/>
      <c r="J1" s="90"/>
      <c r="K1" s="90"/>
      <c r="L1" s="90"/>
      <c r="M1" s="90"/>
    </row>
    <row r="2" spans="1:13" ht="15.6">
      <c r="A2" s="92">
        <v>1</v>
      </c>
      <c r="B2" s="94" t="s">
        <v>119</v>
      </c>
      <c r="C2" s="90"/>
      <c r="D2" s="142"/>
      <c r="E2" s="142"/>
      <c r="F2" s="142"/>
      <c r="G2" s="142"/>
      <c r="H2" s="142"/>
      <c r="I2" s="142"/>
      <c r="J2" s="90"/>
      <c r="K2" s="139" t="s">
        <v>100</v>
      </c>
      <c r="L2" s="139"/>
      <c r="M2" s="139"/>
    </row>
    <row r="3" spans="1:13">
      <c r="A3" s="92" t="s">
        <v>111</v>
      </c>
      <c r="B3" s="91" t="s">
        <v>113</v>
      </c>
      <c r="C3" s="90"/>
      <c r="D3" s="143"/>
      <c r="E3" s="143"/>
      <c r="F3" s="143"/>
      <c r="G3" s="143"/>
      <c r="H3" s="143"/>
      <c r="I3" s="143"/>
      <c r="J3" s="90"/>
      <c r="K3" s="103"/>
      <c r="L3" s="103"/>
      <c r="M3" s="103"/>
    </row>
    <row r="4" spans="1:13" ht="18">
      <c r="A4" s="92" t="s">
        <v>112</v>
      </c>
      <c r="B4" s="91" t="s">
        <v>4</v>
      </c>
      <c r="C4" s="97"/>
      <c r="D4" s="145" t="s">
        <v>265</v>
      </c>
      <c r="E4" s="145"/>
      <c r="F4" s="145"/>
      <c r="G4" s="145"/>
      <c r="H4" s="145"/>
      <c r="I4" s="145"/>
      <c r="J4" s="104"/>
      <c r="K4" s="112" t="s">
        <v>101</v>
      </c>
      <c r="L4" s="103"/>
      <c r="M4" s="112" t="s">
        <v>102</v>
      </c>
    </row>
    <row r="5" spans="1:13">
      <c r="A5" s="92" t="s">
        <v>114</v>
      </c>
      <c r="B5" s="99" t="s">
        <v>5</v>
      </c>
      <c r="C5" s="90"/>
      <c r="D5" s="104"/>
      <c r="E5" s="104"/>
      <c r="F5" s="104"/>
      <c r="G5" s="104"/>
      <c r="H5" s="104"/>
      <c r="I5" s="104"/>
      <c r="J5" s="104"/>
      <c r="K5" s="112"/>
      <c r="L5" s="103"/>
      <c r="M5" s="112"/>
    </row>
    <row r="6" spans="1:13">
      <c r="A6" s="92" t="s">
        <v>120</v>
      </c>
      <c r="B6" s="99" t="s">
        <v>134</v>
      </c>
      <c r="C6" s="98"/>
      <c r="D6" s="109" t="s">
        <v>131</v>
      </c>
      <c r="E6" s="104"/>
      <c r="F6" s="104"/>
      <c r="G6" s="104"/>
      <c r="H6" s="104"/>
      <c r="I6" s="104"/>
      <c r="J6" s="104"/>
      <c r="K6" s="112"/>
      <c r="L6" s="103"/>
      <c r="M6" s="112"/>
    </row>
    <row r="7" spans="1:13">
      <c r="A7" s="92">
        <v>2</v>
      </c>
      <c r="B7" s="99" t="s">
        <v>115</v>
      </c>
      <c r="C7" s="90"/>
      <c r="D7" s="104"/>
      <c r="E7" s="104"/>
      <c r="F7" s="104"/>
      <c r="G7" s="104"/>
      <c r="H7" s="104"/>
      <c r="I7" s="104"/>
      <c r="J7" s="104"/>
      <c r="K7" s="112"/>
      <c r="L7" s="103"/>
      <c r="M7" s="112"/>
    </row>
    <row r="8" spans="1:13">
      <c r="A8" s="92">
        <v>3</v>
      </c>
      <c r="B8" s="99" t="s">
        <v>116</v>
      </c>
      <c r="C8" s="90"/>
      <c r="D8" s="104"/>
      <c r="E8" s="104"/>
      <c r="F8" s="104"/>
      <c r="G8" s="104"/>
      <c r="H8" s="104"/>
      <c r="I8" s="104"/>
      <c r="J8" s="104"/>
      <c r="K8" s="112"/>
      <c r="L8" s="103"/>
      <c r="M8" s="112"/>
    </row>
    <row r="9" spans="1:13" ht="15.6">
      <c r="A9" s="92">
        <v>4</v>
      </c>
      <c r="B9" s="100" t="s">
        <v>118</v>
      </c>
      <c r="C9" s="90"/>
      <c r="D9" s="106" t="s">
        <v>132</v>
      </c>
      <c r="E9" s="106"/>
      <c r="F9" s="106"/>
      <c r="G9" s="106"/>
      <c r="H9" s="107">
        <f>SUM(TabelaEstoque[Saldo])</f>
        <v>205</v>
      </c>
      <c r="I9" s="104"/>
      <c r="J9" s="104"/>
      <c r="K9" s="103"/>
      <c r="L9" s="103"/>
      <c r="M9" s="103"/>
    </row>
    <row r="10" spans="1:13">
      <c r="A10" s="92" t="s">
        <v>117</v>
      </c>
      <c r="B10" s="99" t="s">
        <v>121</v>
      </c>
      <c r="C10" s="90"/>
      <c r="D10" s="104"/>
      <c r="E10" s="104"/>
      <c r="F10" s="104"/>
      <c r="G10" s="104"/>
      <c r="H10" s="104"/>
      <c r="I10" s="104"/>
      <c r="J10" s="104"/>
      <c r="K10" s="140" t="s">
        <v>103</v>
      </c>
      <c r="L10" s="103"/>
      <c r="M10" s="112" t="s">
        <v>135</v>
      </c>
    </row>
    <row r="11" spans="1:13" ht="15" customHeight="1">
      <c r="A11" s="92">
        <v>5</v>
      </c>
      <c r="B11" s="99" t="s">
        <v>122</v>
      </c>
      <c r="C11" s="90"/>
      <c r="D11" s="106" t="s">
        <v>136</v>
      </c>
      <c r="E11" s="106"/>
      <c r="F11" s="106"/>
      <c r="G11" s="106"/>
      <c r="H11" s="115">
        <f>COUNTA(TabelaEstoque[Descrição])</f>
        <v>11</v>
      </c>
      <c r="I11" s="104"/>
      <c r="J11" s="104"/>
      <c r="K11" s="140"/>
      <c r="L11" s="103"/>
      <c r="M11" s="112"/>
    </row>
    <row r="12" spans="1:13">
      <c r="A12" s="92"/>
      <c r="B12" s="99"/>
      <c r="C12" s="90"/>
      <c r="D12" s="104"/>
      <c r="E12" s="104"/>
      <c r="F12" s="104"/>
      <c r="G12" s="104"/>
      <c r="H12" s="104"/>
      <c r="I12" s="104"/>
      <c r="J12" s="104"/>
      <c r="K12" s="140"/>
      <c r="L12" s="103"/>
      <c r="M12" s="112"/>
    </row>
    <row r="13" spans="1:13">
      <c r="A13" s="92"/>
      <c r="B13" s="101"/>
      <c r="C13" s="90"/>
      <c r="D13" s="106" t="s">
        <v>133</v>
      </c>
      <c r="E13" s="106"/>
      <c r="F13" s="106"/>
      <c r="G13" s="106"/>
      <c r="H13" s="108">
        <v>0</v>
      </c>
      <c r="I13" s="104"/>
      <c r="J13" s="104"/>
      <c r="K13" s="103"/>
      <c r="L13" s="103"/>
      <c r="M13" s="103"/>
    </row>
    <row r="14" spans="1:13">
      <c r="A14" s="131"/>
      <c r="B14" s="99"/>
      <c r="C14" s="90"/>
      <c r="D14" s="104"/>
      <c r="E14" s="104"/>
      <c r="F14" s="104"/>
      <c r="G14" s="104"/>
      <c r="H14" s="104"/>
      <c r="I14" s="104"/>
      <c r="J14" s="104"/>
      <c r="K14" s="141" t="s">
        <v>105</v>
      </c>
      <c r="L14" s="141"/>
      <c r="M14" s="141"/>
    </row>
    <row r="15" spans="1:13">
      <c r="A15" s="96" t="s">
        <v>126</v>
      </c>
      <c r="B15" s="99" t="s">
        <v>123</v>
      </c>
      <c r="C15" s="90"/>
      <c r="D15" s="106" t="str">
        <f>IF(H15&gt;0,"Cuidado! Alguns produtos com estoque baixo.","Aparentemente nenhum produto com estoque baixo.")</f>
        <v>Cuidado! Alguns produtos com estoque baixo.</v>
      </c>
      <c r="E15" s="106"/>
      <c r="F15" s="106"/>
      <c r="G15" s="106"/>
      <c r="H15" s="107">
        <f>COUNTIF(TabelaEstoque[Resuprimento],Ajustes!H5)</f>
        <v>10</v>
      </c>
      <c r="I15" s="104"/>
      <c r="J15" s="104"/>
      <c r="K15" s="144" t="s">
        <v>106</v>
      </c>
      <c r="L15" s="144"/>
      <c r="M15" s="144"/>
    </row>
    <row r="16" spans="1:13" ht="15" customHeight="1">
      <c r="A16" s="96" t="s">
        <v>126</v>
      </c>
      <c r="B16" s="99" t="s">
        <v>18</v>
      </c>
      <c r="C16" s="90"/>
      <c r="D16" s="104"/>
      <c r="E16" s="104"/>
      <c r="F16" s="104"/>
      <c r="G16" s="104"/>
      <c r="H16" s="104"/>
      <c r="I16" s="104"/>
      <c r="J16" s="104"/>
      <c r="K16" s="113"/>
      <c r="L16" s="113"/>
      <c r="M16" s="113"/>
    </row>
    <row r="17" spans="1:13">
      <c r="A17" s="96" t="s">
        <v>126</v>
      </c>
      <c r="B17" s="99" t="s">
        <v>124</v>
      </c>
      <c r="C17" s="90"/>
      <c r="D17" s="106"/>
      <c r="E17" s="106"/>
      <c r="F17" s="106"/>
      <c r="G17" s="106"/>
      <c r="H17" s="116"/>
      <c r="I17" s="104"/>
      <c r="J17" s="104"/>
      <c r="K17" s="113"/>
      <c r="L17" s="113"/>
      <c r="M17" s="113"/>
    </row>
    <row r="18" spans="1:13">
      <c r="A18" s="96" t="s">
        <v>126</v>
      </c>
      <c r="B18" s="99" t="s">
        <v>125</v>
      </c>
      <c r="C18" s="90"/>
      <c r="D18" s="104"/>
      <c r="E18" s="104"/>
      <c r="F18" s="104"/>
      <c r="G18" s="104"/>
      <c r="H18" s="104"/>
      <c r="I18" s="104"/>
      <c r="J18" s="104"/>
      <c r="K18" s="113"/>
      <c r="L18" s="113"/>
      <c r="M18" s="113"/>
    </row>
    <row r="19" spans="1:13">
      <c r="A19" s="96" t="s">
        <v>126</v>
      </c>
      <c r="B19" s="99" t="s">
        <v>128</v>
      </c>
      <c r="C19" s="90"/>
      <c r="D19" s="104"/>
      <c r="E19" s="104"/>
      <c r="F19" s="104"/>
      <c r="G19" s="104"/>
      <c r="H19" s="104"/>
      <c r="I19" s="104"/>
      <c r="J19" s="104"/>
      <c r="K19" s="113"/>
      <c r="L19" s="113"/>
      <c r="M19" s="113"/>
    </row>
    <row r="20" spans="1:13">
      <c r="A20" s="96" t="s">
        <v>126</v>
      </c>
      <c r="B20" s="99" t="s">
        <v>127</v>
      </c>
      <c r="C20" s="90"/>
      <c r="D20" s="104"/>
      <c r="E20" s="104"/>
      <c r="F20" s="104"/>
      <c r="G20" s="104"/>
      <c r="H20" s="104"/>
      <c r="I20" s="104"/>
      <c r="J20" s="104"/>
      <c r="K20" s="114"/>
      <c r="L20" s="114"/>
      <c r="M20" s="114"/>
    </row>
    <row r="21" spans="1:13">
      <c r="A21" s="92"/>
      <c r="B21" s="101"/>
      <c r="C21" s="90"/>
      <c r="D21" s="104"/>
      <c r="E21" s="104"/>
      <c r="F21" s="104"/>
      <c r="G21" s="104"/>
      <c r="H21" s="104"/>
      <c r="I21" s="104"/>
      <c r="J21" s="104"/>
      <c r="K21" s="95"/>
      <c r="L21" s="95"/>
      <c r="M21" s="95"/>
    </row>
    <row r="22" spans="1:13">
      <c r="A22" s="92"/>
      <c r="B22" s="102"/>
      <c r="C22" s="90"/>
      <c r="D22" s="104"/>
      <c r="E22" s="104"/>
      <c r="F22" s="104"/>
      <c r="G22" s="104"/>
      <c r="H22" s="104"/>
      <c r="I22" s="104"/>
      <c r="J22" s="104"/>
      <c r="K22" s="90"/>
      <c r="L22" s="90"/>
      <c r="M22" s="90"/>
    </row>
    <row r="23" spans="1:13">
      <c r="A23" s="92"/>
      <c r="B23" s="102"/>
      <c r="C23" s="90"/>
      <c r="D23" s="104"/>
      <c r="E23" s="104"/>
      <c r="F23" s="104"/>
      <c r="G23" s="104"/>
      <c r="H23" s="104"/>
      <c r="I23" s="104"/>
      <c r="J23" s="104"/>
      <c r="K23" s="90"/>
      <c r="L23" s="90"/>
      <c r="M23" s="90"/>
    </row>
    <row r="24" spans="1:13">
      <c r="A24" s="90"/>
      <c r="B24" s="101"/>
      <c r="C24" s="90"/>
      <c r="D24" s="104"/>
      <c r="E24" s="104"/>
      <c r="F24" s="104"/>
      <c r="G24" s="104"/>
      <c r="H24" s="104"/>
      <c r="I24" s="104"/>
      <c r="J24" s="104"/>
      <c r="K24" s="90"/>
      <c r="L24" s="90"/>
      <c r="M24" s="90"/>
    </row>
    <row r="25" spans="1:13">
      <c r="A25" s="90"/>
      <c r="B25" s="90"/>
      <c r="C25" s="117"/>
      <c r="D25" s="104"/>
      <c r="E25" s="104"/>
      <c r="F25" s="104"/>
      <c r="G25" s="104"/>
      <c r="H25" s="104"/>
      <c r="I25" s="104"/>
      <c r="J25" s="104"/>
      <c r="K25" s="90"/>
      <c r="L25" s="90"/>
      <c r="M25" s="90"/>
    </row>
    <row r="26" spans="1:13">
      <c r="A26" s="90"/>
      <c r="B26" s="90"/>
      <c r="C26" s="117"/>
      <c r="D26" s="104"/>
      <c r="E26" s="104"/>
      <c r="F26" s="104"/>
      <c r="G26" s="104"/>
      <c r="H26" s="104"/>
      <c r="I26" s="104"/>
      <c r="J26" s="104"/>
      <c r="K26" s="90"/>
      <c r="L26" s="90"/>
      <c r="M26" s="90"/>
    </row>
    <row r="27" spans="1:13">
      <c r="A27" s="90"/>
      <c r="B27" s="90"/>
      <c r="C27" s="117"/>
      <c r="D27" s="104"/>
      <c r="E27" s="104"/>
      <c r="F27" s="104"/>
      <c r="G27" s="104"/>
      <c r="H27" s="104"/>
      <c r="I27" s="104"/>
      <c r="J27" s="104"/>
      <c r="K27" s="90"/>
      <c r="L27" s="90"/>
      <c r="M27" s="90"/>
    </row>
    <row r="28" spans="1:13">
      <c r="A28" s="90"/>
      <c r="B28" s="90"/>
      <c r="C28" s="117"/>
      <c r="D28" s="104"/>
      <c r="E28" s="104"/>
      <c r="F28" s="104"/>
      <c r="G28" s="104"/>
      <c r="H28" s="104"/>
      <c r="I28" s="104"/>
      <c r="J28" s="104"/>
      <c r="K28" s="90"/>
      <c r="L28" s="90"/>
      <c r="M28" s="90"/>
    </row>
    <row r="29" spans="1:13">
      <c r="A29" s="90"/>
      <c r="B29" s="90"/>
      <c r="C29" s="117"/>
      <c r="D29" s="104"/>
      <c r="E29" s="104"/>
      <c r="F29" s="104"/>
      <c r="G29" s="104"/>
      <c r="H29" s="104"/>
      <c r="I29" s="104"/>
      <c r="J29" s="104"/>
      <c r="K29" s="90"/>
      <c r="L29" s="90"/>
      <c r="M29" s="90"/>
    </row>
    <row r="30" spans="1:13">
      <c r="A30" s="90"/>
      <c r="B30" s="90"/>
      <c r="C30" s="117"/>
      <c r="D30" s="104"/>
      <c r="E30" s="104"/>
      <c r="F30" s="104"/>
      <c r="G30" s="104"/>
      <c r="H30" s="104"/>
      <c r="I30" s="104"/>
      <c r="J30" s="104"/>
      <c r="K30" s="90"/>
      <c r="L30" s="90"/>
      <c r="M30" s="90"/>
    </row>
    <row r="31" spans="1:13">
      <c r="A31" s="90"/>
      <c r="B31" s="90"/>
      <c r="C31" s="117"/>
      <c r="D31" s="104"/>
      <c r="E31" s="104"/>
      <c r="F31" s="104"/>
      <c r="G31" s="104"/>
      <c r="H31" s="104"/>
      <c r="I31" s="104"/>
      <c r="J31" s="104"/>
      <c r="K31" s="90"/>
      <c r="L31" s="90"/>
      <c r="M31" s="90"/>
    </row>
    <row r="32" spans="1:13">
      <c r="A32" s="90"/>
      <c r="B32" s="90"/>
      <c r="C32" s="117"/>
      <c r="D32" s="104"/>
      <c r="E32" s="104"/>
      <c r="F32" s="104"/>
      <c r="G32" s="104"/>
      <c r="H32" s="104"/>
      <c r="I32" s="104"/>
      <c r="J32" s="104"/>
      <c r="K32" s="90"/>
      <c r="L32" s="90"/>
      <c r="M32" s="90"/>
    </row>
    <row r="33"/>
    <row r="34"/>
  </sheetData>
  <mergeCells count="6">
    <mergeCell ref="K2:M2"/>
    <mergeCell ref="K10:K12"/>
    <mergeCell ref="K14:M14"/>
    <mergeCell ref="D1:I3"/>
    <mergeCell ref="K15:M15"/>
    <mergeCell ref="D4:I4"/>
  </mergeCells>
  <hyperlinks>
    <hyperlink ref="B20" r:id="rId1" xr:uid="{00000000-0004-0000-0000-000000000000}"/>
    <hyperlink ref="B18" r:id="rId2" xr:uid="{00000000-0004-0000-0000-000001000000}"/>
    <hyperlink ref="B19" r:id="rId3" xr:uid="{00000000-0004-0000-0000-000002000000}"/>
    <hyperlink ref="B17" location="Aviso!A1" display="Aviso" xr:uid="{00000000-0004-0000-0000-000003000000}"/>
    <hyperlink ref="B16" location="Versão!A1" display="Versão" xr:uid="{00000000-0004-0000-0000-000004000000}"/>
    <hyperlink ref="B15" location="Ajuda!A1" display="Ajuda" xr:uid="{00000000-0004-0000-0000-000005000000}"/>
    <hyperlink ref="B3" location="Estoque!A1" display="Estoque" xr:uid="{00000000-0004-0000-0000-000006000000}"/>
    <hyperlink ref="B4" location="Entradas!A1" display="Entradas" xr:uid="{00000000-0004-0000-0000-000007000000}"/>
    <hyperlink ref="B5" location="Saídas!A1" display="Saídas" xr:uid="{00000000-0004-0000-0000-000008000000}"/>
    <hyperlink ref="B6" location="Percas!A1" display="Percas" xr:uid="{00000000-0004-0000-0000-000009000000}"/>
    <hyperlink ref="B7" location="'F e C'!A1" display="Fornecedores e clientes" xr:uid="{00000000-0004-0000-0000-00000A000000}"/>
    <hyperlink ref="B8" location="Consultas!A1" display="Consulta simples" xr:uid="{00000000-0004-0000-0000-00000B000000}"/>
    <hyperlink ref="B10" location="Pesquisa!A1" display="|Pesquisar no estoque" xr:uid="{00000000-0004-0000-0000-00000C000000}"/>
    <hyperlink ref="B11" location="Aviso!A1" display="Ajustes" xr:uid="{00000000-0004-0000-0000-00000D000000}"/>
    <hyperlink ref="D4:I4" r:id="rId4" display="A versão completa dessa planilha é a 1.4.0 ou superior disponível no site" xr:uid="{00000000-0004-0000-0000-00000E000000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1"/>
  <dimension ref="A1:O23"/>
  <sheetViews>
    <sheetView showGridLines="0" showRowColHeaders="0" tabSelected="1" workbookViewId="0"/>
  </sheetViews>
  <sheetFormatPr defaultColWidth="0" defaultRowHeight="14.4" zeroHeight="1"/>
  <cols>
    <col min="1" max="14" width="9.109375" customWidth="1"/>
    <col min="15" max="15" width="48.33203125" customWidth="1"/>
    <col min="16" max="16384" width="9.109375" hidden="1"/>
  </cols>
  <sheetData>
    <row r="1" spans="2:14" ht="27" customHeight="1">
      <c r="B1" s="146" t="s">
        <v>289</v>
      </c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</row>
    <row r="2" spans="2:14"/>
    <row r="3" spans="2:14"/>
    <row r="4" spans="2:14"/>
    <row r="5" spans="2:14"/>
    <row r="6" spans="2:14"/>
    <row r="7" spans="2:14"/>
    <row r="8" spans="2:14"/>
    <row r="9" spans="2:14"/>
    <row r="10" spans="2:14"/>
    <row r="11" spans="2:14"/>
    <row r="12" spans="2:14"/>
    <row r="13" spans="2:14"/>
    <row r="14" spans="2:14"/>
    <row r="15" spans="2:14"/>
    <row r="16" spans="2:14"/>
    <row r="17"/>
    <row r="18"/>
    <row r="19"/>
    <row r="20"/>
    <row r="21"/>
    <row r="22" ht="23.25" customHeight="1"/>
    <row r="23" ht="393" customHeight="1"/>
  </sheetData>
  <mergeCells count="1">
    <mergeCell ref="B1:N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AG23"/>
  <sheetViews>
    <sheetView showGridLines="0" showRowColHeaders="0" workbookViewId="0">
      <selection activeCell="B16" sqref="B16"/>
    </sheetView>
  </sheetViews>
  <sheetFormatPr defaultColWidth="9.109375" defaultRowHeight="14.4"/>
  <cols>
    <col min="1" max="1" width="18" style="5" bestFit="1" customWidth="1"/>
    <col min="2" max="2" width="48.44140625" style="5" customWidth="1"/>
    <col min="3" max="4" width="12" style="5" bestFit="1" customWidth="1"/>
    <col min="5" max="16384" width="9.109375" style="5"/>
  </cols>
  <sheetData>
    <row r="1" spans="1:33" ht="15.6">
      <c r="A1" s="3"/>
      <c r="B1" s="4" t="s">
        <v>284</v>
      </c>
      <c r="C1" s="10" t="s">
        <v>0</v>
      </c>
      <c r="D1" s="33"/>
      <c r="E1" s="33" t="s">
        <v>81</v>
      </c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</row>
    <row r="2" spans="1:33" ht="25.8">
      <c r="A2" s="14">
        <v>8</v>
      </c>
      <c r="B2" s="137">
        <f>INDEX(TabelaEstoque[[SKU]:[Descrição]],A2,MATCH(TabelaEstoque[[#Headers],[SKU]],TabelaEstoque[#Headers],0))</f>
        <v>8</v>
      </c>
      <c r="C2" s="33"/>
      <c r="D2" s="33"/>
      <c r="E2" s="33"/>
      <c r="F2" s="33"/>
      <c r="G2" s="33"/>
      <c r="H2" s="33"/>
      <c r="I2" s="33"/>
      <c r="J2" s="1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</row>
    <row r="3" spans="1:33" ht="3" customHeight="1"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</row>
    <row r="4" spans="1:33" ht="18">
      <c r="A4" s="6" t="s">
        <v>1</v>
      </c>
      <c r="B4" s="7" t="str">
        <f>VLOOKUP($B$2,TabelaEstoque[],MATCH(TabelaEstoque[[#Headers],[Descrição]],TabelaEstoque[#Headers],0),FALSE)</f>
        <v>fio branco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</row>
    <row r="5" spans="1:33">
      <c r="A5" s="8" t="s">
        <v>2</v>
      </c>
      <c r="B5" s="9" t="str">
        <f>VLOOKUP($B$2,TabelaEstoque[],MATCH(TabelaEstoque[[#Headers],[Tipos]],TabelaEstoque[#Headers],0),FALSE)</f>
        <v>Materia Prima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</row>
    <row r="6" spans="1:33">
      <c r="A6" s="8" t="s">
        <v>3</v>
      </c>
      <c r="B6" s="9" t="str">
        <f>VLOOKUP($B$2,TabelaEstoque[],MATCH(TabelaEstoque[[#Headers],[Medição]],TabelaEstoque[#Headers],0),)</f>
        <v>Kilo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</row>
    <row r="7" spans="1:33">
      <c r="A7" s="8" t="s">
        <v>4</v>
      </c>
      <c r="B7" s="9">
        <f>VLOOKUP($B$2,TabelaEstoque[],MATCH(TabelaEstoque[[#Headers],[Entradas]],TabelaEstoque[#Headers],0),FALSE)</f>
        <v>0</v>
      </c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</row>
    <row r="8" spans="1:33">
      <c r="A8" s="8" t="s">
        <v>5</v>
      </c>
      <c r="B8" s="9">
        <f>VLOOKUP($B$2,TabelaEstoque[],MATCH(TabelaEstoque[[#Headers],[Saídas]],TabelaEstoque[#Headers],0),FALSE)</f>
        <v>0</v>
      </c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</row>
    <row r="9" spans="1:33">
      <c r="A9" s="8" t="s">
        <v>6</v>
      </c>
      <c r="B9" s="9">
        <f>VLOOKUP($B$2,TabelaEstoque[],MATCH(TabelaEstoque[[#Headers],[Percas]],TabelaEstoque[#Headers],0),FALSE)</f>
        <v>0</v>
      </c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</row>
    <row r="10" spans="1:33" ht="21">
      <c r="A10" s="11" t="s">
        <v>7</v>
      </c>
      <c r="B10" s="12">
        <f>VLOOKUP($B$2,TabelaEstoque[],MATCH(TabelaEstoque[[#Headers],[Saldo]],TabelaEstoque[#Headers],0),FALSE)</f>
        <v>0</v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</row>
    <row r="11" spans="1:33" ht="18">
      <c r="A11" s="13" t="s">
        <v>44</v>
      </c>
      <c r="B11" s="34" t="str">
        <f>VLOOKUP($B$2,TabelaEstoque[],MATCH(TabelaEstoque[[#Headers],[Resuprimento]],TabelaEstoque[#Headers],0),FALSE)</f>
        <v>Comprar Agora</v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</row>
    <row r="12" spans="1:33">
      <c r="A12" s="8" t="s">
        <v>62</v>
      </c>
      <c r="B12" s="9">
        <f>VLOOKUP($B$2,TabelaEstoque[],MATCH(TabelaEstoque[[#Headers],[Código Forcenedor]],TabelaEstoque[#Headers],0),FALSE)</f>
        <v>2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</row>
    <row r="13" spans="1:33">
      <c r="A13" s="8" t="s">
        <v>61</v>
      </c>
      <c r="B13" s="8" t="str">
        <f>VLOOKUP($B$2,TabelaEstoque[],MATCH(TabelaEstoque[[#Headers],[Nome Fornecedor]],TabelaEstoque[#Headers],0),FALSE) &amp;" "&amp; VLOOKUP($B$2,TabelaEstoque[],MATCH(TabelaEstoque[[#Headers],[Sobrenome]],TabelaEstoque[#Headers],0),FALSE)</f>
        <v>Roberto José</v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</row>
    <row r="14" spans="1:33">
      <c r="A14" s="33"/>
      <c r="B14" s="33"/>
      <c r="C14" s="33"/>
      <c r="D14" s="45" t="s">
        <v>79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</row>
    <row r="15" spans="1:33" ht="6.75" customHeight="1"/>
    <row r="16" spans="1:33" ht="26.4" thickBot="1">
      <c r="A16" s="47" t="s">
        <v>83</v>
      </c>
      <c r="B16" s="136">
        <v>1</v>
      </c>
      <c r="C16" s="68">
        <f>VLOOKUP(B16,TabelaEstoque[],1,FALSE)</f>
        <v>1</v>
      </c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</row>
    <row r="17" spans="1:29" ht="18">
      <c r="A17" s="40" t="s">
        <v>1</v>
      </c>
      <c r="B17" s="147" t="str">
        <f>IFERROR(VLOOKUP($C$16,TabelaEstoque[],MATCH(TabelaEstoque[[#Headers],[Descrição]],TabelaEstoque[#Headers],0),FALSE),"SKU NÃO ENCONTRADO")</f>
        <v>Etiqueta de composição P</v>
      </c>
      <c r="C17" s="147"/>
      <c r="D17" s="147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</row>
    <row r="18" spans="1:29" ht="15.6">
      <c r="A18" s="41" t="s">
        <v>2</v>
      </c>
      <c r="B18" s="36" t="str">
        <f>VLOOKUP($B$16,TabelaEstoque[],MATCH(TabelaEstoque[[#Headers],[Tipos]],TabelaEstoque[#Headers],0),FALSE)</f>
        <v>Materia Prima</v>
      </c>
      <c r="C18" s="35"/>
      <c r="D18" s="44" t="s">
        <v>7</v>
      </c>
      <c r="E18" s="56">
        <f>VLOOKUP($B$16,TabelaEstoque[],MATCH(TabelaEstoque[[#Headers],[Saldo]],TabelaEstoque[#Headers],0),FALSE)</f>
        <v>110</v>
      </c>
      <c r="F18" s="44"/>
      <c r="G18" s="57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</row>
    <row r="19" spans="1:29">
      <c r="A19" s="42" t="s">
        <v>3</v>
      </c>
      <c r="B19" s="37" t="str">
        <f>VLOOKUP($B$16,TabelaEstoque[],MATCH(TabelaEstoque[[#Headers],[Medição]],TabelaEstoque[#Headers],0),FALSE)</f>
        <v>Unidade</v>
      </c>
      <c r="C19" s="35"/>
      <c r="D19" s="48" t="s">
        <v>44</v>
      </c>
      <c r="E19" s="46" t="str">
        <f>VLOOKUP($B$16,TabelaEstoque[],MATCH(TabelaEstoque[[#Headers],[Resuprimento]],TabelaEstoque[#Headers],0),FALSE)</f>
        <v>Quantidade Ideal</v>
      </c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</row>
    <row r="20" spans="1:29">
      <c r="A20" s="42" t="s">
        <v>4</v>
      </c>
      <c r="B20" s="39">
        <f>VLOOKUP($B$16,TabelaEstoque[],MATCH(TabelaEstoque[[#Headers],[Entradas]],TabelaEstoque[#Headers],0),FALSE)</f>
        <v>135</v>
      </c>
      <c r="C20" s="35"/>
      <c r="D20" s="49"/>
      <c r="E20" s="50" t="s">
        <v>28</v>
      </c>
      <c r="F20" s="50"/>
      <c r="G20" s="51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</row>
    <row r="21" spans="1:29">
      <c r="A21" s="41" t="s">
        <v>5</v>
      </c>
      <c r="B21" s="38">
        <f>VLOOKUP($B$16,TabelaEstoque[],MATCH(TabelaEstoque[[#Headers],[Saídas]],TabelaEstoque[#Headers],0),FALSE)</f>
        <v>10</v>
      </c>
      <c r="C21" s="35"/>
      <c r="D21" s="52" t="s">
        <v>48</v>
      </c>
      <c r="E21" s="43" t="str">
        <f>VLOOKUP($B$16,TabelaEstoque[],MATCH(TabelaEstoque[[#Headers],[Nome Fornecedor]],TabelaEstoque[#Headers],0),FALSE) &amp;" "&amp; VLOOKUP($B$16,TabelaEstoque[],MATCH(TabelaEstoque[[#Headers],[Sobrenome]],TabelaEstoque[#Headers],0),FALSE)</f>
        <v>José Silva</v>
      </c>
      <c r="F21" s="35"/>
      <c r="G21" s="53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</row>
    <row r="22" spans="1:29">
      <c r="A22" s="42" t="s">
        <v>6</v>
      </c>
      <c r="B22" s="39">
        <f>VLOOKUP($B$16,TabelaEstoque[],MATCH(TabelaEstoque[[#Headers],[Percas]],TabelaEstoque[#Headers],0),FALSE)</f>
        <v>15</v>
      </c>
      <c r="C22" s="35"/>
      <c r="D22" s="54" t="s">
        <v>47</v>
      </c>
      <c r="E22" s="38">
        <f>VLOOKUP($B$16,TabelaEstoque[],MATCH(TabelaEstoque[[#Headers],[Código Forcenedor]],TabelaEstoque[#Headers],0),FALSE)</f>
        <v>1</v>
      </c>
      <c r="F22" s="36"/>
      <c r="G22" s="5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</row>
    <row r="23" spans="1:29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</row>
  </sheetData>
  <mergeCells count="1">
    <mergeCell ref="B17:D17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List Box 3">
              <controlPr defaultSize="0" autoLine="0" autoPict="0">
                <anchor moveWithCells="1">
                  <from>
                    <xdr:col>2</xdr:col>
                    <xdr:colOff>7620</xdr:colOff>
                    <xdr:row>0</xdr:row>
                    <xdr:rowOff>175260</xdr:rowOff>
                  </from>
                  <to>
                    <xdr:col>2</xdr:col>
                    <xdr:colOff>754380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List Box 4">
              <controlPr defaultSize="0" autoLine="0" autoPict="0">
                <anchor moveWithCells="1">
                  <from>
                    <xdr:col>3</xdr:col>
                    <xdr:colOff>144780</xdr:colOff>
                    <xdr:row>0</xdr:row>
                    <xdr:rowOff>175260</xdr:rowOff>
                  </from>
                  <to>
                    <xdr:col>8</xdr:col>
                    <xdr:colOff>274320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0"/>
  <dimension ref="A1:P69"/>
  <sheetViews>
    <sheetView showGridLines="0" showRowColHeaders="0" showZeros="0" zoomScaleNormal="100" workbookViewId="0">
      <selection activeCell="A5" sqref="A5"/>
    </sheetView>
  </sheetViews>
  <sheetFormatPr defaultColWidth="0" defaultRowHeight="14.4"/>
  <cols>
    <col min="1" max="1" width="14.109375" style="65" customWidth="1"/>
    <col min="2" max="2" width="41.6640625" style="65" bestFit="1" customWidth="1"/>
    <col min="3" max="3" width="13.88671875" style="65" bestFit="1" customWidth="1"/>
    <col min="4" max="4" width="11.6640625" style="65" customWidth="1"/>
    <col min="5" max="5" width="13" style="65" customWidth="1"/>
    <col min="6" max="6" width="17.33203125" style="65" bestFit="1" customWidth="1"/>
    <col min="7" max="7" width="12.33203125" style="65" bestFit="1" customWidth="1"/>
    <col min="8" max="13" width="9.109375" style="65" customWidth="1"/>
    <col min="14" max="14" width="19.88671875" style="65" bestFit="1" customWidth="1"/>
    <col min="15" max="15" width="5.44140625" style="65" customWidth="1"/>
    <col min="16" max="16" width="9.109375" style="65" customWidth="1"/>
    <col min="17" max="16384" width="9.109375" style="65" hidden="1"/>
  </cols>
  <sheetData>
    <row r="1" spans="1:14" customFormat="1" ht="35.1" customHeight="1" thickBot="1">
      <c r="A1" s="58"/>
      <c r="B1" s="59">
        <v>2</v>
      </c>
      <c r="C1" s="58"/>
      <c r="D1" s="66"/>
      <c r="E1" s="66"/>
      <c r="F1" s="66"/>
      <c r="G1" s="66"/>
      <c r="H1" s="66"/>
      <c r="I1" s="66"/>
      <c r="J1" s="66"/>
      <c r="K1" s="58"/>
      <c r="L1" s="58"/>
      <c r="M1" s="58"/>
      <c r="N1" s="58"/>
    </row>
    <row r="2" spans="1:14" customFormat="1" ht="14.25" customHeight="1" thickBot="1">
      <c r="A2" s="69"/>
      <c r="B2" s="70"/>
      <c r="C2" s="71"/>
      <c r="D2" s="71"/>
      <c r="E2" s="71"/>
      <c r="F2" s="72"/>
      <c r="G2" s="72"/>
      <c r="H2" s="72"/>
      <c r="I2" s="72"/>
      <c r="J2" s="72"/>
      <c r="K2" s="72"/>
      <c r="L2" s="72"/>
      <c r="M2" s="72"/>
      <c r="N2" s="73"/>
    </row>
    <row r="3" spans="1:14" customFormat="1" ht="15.6">
      <c r="A3" s="60"/>
      <c r="B3" s="63" t="s">
        <v>92</v>
      </c>
      <c r="C3" s="60"/>
      <c r="D3" s="60"/>
      <c r="E3" s="60"/>
      <c r="F3" s="67"/>
      <c r="G3" s="60"/>
      <c r="H3" s="60"/>
      <c r="I3" s="60"/>
      <c r="J3" s="60"/>
      <c r="K3" s="60"/>
      <c r="L3" s="60"/>
      <c r="M3" s="60"/>
      <c r="N3" s="60"/>
    </row>
    <row r="4" spans="1:14" customFormat="1" ht="31.2">
      <c r="A4" s="74" t="str">
        <f>Estoque!A2</f>
        <v>SKU</v>
      </c>
      <c r="B4" s="74" t="str">
        <f>Estoque!B2</f>
        <v>Descrição</v>
      </c>
      <c r="C4" s="74" t="str">
        <f>Estoque!C2</f>
        <v>Tipos</v>
      </c>
      <c r="D4" s="74" t="str">
        <f>Estoque!D2</f>
        <v>Medição</v>
      </c>
      <c r="E4" s="75" t="str">
        <f>Estoque!E2</f>
        <v>Código Forcenedor</v>
      </c>
      <c r="F4" s="75" t="str">
        <f>Estoque!F2</f>
        <v>Nome Fornecedor</v>
      </c>
      <c r="G4" s="74" t="str">
        <f>Estoque!G2</f>
        <v>Sobrenome</v>
      </c>
      <c r="H4" s="74" t="str">
        <f>Estoque!H2</f>
        <v>Entradas</v>
      </c>
      <c r="I4" s="74" t="str">
        <f>Estoque!I2</f>
        <v>Saídas</v>
      </c>
      <c r="J4" s="74" t="str">
        <f>Estoque!J2</f>
        <v>Percas</v>
      </c>
      <c r="K4" s="74" t="str">
        <f>Estoque!K2</f>
        <v>Saldo</v>
      </c>
      <c r="L4" s="74" t="str">
        <f>Estoque!L2</f>
        <v>Mínimo</v>
      </c>
      <c r="M4" s="74" t="str">
        <f>Estoque!M2</f>
        <v>Máximo</v>
      </c>
      <c r="N4" s="74" t="str">
        <f>Estoque!N2</f>
        <v>Resuprimento</v>
      </c>
    </row>
    <row r="5" spans="1:14" customFormat="1">
      <c r="A5" s="76"/>
      <c r="B5" s="77"/>
      <c r="C5" s="77"/>
      <c r="D5" s="77"/>
      <c r="E5" s="78"/>
      <c r="F5" s="79" t="str">
        <f>IFERROR(VLOOKUP(E5,TabelaFC[],MATCH(TabelaFC[[#Headers],[Nome]],TabelaFC[#Headers],0)),"")</f>
        <v/>
      </c>
      <c r="G5" s="79" t="str">
        <f>IFERROR(VLOOKUP(E5,TabelaFC[],MATCH(TabelaFC[[#Headers],[Sobrenome]],TabelaFC[#Headers],0)),"")</f>
        <v/>
      </c>
      <c r="H5" s="76"/>
      <c r="I5" s="76"/>
      <c r="J5" s="76"/>
      <c r="K5" s="76"/>
      <c r="L5" s="76"/>
      <c r="M5" s="76"/>
      <c r="N5" s="77"/>
    </row>
    <row r="6" spans="1:14" customFormat="1"/>
    <row r="7" spans="1:14" s="27" customFormat="1" ht="15.6">
      <c r="A7" s="61"/>
      <c r="B7" s="63" t="s">
        <v>85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</row>
    <row r="8" spans="1:14" s="62" customFormat="1" ht="30" customHeight="1">
      <c r="A8" s="80" t="str">
        <f>Estoque!A2</f>
        <v>SKU</v>
      </c>
      <c r="B8" s="80" t="str">
        <f>Estoque!B2</f>
        <v>Descrição</v>
      </c>
      <c r="C8" s="80" t="str">
        <f>Estoque!C2</f>
        <v>Tipos</v>
      </c>
      <c r="D8" s="80" t="str">
        <f>Estoque!D2</f>
        <v>Medição</v>
      </c>
      <c r="E8" s="81" t="str">
        <f>Estoque!E2</f>
        <v>Código Forcenedor</v>
      </c>
      <c r="F8" s="81" t="str">
        <f>Estoque!F2</f>
        <v>Nome Fornecedor</v>
      </c>
      <c r="G8" s="80" t="str">
        <f>Estoque!G2</f>
        <v>Sobrenome</v>
      </c>
      <c r="H8" s="80" t="str">
        <f>Estoque!H2</f>
        <v>Entradas</v>
      </c>
      <c r="I8" s="80" t="str">
        <f>Estoque!I2</f>
        <v>Saídas</v>
      </c>
      <c r="J8" s="80" t="str">
        <f>Estoque!J2</f>
        <v>Percas</v>
      </c>
      <c r="K8" s="80" t="str">
        <f>Estoque!K2</f>
        <v>Saldo</v>
      </c>
      <c r="L8" s="80" t="str">
        <f>Estoque!L2</f>
        <v>Mínimo</v>
      </c>
      <c r="M8" s="80" t="str">
        <f>Estoque!M2</f>
        <v>Máximo</v>
      </c>
      <c r="N8" s="80" t="str">
        <f>Estoque!N2</f>
        <v>Resuprimento</v>
      </c>
    </row>
    <row r="9" spans="1:14">
      <c r="A9" s="138">
        <v>1</v>
      </c>
      <c r="B9" s="65" t="s">
        <v>254</v>
      </c>
      <c r="C9" s="65" t="s">
        <v>277</v>
      </c>
      <c r="D9" s="65" t="s">
        <v>65</v>
      </c>
      <c r="E9" s="64">
        <v>1</v>
      </c>
      <c r="F9" s="65" t="s">
        <v>40</v>
      </c>
      <c r="G9" s="65" t="s">
        <v>53</v>
      </c>
      <c r="H9" s="64">
        <v>135</v>
      </c>
      <c r="I9" s="64">
        <v>10</v>
      </c>
      <c r="J9" s="64">
        <v>15</v>
      </c>
      <c r="K9" s="64">
        <v>110</v>
      </c>
      <c r="L9" s="64">
        <v>100</v>
      </c>
      <c r="M9" s="64">
        <v>300</v>
      </c>
      <c r="N9" s="65" t="s">
        <v>89</v>
      </c>
    </row>
    <row r="10" spans="1:14">
      <c r="A10" s="138">
        <v>2</v>
      </c>
      <c r="B10" s="65" t="s">
        <v>255</v>
      </c>
      <c r="C10" s="65" t="s">
        <v>277</v>
      </c>
      <c r="D10" s="65" t="s">
        <v>65</v>
      </c>
      <c r="E10" s="64">
        <v>2</v>
      </c>
      <c r="F10" s="65" t="s">
        <v>58</v>
      </c>
      <c r="G10" s="65" t="s">
        <v>40</v>
      </c>
      <c r="H10" s="64">
        <v>0</v>
      </c>
      <c r="I10" s="64">
        <v>0</v>
      </c>
      <c r="J10" s="64">
        <v>0</v>
      </c>
      <c r="K10" s="64">
        <v>0</v>
      </c>
      <c r="L10" s="64">
        <v>100</v>
      </c>
      <c r="M10" s="64">
        <v>300</v>
      </c>
      <c r="N10" s="65" t="s">
        <v>86</v>
      </c>
    </row>
    <row r="11" spans="1:14">
      <c r="A11" s="138">
        <v>3</v>
      </c>
      <c r="B11" s="65" t="s">
        <v>256</v>
      </c>
      <c r="C11" s="65" t="s">
        <v>277</v>
      </c>
      <c r="D11" s="65" t="s">
        <v>33</v>
      </c>
      <c r="E11" s="64">
        <v>1</v>
      </c>
      <c r="F11" s="65" t="s">
        <v>40</v>
      </c>
      <c r="G11" s="65" t="s">
        <v>53</v>
      </c>
      <c r="H11" s="64">
        <v>30</v>
      </c>
      <c r="I11" s="64">
        <v>0</v>
      </c>
      <c r="J11" s="64">
        <v>0</v>
      </c>
      <c r="K11" s="64">
        <v>30</v>
      </c>
      <c r="L11" s="64">
        <v>100</v>
      </c>
      <c r="M11" s="64">
        <v>300</v>
      </c>
      <c r="N11" s="65" t="s">
        <v>86</v>
      </c>
    </row>
    <row r="12" spans="1:14">
      <c r="A12" s="138">
        <v>4</v>
      </c>
      <c r="B12" s="65" t="s">
        <v>257</v>
      </c>
      <c r="C12" s="65" t="s">
        <v>277</v>
      </c>
      <c r="D12" s="65" t="s">
        <v>67</v>
      </c>
      <c r="E12" s="64">
        <v>1</v>
      </c>
      <c r="F12" s="65" t="s">
        <v>40</v>
      </c>
      <c r="G12" s="65" t="s">
        <v>53</v>
      </c>
      <c r="H12" s="64">
        <v>80</v>
      </c>
      <c r="I12" s="64">
        <v>0</v>
      </c>
      <c r="J12" s="64">
        <v>0</v>
      </c>
      <c r="K12" s="64">
        <v>80</v>
      </c>
      <c r="L12" s="64">
        <v>100</v>
      </c>
      <c r="M12" s="64">
        <v>300</v>
      </c>
      <c r="N12" s="65" t="s">
        <v>86</v>
      </c>
    </row>
    <row r="13" spans="1:14">
      <c r="A13" s="138">
        <v>5</v>
      </c>
      <c r="B13" s="65" t="s">
        <v>258</v>
      </c>
      <c r="C13" s="65" t="s">
        <v>276</v>
      </c>
      <c r="D13" s="65" t="s">
        <v>67</v>
      </c>
      <c r="E13" s="64">
        <v>1</v>
      </c>
      <c r="F13" s="65" t="s">
        <v>40</v>
      </c>
      <c r="G13" s="65" t="s">
        <v>53</v>
      </c>
      <c r="H13" s="64">
        <v>0</v>
      </c>
      <c r="I13" s="64">
        <v>15</v>
      </c>
      <c r="J13" s="64">
        <v>0</v>
      </c>
      <c r="K13" s="64">
        <v>-15</v>
      </c>
      <c r="L13" s="64">
        <v>30</v>
      </c>
      <c r="M13" s="64">
        <v>40</v>
      </c>
      <c r="N13" s="65" t="s">
        <v>86</v>
      </c>
    </row>
    <row r="14" spans="1:14">
      <c r="A14" s="138">
        <v>6</v>
      </c>
      <c r="B14" s="65" t="s">
        <v>259</v>
      </c>
      <c r="C14" s="65" t="s">
        <v>277</v>
      </c>
      <c r="D14" s="65" t="s">
        <v>65</v>
      </c>
      <c r="E14" s="64">
        <v>1</v>
      </c>
      <c r="F14" s="65" t="s">
        <v>40</v>
      </c>
      <c r="G14" s="65" t="s">
        <v>53</v>
      </c>
      <c r="H14" s="64">
        <v>0</v>
      </c>
      <c r="I14" s="64">
        <v>0</v>
      </c>
      <c r="J14" s="64">
        <v>0</v>
      </c>
      <c r="K14" s="64">
        <v>0</v>
      </c>
      <c r="L14" s="64">
        <v>30</v>
      </c>
      <c r="M14" s="64">
        <v>40</v>
      </c>
      <c r="N14" s="65" t="s">
        <v>86</v>
      </c>
    </row>
    <row r="15" spans="1:14">
      <c r="A15" s="138">
        <v>7</v>
      </c>
      <c r="B15" s="65" t="s">
        <v>260</v>
      </c>
      <c r="C15" s="65" t="s">
        <v>277</v>
      </c>
      <c r="D15" s="65" t="s">
        <v>68</v>
      </c>
      <c r="E15" s="64">
        <v>2</v>
      </c>
      <c r="F15" s="65" t="s">
        <v>58</v>
      </c>
      <c r="G15" s="65" t="s">
        <v>40</v>
      </c>
      <c r="H15" s="64">
        <v>0</v>
      </c>
      <c r="I15" s="64">
        <v>0</v>
      </c>
      <c r="J15" s="64">
        <v>0</v>
      </c>
      <c r="K15" s="64">
        <v>0</v>
      </c>
      <c r="L15" s="64">
        <v>40</v>
      </c>
      <c r="M15" s="64">
        <v>50</v>
      </c>
      <c r="N15" s="65" t="s">
        <v>86</v>
      </c>
    </row>
    <row r="16" spans="1:14">
      <c r="A16" s="138">
        <v>8</v>
      </c>
      <c r="B16" s="65" t="s">
        <v>261</v>
      </c>
      <c r="C16" s="65" t="s">
        <v>277</v>
      </c>
      <c r="D16" s="65" t="s">
        <v>66</v>
      </c>
      <c r="E16" s="64">
        <v>2</v>
      </c>
      <c r="F16" s="65" t="s">
        <v>58</v>
      </c>
      <c r="G16" s="65" t="s">
        <v>40</v>
      </c>
      <c r="H16" s="64">
        <v>0</v>
      </c>
      <c r="I16" s="64">
        <v>0</v>
      </c>
      <c r="J16" s="64">
        <v>0</v>
      </c>
      <c r="K16" s="64">
        <v>0</v>
      </c>
      <c r="L16" s="64">
        <v>50</v>
      </c>
      <c r="M16" s="64">
        <v>55</v>
      </c>
      <c r="N16" s="65" t="s">
        <v>86</v>
      </c>
    </row>
    <row r="17" spans="1:14">
      <c r="A17" s="138">
        <v>9</v>
      </c>
      <c r="B17" s="65" t="s">
        <v>262</v>
      </c>
      <c r="C17" s="65" t="s">
        <v>277</v>
      </c>
      <c r="D17" s="65" t="s">
        <v>32</v>
      </c>
      <c r="E17" s="64">
        <v>2</v>
      </c>
      <c r="F17" s="65" t="s">
        <v>58</v>
      </c>
      <c r="G17" s="65" t="s">
        <v>40</v>
      </c>
      <c r="H17" s="64">
        <v>0</v>
      </c>
      <c r="I17" s="64">
        <v>0</v>
      </c>
      <c r="J17" s="64">
        <v>0</v>
      </c>
      <c r="K17" s="64">
        <v>0</v>
      </c>
      <c r="L17" s="64">
        <v>50</v>
      </c>
      <c r="M17" s="64">
        <v>55</v>
      </c>
      <c r="N17" s="65" t="s">
        <v>86</v>
      </c>
    </row>
    <row r="18" spans="1:14">
      <c r="A18" s="138">
        <v>10</v>
      </c>
      <c r="B18" s="65" t="s">
        <v>263</v>
      </c>
      <c r="C18" s="65" t="s">
        <v>277</v>
      </c>
      <c r="D18" s="65" t="s">
        <v>69</v>
      </c>
      <c r="E18" s="64">
        <v>2</v>
      </c>
      <c r="F18" s="65" t="s">
        <v>58</v>
      </c>
      <c r="G18" s="65" t="s">
        <v>40</v>
      </c>
      <c r="H18" s="64">
        <v>0</v>
      </c>
      <c r="I18" s="64">
        <v>0</v>
      </c>
      <c r="J18" s="64">
        <v>0</v>
      </c>
      <c r="K18" s="64">
        <v>0</v>
      </c>
      <c r="L18" s="64">
        <v>50</v>
      </c>
      <c r="M18" s="64">
        <v>55</v>
      </c>
      <c r="N18" s="65" t="s">
        <v>86</v>
      </c>
    </row>
    <row r="19" spans="1:14">
      <c r="A19" s="138">
        <v>11</v>
      </c>
      <c r="B19" s="65" t="s">
        <v>264</v>
      </c>
      <c r="C19" s="65" t="s">
        <v>276</v>
      </c>
      <c r="D19" s="65" t="s">
        <v>67</v>
      </c>
      <c r="E19" s="64">
        <v>2</v>
      </c>
      <c r="F19" s="65" t="s">
        <v>58</v>
      </c>
      <c r="G19" s="65" t="s">
        <v>40</v>
      </c>
      <c r="H19" s="64">
        <v>0</v>
      </c>
      <c r="I19" s="64">
        <v>0</v>
      </c>
      <c r="J19" s="64">
        <v>0</v>
      </c>
      <c r="K19" s="64">
        <v>0</v>
      </c>
      <c r="L19" s="64">
        <v>20</v>
      </c>
      <c r="M19" s="64">
        <v>50</v>
      </c>
      <c r="N19" s="65" t="s">
        <v>86</v>
      </c>
    </row>
    <row r="20" spans="1:14">
      <c r="A20" s="138"/>
      <c r="E20" s="64"/>
      <c r="F20" s="65" t="s">
        <v>107</v>
      </c>
      <c r="G20" s="65" t="s">
        <v>107</v>
      </c>
      <c r="H20" s="64">
        <v>0</v>
      </c>
      <c r="I20" s="64">
        <v>0</v>
      </c>
      <c r="J20" s="64">
        <v>0</v>
      </c>
      <c r="K20" s="64">
        <v>0</v>
      </c>
      <c r="L20" s="64"/>
      <c r="M20" s="64"/>
      <c r="N20" s="65" t="s">
        <v>107</v>
      </c>
    </row>
    <row r="21" spans="1:14">
      <c r="A21" s="138"/>
      <c r="E21" s="64"/>
      <c r="F21" s="65" t="s">
        <v>107</v>
      </c>
      <c r="G21" s="65" t="s">
        <v>107</v>
      </c>
      <c r="H21" s="64">
        <v>0</v>
      </c>
      <c r="I21" s="64">
        <v>0</v>
      </c>
      <c r="J21" s="64">
        <v>0</v>
      </c>
      <c r="K21" s="64">
        <v>0</v>
      </c>
      <c r="L21" s="64"/>
      <c r="M21" s="64"/>
      <c r="N21" s="65" t="s">
        <v>107</v>
      </c>
    </row>
    <row r="22" spans="1:14">
      <c r="A22" s="138"/>
      <c r="F22" s="65" t="s">
        <v>107</v>
      </c>
      <c r="G22" s="65" t="s">
        <v>107</v>
      </c>
      <c r="H22" s="64">
        <v>0</v>
      </c>
      <c r="I22" s="64">
        <v>0</v>
      </c>
      <c r="J22" s="64">
        <v>0</v>
      </c>
      <c r="K22" s="64">
        <v>0</v>
      </c>
      <c r="L22" s="64"/>
      <c r="M22" s="64"/>
      <c r="N22" s="65" t="s">
        <v>107</v>
      </c>
    </row>
    <row r="23" spans="1:14">
      <c r="A23" s="138"/>
      <c r="F23" s="65" t="s">
        <v>107</v>
      </c>
      <c r="G23" s="65" t="s">
        <v>107</v>
      </c>
      <c r="H23" s="64">
        <v>0</v>
      </c>
      <c r="I23" s="64">
        <v>0</v>
      </c>
      <c r="J23" s="64">
        <v>0</v>
      </c>
      <c r="K23" s="64">
        <v>0</v>
      </c>
      <c r="L23" s="64"/>
      <c r="M23" s="64"/>
      <c r="N23" s="65" t="s">
        <v>107</v>
      </c>
    </row>
    <row r="24" spans="1:14">
      <c r="A24" s="138"/>
      <c r="F24" s="65" t="s">
        <v>107</v>
      </c>
      <c r="G24" s="65" t="s">
        <v>107</v>
      </c>
      <c r="H24" s="64">
        <v>0</v>
      </c>
      <c r="I24" s="64">
        <v>0</v>
      </c>
      <c r="J24" s="64">
        <v>0</v>
      </c>
      <c r="K24" s="64">
        <v>0</v>
      </c>
      <c r="L24" s="64"/>
      <c r="M24" s="64"/>
      <c r="N24" s="65" t="s">
        <v>107</v>
      </c>
    </row>
    <row r="25" spans="1:14">
      <c r="A25" s="138"/>
      <c r="F25" s="65" t="s">
        <v>107</v>
      </c>
      <c r="G25" s="65" t="s">
        <v>107</v>
      </c>
      <c r="H25" s="64">
        <v>0</v>
      </c>
      <c r="I25" s="64">
        <v>0</v>
      </c>
      <c r="J25" s="64">
        <v>0</v>
      </c>
      <c r="K25" s="64">
        <v>0</v>
      </c>
      <c r="L25" s="64"/>
      <c r="M25" s="64"/>
      <c r="N25" s="65" t="s">
        <v>107</v>
      </c>
    </row>
    <row r="26" spans="1:14">
      <c r="A26" s="138"/>
      <c r="F26" s="65" t="s">
        <v>107</v>
      </c>
      <c r="G26" s="65" t="s">
        <v>107</v>
      </c>
      <c r="H26" s="64">
        <v>0</v>
      </c>
      <c r="I26" s="64">
        <v>0</v>
      </c>
      <c r="J26" s="64">
        <v>0</v>
      </c>
      <c r="K26" s="64">
        <v>0</v>
      </c>
      <c r="L26" s="64"/>
      <c r="M26" s="64"/>
      <c r="N26" s="65" t="s">
        <v>107</v>
      </c>
    </row>
    <row r="27" spans="1:14">
      <c r="A27" s="138"/>
      <c r="F27" s="65" t="s">
        <v>107</v>
      </c>
      <c r="G27" s="65" t="s">
        <v>107</v>
      </c>
      <c r="H27" s="64">
        <v>0</v>
      </c>
      <c r="I27" s="64">
        <v>0</v>
      </c>
      <c r="J27" s="64">
        <v>0</v>
      </c>
      <c r="K27" s="64">
        <v>0</v>
      </c>
      <c r="L27" s="64"/>
      <c r="M27" s="64"/>
      <c r="N27" s="65" t="s">
        <v>107</v>
      </c>
    </row>
    <row r="28" spans="1:14">
      <c r="A28" s="138"/>
      <c r="F28" s="65" t="s">
        <v>107</v>
      </c>
      <c r="G28" s="65" t="s">
        <v>107</v>
      </c>
      <c r="H28" s="64">
        <v>0</v>
      </c>
      <c r="I28" s="64">
        <v>0</v>
      </c>
      <c r="J28" s="64">
        <v>0</v>
      </c>
      <c r="K28" s="64">
        <v>0</v>
      </c>
      <c r="L28" s="64"/>
      <c r="M28" s="64"/>
      <c r="N28" s="65" t="s">
        <v>107</v>
      </c>
    </row>
    <row r="29" spans="1:14">
      <c r="A29" s="138"/>
      <c r="F29" s="65" t="s">
        <v>107</v>
      </c>
      <c r="G29" s="65" t="s">
        <v>107</v>
      </c>
      <c r="H29" s="64">
        <v>0</v>
      </c>
      <c r="I29" s="64">
        <v>0</v>
      </c>
      <c r="J29" s="64">
        <v>0</v>
      </c>
      <c r="K29" s="64">
        <v>0</v>
      </c>
      <c r="L29" s="64"/>
      <c r="M29" s="64"/>
      <c r="N29" s="65" t="s">
        <v>107</v>
      </c>
    </row>
    <row r="30" spans="1:14">
      <c r="A30" s="138"/>
      <c r="F30" s="65" t="s">
        <v>107</v>
      </c>
      <c r="G30" s="65" t="s">
        <v>107</v>
      </c>
      <c r="H30" s="64">
        <v>0</v>
      </c>
      <c r="I30" s="64">
        <v>0</v>
      </c>
      <c r="J30" s="64">
        <v>0</v>
      </c>
      <c r="K30" s="64">
        <v>0</v>
      </c>
      <c r="L30" s="64"/>
      <c r="M30" s="64"/>
      <c r="N30" s="65" t="s">
        <v>107</v>
      </c>
    </row>
    <row r="31" spans="1:14">
      <c r="A31" s="138"/>
      <c r="F31" s="65" t="s">
        <v>107</v>
      </c>
      <c r="G31" s="65" t="s">
        <v>107</v>
      </c>
      <c r="H31" s="64">
        <v>0</v>
      </c>
      <c r="I31" s="64">
        <v>0</v>
      </c>
      <c r="J31" s="64">
        <v>0</v>
      </c>
      <c r="K31" s="64">
        <v>0</v>
      </c>
      <c r="L31" s="64"/>
      <c r="M31" s="64"/>
      <c r="N31" s="65" t="s">
        <v>107</v>
      </c>
    </row>
    <row r="32" spans="1:14">
      <c r="A32" s="138"/>
      <c r="F32" s="65" t="s">
        <v>107</v>
      </c>
      <c r="G32" s="65" t="s">
        <v>107</v>
      </c>
      <c r="H32" s="64">
        <v>0</v>
      </c>
      <c r="I32" s="64">
        <v>0</v>
      </c>
      <c r="J32" s="64">
        <v>0</v>
      </c>
      <c r="K32" s="64">
        <v>0</v>
      </c>
      <c r="L32" s="64"/>
      <c r="M32" s="64"/>
      <c r="N32" s="65" t="s">
        <v>107</v>
      </c>
    </row>
    <row r="33" spans="1:14">
      <c r="A33" s="138"/>
      <c r="F33" s="65" t="s">
        <v>107</v>
      </c>
      <c r="G33" s="65" t="s">
        <v>107</v>
      </c>
      <c r="H33" s="64">
        <v>0</v>
      </c>
      <c r="I33" s="64">
        <v>0</v>
      </c>
      <c r="J33" s="64">
        <v>0</v>
      </c>
      <c r="K33" s="64">
        <v>0</v>
      </c>
      <c r="L33" s="64"/>
      <c r="M33" s="64"/>
      <c r="N33" s="65" t="s">
        <v>107</v>
      </c>
    </row>
    <row r="34" spans="1:14">
      <c r="A34" s="138"/>
      <c r="F34" s="65" t="s">
        <v>107</v>
      </c>
      <c r="G34" s="65" t="s">
        <v>107</v>
      </c>
      <c r="H34" s="64">
        <v>0</v>
      </c>
      <c r="I34" s="64">
        <v>0</v>
      </c>
      <c r="J34" s="64">
        <v>0</v>
      </c>
      <c r="K34" s="64">
        <v>0</v>
      </c>
      <c r="L34" s="64"/>
      <c r="M34" s="64"/>
      <c r="N34" s="65" t="s">
        <v>107</v>
      </c>
    </row>
    <row r="35" spans="1:14">
      <c r="A35" s="138"/>
      <c r="F35" s="65" t="s">
        <v>107</v>
      </c>
      <c r="G35" s="65" t="s">
        <v>107</v>
      </c>
      <c r="H35" s="64">
        <v>0</v>
      </c>
      <c r="I35" s="64">
        <v>0</v>
      </c>
      <c r="J35" s="64">
        <v>0</v>
      </c>
      <c r="K35" s="64">
        <v>0</v>
      </c>
      <c r="L35" s="64"/>
      <c r="M35" s="64"/>
      <c r="N35" s="65" t="s">
        <v>107</v>
      </c>
    </row>
    <row r="36" spans="1:14">
      <c r="A36" s="138"/>
      <c r="F36" s="65" t="s">
        <v>107</v>
      </c>
      <c r="G36" s="65" t="s">
        <v>107</v>
      </c>
      <c r="H36" s="64">
        <v>0</v>
      </c>
      <c r="I36" s="64">
        <v>0</v>
      </c>
      <c r="J36" s="64">
        <v>0</v>
      </c>
      <c r="K36" s="64">
        <v>0</v>
      </c>
      <c r="L36" s="64"/>
      <c r="M36" s="64"/>
      <c r="N36" s="65" t="s">
        <v>107</v>
      </c>
    </row>
    <row r="37" spans="1:14">
      <c r="A37" s="138"/>
      <c r="F37" s="65" t="s">
        <v>107</v>
      </c>
      <c r="G37" s="65" t="s">
        <v>107</v>
      </c>
      <c r="H37" s="64">
        <v>0</v>
      </c>
      <c r="I37" s="64">
        <v>0</v>
      </c>
      <c r="J37" s="64">
        <v>0</v>
      </c>
      <c r="K37" s="64">
        <v>0</v>
      </c>
      <c r="L37" s="64"/>
      <c r="M37" s="64"/>
      <c r="N37" s="65" t="s">
        <v>107</v>
      </c>
    </row>
    <row r="38" spans="1:14">
      <c r="A38" s="138"/>
      <c r="F38" s="65" t="s">
        <v>107</v>
      </c>
      <c r="G38" s="65" t="s">
        <v>107</v>
      </c>
      <c r="H38" s="64">
        <v>0</v>
      </c>
      <c r="I38" s="64">
        <v>0</v>
      </c>
      <c r="J38" s="64">
        <v>0</v>
      </c>
      <c r="K38" s="64">
        <v>0</v>
      </c>
      <c r="L38" s="64"/>
      <c r="M38" s="64"/>
      <c r="N38" s="65" t="s">
        <v>107</v>
      </c>
    </row>
    <row r="39" spans="1:14">
      <c r="A39" s="138"/>
      <c r="F39" s="65" t="s">
        <v>107</v>
      </c>
      <c r="G39" s="65" t="s">
        <v>107</v>
      </c>
      <c r="H39" s="64">
        <v>0</v>
      </c>
      <c r="I39" s="64">
        <v>0</v>
      </c>
      <c r="J39" s="64">
        <v>0</v>
      </c>
      <c r="K39" s="64">
        <v>0</v>
      </c>
      <c r="L39" s="64"/>
      <c r="M39" s="64"/>
      <c r="N39" s="65" t="s">
        <v>107</v>
      </c>
    </row>
    <row r="40" spans="1:14">
      <c r="A40" s="138"/>
      <c r="F40" s="65" t="s">
        <v>107</v>
      </c>
      <c r="G40" s="65" t="s">
        <v>107</v>
      </c>
      <c r="H40" s="64">
        <v>0</v>
      </c>
      <c r="I40" s="64">
        <v>0</v>
      </c>
      <c r="J40" s="64">
        <v>0</v>
      </c>
      <c r="K40" s="64">
        <v>0</v>
      </c>
      <c r="L40" s="64"/>
      <c r="M40" s="64"/>
      <c r="N40" s="65" t="s">
        <v>107</v>
      </c>
    </row>
    <row r="41" spans="1:14">
      <c r="A41" s="138"/>
      <c r="F41" s="65" t="s">
        <v>107</v>
      </c>
      <c r="G41" s="65" t="s">
        <v>107</v>
      </c>
      <c r="H41" s="64">
        <v>0</v>
      </c>
      <c r="I41" s="64">
        <v>0</v>
      </c>
      <c r="J41" s="64">
        <v>0</v>
      </c>
      <c r="K41" s="64">
        <v>0</v>
      </c>
      <c r="L41" s="64"/>
      <c r="M41" s="64"/>
      <c r="N41" s="65" t="s">
        <v>107</v>
      </c>
    </row>
    <row r="42" spans="1:14">
      <c r="A42" s="138"/>
      <c r="F42" s="65" t="s">
        <v>107</v>
      </c>
      <c r="G42" s="65" t="s">
        <v>107</v>
      </c>
      <c r="H42" s="64">
        <v>0</v>
      </c>
      <c r="I42" s="64">
        <v>0</v>
      </c>
      <c r="J42" s="64">
        <v>0</v>
      </c>
      <c r="K42" s="64">
        <v>0</v>
      </c>
      <c r="L42" s="64"/>
      <c r="M42" s="64"/>
      <c r="N42" s="65" t="s">
        <v>107</v>
      </c>
    </row>
    <row r="43" spans="1:14">
      <c r="A43" s="138"/>
      <c r="F43" s="65" t="s">
        <v>107</v>
      </c>
      <c r="G43" s="65" t="s">
        <v>107</v>
      </c>
      <c r="H43" s="64">
        <v>0</v>
      </c>
      <c r="I43" s="64">
        <v>0</v>
      </c>
      <c r="J43" s="64">
        <v>0</v>
      </c>
      <c r="K43" s="64">
        <v>0</v>
      </c>
      <c r="L43" s="64"/>
      <c r="M43" s="64"/>
      <c r="N43" s="65" t="s">
        <v>107</v>
      </c>
    </row>
    <row r="44" spans="1:14">
      <c r="A44" s="138"/>
      <c r="F44" s="65" t="s">
        <v>107</v>
      </c>
      <c r="G44" s="65" t="s">
        <v>107</v>
      </c>
      <c r="H44" s="64">
        <v>0</v>
      </c>
      <c r="I44" s="64">
        <v>0</v>
      </c>
      <c r="J44" s="64">
        <v>0</v>
      </c>
      <c r="K44" s="64">
        <v>0</v>
      </c>
      <c r="L44" s="64"/>
      <c r="M44" s="64"/>
      <c r="N44" s="65" t="s">
        <v>107</v>
      </c>
    </row>
    <row r="45" spans="1:14">
      <c r="A45" s="138"/>
      <c r="F45" s="65" t="s">
        <v>107</v>
      </c>
      <c r="G45" s="65" t="s">
        <v>107</v>
      </c>
      <c r="H45" s="64">
        <v>0</v>
      </c>
      <c r="I45" s="64">
        <v>0</v>
      </c>
      <c r="J45" s="64">
        <v>0</v>
      </c>
      <c r="K45" s="64">
        <v>0</v>
      </c>
      <c r="L45" s="64"/>
      <c r="M45" s="64"/>
      <c r="N45" s="65" t="s">
        <v>107</v>
      </c>
    </row>
    <row r="46" spans="1:14">
      <c r="A46" s="138"/>
      <c r="F46" s="65" t="s">
        <v>107</v>
      </c>
      <c r="G46" s="65" t="s">
        <v>107</v>
      </c>
      <c r="H46" s="64">
        <v>0</v>
      </c>
      <c r="I46" s="64">
        <v>0</v>
      </c>
      <c r="J46" s="64">
        <v>0</v>
      </c>
      <c r="K46" s="64">
        <v>0</v>
      </c>
      <c r="L46" s="64"/>
      <c r="M46" s="64"/>
      <c r="N46" s="65" t="s">
        <v>107</v>
      </c>
    </row>
    <row r="47" spans="1:14">
      <c r="A47" s="138"/>
      <c r="F47" s="65" t="s">
        <v>107</v>
      </c>
      <c r="G47" s="65" t="s">
        <v>107</v>
      </c>
      <c r="H47" s="64">
        <v>0</v>
      </c>
      <c r="I47" s="64">
        <v>0</v>
      </c>
      <c r="J47" s="64">
        <v>0</v>
      </c>
      <c r="K47" s="64">
        <v>0</v>
      </c>
      <c r="L47" s="64"/>
      <c r="M47" s="64"/>
      <c r="N47" s="65" t="s">
        <v>107</v>
      </c>
    </row>
    <row r="48" spans="1:14">
      <c r="A48" s="138"/>
      <c r="F48" s="65" t="s">
        <v>107</v>
      </c>
      <c r="G48" s="65" t="s">
        <v>107</v>
      </c>
      <c r="H48" s="64">
        <v>0</v>
      </c>
      <c r="I48" s="64">
        <v>0</v>
      </c>
      <c r="J48" s="64">
        <v>0</v>
      </c>
      <c r="K48" s="64">
        <v>0</v>
      </c>
      <c r="L48" s="64"/>
      <c r="M48" s="64"/>
      <c r="N48" s="65" t="s">
        <v>107</v>
      </c>
    </row>
    <row r="49" spans="1:14">
      <c r="A49" s="138"/>
      <c r="F49" s="65" t="s">
        <v>107</v>
      </c>
      <c r="G49" s="65" t="s">
        <v>107</v>
      </c>
      <c r="H49" s="64">
        <v>0</v>
      </c>
      <c r="I49" s="64">
        <v>0</v>
      </c>
      <c r="J49" s="64">
        <v>0</v>
      </c>
      <c r="K49" s="64">
        <v>0</v>
      </c>
      <c r="L49" s="64"/>
      <c r="M49" s="64"/>
      <c r="N49" s="65" t="s">
        <v>107</v>
      </c>
    </row>
    <row r="50" spans="1:14">
      <c r="A50" s="138"/>
      <c r="F50" s="65" t="s">
        <v>107</v>
      </c>
      <c r="G50" s="65" t="s">
        <v>107</v>
      </c>
      <c r="H50" s="64">
        <v>0</v>
      </c>
      <c r="I50" s="64">
        <v>0</v>
      </c>
      <c r="J50" s="64">
        <v>0</v>
      </c>
      <c r="K50" s="64">
        <v>0</v>
      </c>
      <c r="L50" s="64"/>
      <c r="M50" s="64"/>
      <c r="N50" s="65" t="s">
        <v>107</v>
      </c>
    </row>
    <row r="51" spans="1:14">
      <c r="A51" s="138"/>
      <c r="F51" s="65" t="s">
        <v>107</v>
      </c>
      <c r="G51" s="65" t="s">
        <v>107</v>
      </c>
      <c r="H51" s="64">
        <v>0</v>
      </c>
      <c r="I51" s="64">
        <v>0</v>
      </c>
      <c r="J51" s="64">
        <v>0</v>
      </c>
      <c r="K51" s="64">
        <v>0</v>
      </c>
      <c r="L51" s="64"/>
      <c r="M51" s="64"/>
      <c r="N51" s="65" t="s">
        <v>107</v>
      </c>
    </row>
    <row r="52" spans="1:14">
      <c r="A52" s="138"/>
      <c r="F52" s="65" t="s">
        <v>107</v>
      </c>
      <c r="G52" s="65" t="s">
        <v>107</v>
      </c>
      <c r="H52" s="64">
        <v>0</v>
      </c>
      <c r="I52" s="64">
        <v>0</v>
      </c>
      <c r="J52" s="64">
        <v>0</v>
      </c>
      <c r="K52" s="64">
        <v>0</v>
      </c>
      <c r="L52" s="64"/>
      <c r="M52" s="64"/>
      <c r="N52" s="65" t="s">
        <v>107</v>
      </c>
    </row>
    <row r="53" spans="1:14">
      <c r="A53" s="138"/>
      <c r="F53" s="65" t="s">
        <v>107</v>
      </c>
      <c r="G53" s="65" t="s">
        <v>107</v>
      </c>
      <c r="H53" s="64">
        <v>0</v>
      </c>
      <c r="I53" s="64">
        <v>0</v>
      </c>
      <c r="J53" s="64">
        <v>0</v>
      </c>
      <c r="K53" s="64">
        <v>0</v>
      </c>
      <c r="L53" s="64"/>
      <c r="M53" s="64"/>
      <c r="N53" s="65" t="s">
        <v>107</v>
      </c>
    </row>
    <row r="54" spans="1:14">
      <c r="A54" s="138"/>
      <c r="F54" s="65" t="s">
        <v>107</v>
      </c>
      <c r="G54" s="65" t="s">
        <v>107</v>
      </c>
      <c r="H54" s="64">
        <v>0</v>
      </c>
      <c r="I54" s="64">
        <v>0</v>
      </c>
      <c r="J54" s="64">
        <v>0</v>
      </c>
      <c r="K54" s="64">
        <v>0</v>
      </c>
      <c r="L54" s="64"/>
      <c r="M54" s="64"/>
      <c r="N54" s="65" t="s">
        <v>107</v>
      </c>
    </row>
    <row r="55" spans="1:14">
      <c r="A55" s="138"/>
      <c r="F55" s="65" t="s">
        <v>107</v>
      </c>
      <c r="G55" s="65" t="s">
        <v>107</v>
      </c>
      <c r="H55" s="64">
        <v>0</v>
      </c>
      <c r="I55" s="64">
        <v>0</v>
      </c>
      <c r="J55" s="64">
        <v>0</v>
      </c>
      <c r="K55" s="64">
        <v>0</v>
      </c>
      <c r="L55" s="64"/>
      <c r="M55" s="64"/>
      <c r="N55" s="65" t="s">
        <v>107</v>
      </c>
    </row>
    <row r="56" spans="1:14">
      <c r="A56" s="138"/>
      <c r="F56" s="65" t="s">
        <v>107</v>
      </c>
      <c r="G56" s="65" t="s">
        <v>107</v>
      </c>
      <c r="H56" s="64">
        <v>0</v>
      </c>
      <c r="I56" s="64">
        <v>0</v>
      </c>
      <c r="J56" s="64">
        <v>0</v>
      </c>
      <c r="K56" s="64">
        <v>0</v>
      </c>
      <c r="L56" s="64"/>
      <c r="M56" s="64"/>
      <c r="N56" s="65" t="s">
        <v>107</v>
      </c>
    </row>
    <row r="57" spans="1:14">
      <c r="A57" s="138"/>
      <c r="F57" s="65" t="s">
        <v>107</v>
      </c>
      <c r="G57" s="65" t="s">
        <v>107</v>
      </c>
      <c r="H57" s="64">
        <v>0</v>
      </c>
      <c r="I57" s="64">
        <v>0</v>
      </c>
      <c r="J57" s="64">
        <v>0</v>
      </c>
      <c r="K57" s="64">
        <v>0</v>
      </c>
      <c r="L57" s="64"/>
      <c r="M57" s="64"/>
      <c r="N57" s="65" t="s">
        <v>107</v>
      </c>
    </row>
    <row r="58" spans="1:14">
      <c r="A58" s="138"/>
      <c r="F58" s="65" t="s">
        <v>107</v>
      </c>
      <c r="G58" s="65" t="s">
        <v>107</v>
      </c>
      <c r="H58" s="64">
        <v>0</v>
      </c>
      <c r="I58" s="64">
        <v>0</v>
      </c>
      <c r="J58" s="64">
        <v>0</v>
      </c>
      <c r="K58" s="64">
        <v>0</v>
      </c>
      <c r="L58" s="64"/>
      <c r="M58" s="64"/>
      <c r="N58" s="65" t="s">
        <v>107</v>
      </c>
    </row>
    <row r="59" spans="1:14">
      <c r="A59" s="138"/>
      <c r="F59" s="65" t="s">
        <v>107</v>
      </c>
      <c r="G59" s="65" t="s">
        <v>107</v>
      </c>
      <c r="H59" s="64">
        <v>0</v>
      </c>
      <c r="I59" s="64">
        <v>0</v>
      </c>
      <c r="J59" s="64">
        <v>0</v>
      </c>
      <c r="K59" s="64">
        <v>0</v>
      </c>
      <c r="L59" s="64"/>
      <c r="M59" s="64"/>
      <c r="N59" s="65" t="s">
        <v>107</v>
      </c>
    </row>
    <row r="60" spans="1:14">
      <c r="A60" s="138"/>
      <c r="F60" s="65" t="s">
        <v>107</v>
      </c>
      <c r="G60" s="65" t="s">
        <v>107</v>
      </c>
      <c r="H60" s="64">
        <v>0</v>
      </c>
      <c r="I60" s="64">
        <v>0</v>
      </c>
      <c r="J60" s="64">
        <v>0</v>
      </c>
      <c r="K60" s="64">
        <v>0</v>
      </c>
      <c r="L60" s="64"/>
      <c r="M60" s="64"/>
      <c r="N60" s="65" t="s">
        <v>107</v>
      </c>
    </row>
    <row r="61" spans="1:14">
      <c r="A61" s="138"/>
      <c r="F61" s="65" t="s">
        <v>107</v>
      </c>
      <c r="G61" s="65" t="s">
        <v>107</v>
      </c>
      <c r="H61" s="64">
        <v>0</v>
      </c>
      <c r="I61" s="64">
        <v>0</v>
      </c>
      <c r="J61" s="64">
        <v>0</v>
      </c>
      <c r="K61" s="64">
        <v>0</v>
      </c>
      <c r="L61" s="64"/>
      <c r="M61" s="64"/>
      <c r="N61" s="65" t="s">
        <v>107</v>
      </c>
    </row>
    <row r="62" spans="1:14">
      <c r="A62" s="138"/>
      <c r="F62" s="65" t="s">
        <v>107</v>
      </c>
      <c r="G62" s="65" t="s">
        <v>107</v>
      </c>
      <c r="H62" s="64">
        <v>0</v>
      </c>
      <c r="I62" s="64">
        <v>0</v>
      </c>
      <c r="J62" s="64">
        <v>0</v>
      </c>
      <c r="K62" s="64">
        <v>0</v>
      </c>
      <c r="L62" s="64"/>
      <c r="M62" s="64"/>
      <c r="N62" s="65" t="s">
        <v>107</v>
      </c>
    </row>
    <row r="63" spans="1:14">
      <c r="A63" s="138"/>
      <c r="F63" s="65" t="s">
        <v>107</v>
      </c>
      <c r="G63" s="65" t="s">
        <v>107</v>
      </c>
      <c r="H63" s="64">
        <v>0</v>
      </c>
      <c r="I63" s="64">
        <v>0</v>
      </c>
      <c r="J63" s="64">
        <v>0</v>
      </c>
      <c r="K63" s="64">
        <v>0</v>
      </c>
      <c r="L63" s="64"/>
      <c r="M63" s="64"/>
      <c r="N63" s="65" t="s">
        <v>107</v>
      </c>
    </row>
    <row r="64" spans="1:14">
      <c r="A64" s="138"/>
      <c r="F64" s="65" t="s">
        <v>107</v>
      </c>
      <c r="G64" s="65" t="s">
        <v>107</v>
      </c>
      <c r="H64" s="64">
        <v>0</v>
      </c>
      <c r="I64" s="64">
        <v>0</v>
      </c>
      <c r="J64" s="64">
        <v>0</v>
      </c>
      <c r="K64" s="64">
        <v>0</v>
      </c>
      <c r="L64" s="64"/>
      <c r="M64" s="64"/>
      <c r="N64" s="65" t="s">
        <v>107</v>
      </c>
    </row>
    <row r="65" spans="1:14">
      <c r="A65" s="138"/>
      <c r="F65" s="65" t="s">
        <v>107</v>
      </c>
      <c r="G65" s="65" t="s">
        <v>107</v>
      </c>
      <c r="H65" s="64">
        <v>0</v>
      </c>
      <c r="I65" s="64">
        <v>0</v>
      </c>
      <c r="J65" s="64">
        <v>0</v>
      </c>
      <c r="K65" s="64">
        <v>0</v>
      </c>
      <c r="L65" s="64"/>
      <c r="M65" s="64"/>
      <c r="N65" s="65" t="s">
        <v>107</v>
      </c>
    </row>
    <row r="66" spans="1:14">
      <c r="A66" s="138"/>
      <c r="F66" s="65" t="s">
        <v>107</v>
      </c>
      <c r="G66" s="65" t="s">
        <v>107</v>
      </c>
      <c r="H66" s="64">
        <v>0</v>
      </c>
      <c r="I66" s="64">
        <v>0</v>
      </c>
      <c r="J66" s="64">
        <v>0</v>
      </c>
      <c r="K66" s="64">
        <v>0</v>
      </c>
      <c r="L66" s="64"/>
      <c r="M66" s="64"/>
      <c r="N66" s="65" t="s">
        <v>107</v>
      </c>
    </row>
    <row r="67" spans="1:14">
      <c r="A67" s="138"/>
      <c r="F67" s="65" t="s">
        <v>107</v>
      </c>
      <c r="G67" s="65" t="s">
        <v>107</v>
      </c>
      <c r="H67" s="64">
        <v>0</v>
      </c>
      <c r="I67" s="64">
        <v>0</v>
      </c>
      <c r="J67" s="64">
        <v>0</v>
      </c>
      <c r="K67" s="64">
        <v>0</v>
      </c>
      <c r="L67" s="64"/>
      <c r="M67" s="64"/>
      <c r="N67" s="65" t="s">
        <v>107</v>
      </c>
    </row>
    <row r="68" spans="1:14">
      <c r="A68" s="138"/>
      <c r="F68" s="65" t="s">
        <v>107</v>
      </c>
      <c r="G68" s="65" t="s">
        <v>107</v>
      </c>
      <c r="H68" s="64">
        <v>0</v>
      </c>
      <c r="I68" s="64">
        <v>0</v>
      </c>
      <c r="J68" s="64">
        <v>0</v>
      </c>
      <c r="K68" s="64">
        <v>0</v>
      </c>
      <c r="L68" s="64"/>
      <c r="M68" s="64"/>
      <c r="N68" s="65" t="s">
        <v>107</v>
      </c>
    </row>
    <row r="69" spans="1:14">
      <c r="A69" s="138"/>
      <c r="F69" s="65" t="s">
        <v>107</v>
      </c>
      <c r="G69" s="65" t="s">
        <v>107</v>
      </c>
      <c r="H69" s="64">
        <v>0</v>
      </c>
      <c r="I69" s="64">
        <v>0</v>
      </c>
      <c r="J69" s="64">
        <v>0</v>
      </c>
      <c r="K69" s="64">
        <v>0</v>
      </c>
      <c r="L69" s="64"/>
      <c r="M69" s="64"/>
      <c r="N69" s="65" t="s">
        <v>107</v>
      </c>
    </row>
  </sheetData>
  <sheetProtection sheet="1" objects="1" scenarios="1"/>
  <dataValidations count="4">
    <dataValidation type="list" allowBlank="1" showInputMessage="1" showErrorMessage="1" sqref="C5" xr:uid="{00000000-0002-0000-0300-000000000000}">
      <formula1>Tipo</formula1>
    </dataValidation>
    <dataValidation type="list" allowBlank="1" showInputMessage="1" showErrorMessage="1" sqref="D5" xr:uid="{00000000-0002-0000-0300-000001000000}">
      <formula1>Medicao</formula1>
    </dataValidation>
    <dataValidation type="list" allowBlank="1" showInputMessage="1" showErrorMessage="1" sqref="E5" xr:uid="{00000000-0002-0000-0300-000002000000}">
      <formula1>CodigoFC</formula1>
    </dataValidation>
    <dataValidation type="list" allowBlank="1" showInputMessage="1" showErrorMessage="1" sqref="N5" xr:uid="{00000000-0002-0000-0300-000003000000}">
      <formula1>NomeRessuprimento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"/>
  <dimension ref="A1:N63"/>
  <sheetViews>
    <sheetView showGridLines="0" showRowColHeaders="0" showZeros="0" zoomScale="80" zoomScaleNormal="80" workbookViewId="0"/>
  </sheetViews>
  <sheetFormatPr defaultColWidth="9.109375" defaultRowHeight="14.4"/>
  <cols>
    <col min="1" max="1" width="13" style="5" bestFit="1" customWidth="1"/>
    <col min="2" max="2" width="44.109375" style="5" customWidth="1"/>
    <col min="3" max="3" width="13.88671875" style="5" customWidth="1"/>
    <col min="4" max="4" width="15.44140625" style="5" customWidth="1"/>
    <col min="5" max="5" width="22" style="5" bestFit="1" customWidth="1"/>
    <col min="6" max="6" width="21.109375" style="5" bestFit="1" customWidth="1"/>
    <col min="7" max="7" width="21.109375" style="5" customWidth="1"/>
    <col min="8" max="8" width="14.44140625" style="5" customWidth="1"/>
    <col min="9" max="9" width="11.6640625" style="5" customWidth="1"/>
    <col min="10" max="10" width="9.33203125" style="5" customWidth="1"/>
    <col min="11" max="11" width="9.44140625" style="5" customWidth="1"/>
    <col min="12" max="12" width="9.109375" style="5"/>
    <col min="13" max="13" width="10.6640625" style="5" customWidth="1"/>
    <col min="14" max="14" width="20.6640625" style="5" customWidth="1"/>
    <col min="15" max="15" width="19.88671875" style="5" bestFit="1" customWidth="1"/>
    <col min="16" max="16384" width="9.109375" style="5"/>
  </cols>
  <sheetData>
    <row r="1" spans="1:14" ht="3.75" customHeight="1"/>
    <row r="2" spans="1:14" s="30" customFormat="1" ht="33.75" customHeight="1">
      <c r="A2" s="29" t="s">
        <v>0</v>
      </c>
      <c r="B2" s="29" t="s">
        <v>1</v>
      </c>
      <c r="C2" s="29" t="s">
        <v>38</v>
      </c>
      <c r="D2" s="29" t="s">
        <v>3</v>
      </c>
      <c r="E2" s="29" t="s">
        <v>60</v>
      </c>
      <c r="F2" s="29" t="s">
        <v>61</v>
      </c>
      <c r="G2" s="29" t="s">
        <v>49</v>
      </c>
      <c r="H2" s="29" t="s">
        <v>4</v>
      </c>
      <c r="I2" s="29" t="s">
        <v>5</v>
      </c>
      <c r="J2" s="29" t="s">
        <v>6</v>
      </c>
      <c r="K2" s="29" t="s">
        <v>7</v>
      </c>
      <c r="L2" s="29" t="s">
        <v>8</v>
      </c>
      <c r="M2" s="29" t="s">
        <v>37</v>
      </c>
      <c r="N2" s="29" t="s">
        <v>9</v>
      </c>
    </row>
    <row r="3" spans="1:14">
      <c r="A3" s="135">
        <v>1</v>
      </c>
      <c r="B3" s="17" t="s">
        <v>254</v>
      </c>
      <c r="C3" s="17" t="s">
        <v>277</v>
      </c>
      <c r="D3" s="17" t="s">
        <v>65</v>
      </c>
      <c r="E3" s="18">
        <v>1</v>
      </c>
      <c r="F3" s="5" t="str">
        <f>IFERROR(VLOOKUP(TabelaEstoque[[#This Row],[Código Forcenedor]],TabelaFC[],MATCH(TabelaFC[[#Headers],[Nome]],TabelaFC[#Headers],0)),"")</f>
        <v>José</v>
      </c>
      <c r="G3" s="5" t="str">
        <f>IFERROR(VLOOKUP(TabelaEstoque[[#This Row],[Código Forcenedor]],TabelaFC[],MATCH(TabelaFC[[#Headers],[Sobrenome]],TabelaFC[#Headers],0)),"")</f>
        <v>Silva</v>
      </c>
      <c r="H3" s="16">
        <f>SUMIF(TabelaEntradas[SKU],TabelaEstoque[[#This Row],[SKU]],TabelaEntradas[Quantidade])</f>
        <v>135</v>
      </c>
      <c r="I3" s="16">
        <f>SUMIF(TabelaSaidas[SKU],TabelaEstoque[[#This Row],[SKU]],TabelaSaidas[Quantidade])</f>
        <v>10</v>
      </c>
      <c r="J3" s="16">
        <f>SUMIF(TabelaPercas[SKU],TabelaEstoque[[#This Row],[SKU]],TabelaPercas[Quantidade])</f>
        <v>15</v>
      </c>
      <c r="K3" s="16">
        <f>TabelaEstoque[[#This Row],[Entradas]]-TabelaEstoque[[#This Row],[Saídas]]-TabelaEstoque[[#This Row],[Percas]]</f>
        <v>110</v>
      </c>
      <c r="L3" s="18">
        <v>100</v>
      </c>
      <c r="M3" s="18">
        <v>300</v>
      </c>
      <c r="N3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>Quantidade Ideal</v>
      </c>
    </row>
    <row r="4" spans="1:14">
      <c r="A4" s="135">
        <v>2</v>
      </c>
      <c r="B4" s="17" t="s">
        <v>255</v>
      </c>
      <c r="C4" s="17" t="s">
        <v>277</v>
      </c>
      <c r="D4" s="17" t="s">
        <v>65</v>
      </c>
      <c r="E4" s="18">
        <v>2</v>
      </c>
      <c r="F4" s="5" t="str">
        <f>IFERROR(VLOOKUP(TabelaEstoque[[#This Row],[Código Forcenedor]],TabelaFC[],MATCH(TabelaFC[[#Headers],[Nome]],TabelaFC[#Headers],0)),"")</f>
        <v>Roberto</v>
      </c>
      <c r="G4" s="5" t="str">
        <f>IFERROR(VLOOKUP(TabelaEstoque[[#This Row],[Código Forcenedor]],TabelaFC[],MATCH(TabelaFC[[#Headers],[Sobrenome]],TabelaFC[#Headers],0)),"")</f>
        <v>José</v>
      </c>
      <c r="H4" s="16">
        <f>SUMIF(TabelaEntradas[SKU],TabelaEstoque[[#This Row],[SKU]],TabelaEntradas[Quantidade])</f>
        <v>0</v>
      </c>
      <c r="I4" s="16">
        <f>SUMIF(TabelaSaidas[SKU],TabelaEstoque[[#This Row],[SKU]],TabelaSaidas[Quantidade])</f>
        <v>0</v>
      </c>
      <c r="J4" s="16">
        <f>SUMIF(TabelaPercas[SKU],TabelaEstoque[[#This Row],[SKU]],TabelaPercas[Quantidade])</f>
        <v>0</v>
      </c>
      <c r="K4" s="16">
        <f>TabelaEstoque[[#This Row],[Entradas]]-TabelaEstoque[[#This Row],[Saídas]]-TabelaEstoque[[#This Row],[Percas]]</f>
        <v>0</v>
      </c>
      <c r="L4" s="18">
        <v>100</v>
      </c>
      <c r="M4" s="18">
        <v>300</v>
      </c>
      <c r="N4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>Comprar Agora</v>
      </c>
    </row>
    <row r="5" spans="1:14">
      <c r="A5" s="135">
        <v>3</v>
      </c>
      <c r="B5" s="17" t="s">
        <v>256</v>
      </c>
      <c r="C5" s="17" t="s">
        <v>277</v>
      </c>
      <c r="D5" s="17" t="s">
        <v>33</v>
      </c>
      <c r="E5" s="18">
        <v>1</v>
      </c>
      <c r="F5" s="5" t="str">
        <f>IFERROR(VLOOKUP(TabelaEstoque[[#This Row],[Código Forcenedor]],TabelaFC[],MATCH(TabelaFC[[#Headers],[Nome]],TabelaFC[#Headers],0)),"")</f>
        <v>José</v>
      </c>
      <c r="G5" s="5" t="str">
        <f>IFERROR(VLOOKUP(TabelaEstoque[[#This Row],[Código Forcenedor]],TabelaFC[],MATCH(TabelaFC[[#Headers],[Sobrenome]],TabelaFC[#Headers],0)),"")</f>
        <v>Silva</v>
      </c>
      <c r="H5" s="16">
        <f>SUMIF(TabelaEntradas[SKU],TabelaEstoque[[#This Row],[SKU]],TabelaEntradas[Quantidade])</f>
        <v>30</v>
      </c>
      <c r="I5" s="16">
        <f>SUMIF(TabelaSaidas[SKU],TabelaEstoque[[#This Row],[SKU]],TabelaSaidas[Quantidade])</f>
        <v>0</v>
      </c>
      <c r="J5" s="16">
        <f>SUMIF(TabelaPercas[SKU],TabelaEstoque[[#This Row],[SKU]],TabelaPercas[Quantidade])</f>
        <v>0</v>
      </c>
      <c r="K5" s="16">
        <f>TabelaEstoque[[#This Row],[Entradas]]-TabelaEstoque[[#This Row],[Saídas]]-TabelaEstoque[[#This Row],[Percas]]</f>
        <v>30</v>
      </c>
      <c r="L5" s="18">
        <v>100</v>
      </c>
      <c r="M5" s="18">
        <v>300</v>
      </c>
      <c r="N5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>Comprar Agora</v>
      </c>
    </row>
    <row r="6" spans="1:14">
      <c r="A6" s="135">
        <v>4</v>
      </c>
      <c r="B6" s="17" t="s">
        <v>257</v>
      </c>
      <c r="C6" s="17" t="s">
        <v>277</v>
      </c>
      <c r="D6" s="17" t="s">
        <v>67</v>
      </c>
      <c r="E6" s="18">
        <v>1</v>
      </c>
      <c r="F6" s="5" t="str">
        <f>IFERROR(VLOOKUP(TabelaEstoque[[#This Row],[Código Forcenedor]],TabelaFC[],MATCH(TabelaFC[[#Headers],[Nome]],TabelaFC[#Headers],0)),"")</f>
        <v>José</v>
      </c>
      <c r="G6" s="5" t="str">
        <f>IFERROR(VLOOKUP(TabelaEstoque[[#This Row],[Código Forcenedor]],TabelaFC[],MATCH(TabelaFC[[#Headers],[Sobrenome]],TabelaFC[#Headers],0)),"")</f>
        <v>Silva</v>
      </c>
      <c r="H6" s="16">
        <f>SUMIF(TabelaEntradas[SKU],TabelaEstoque[[#This Row],[SKU]],TabelaEntradas[Quantidade])</f>
        <v>80</v>
      </c>
      <c r="I6" s="16">
        <f>SUMIF(TabelaSaidas[SKU],TabelaEstoque[[#This Row],[SKU]],TabelaSaidas[Quantidade])</f>
        <v>0</v>
      </c>
      <c r="J6" s="16">
        <f>SUMIF(TabelaPercas[SKU],TabelaEstoque[[#This Row],[SKU]],TabelaPercas[Quantidade])</f>
        <v>0</v>
      </c>
      <c r="K6" s="16">
        <f>TabelaEstoque[[#This Row],[Entradas]]-TabelaEstoque[[#This Row],[Saídas]]-TabelaEstoque[[#This Row],[Percas]]</f>
        <v>80</v>
      </c>
      <c r="L6" s="18">
        <v>100</v>
      </c>
      <c r="M6" s="18">
        <v>300</v>
      </c>
      <c r="N6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>Comprar Agora</v>
      </c>
    </row>
    <row r="7" spans="1:14">
      <c r="A7" s="135">
        <v>5</v>
      </c>
      <c r="B7" s="17" t="s">
        <v>258</v>
      </c>
      <c r="C7" s="17" t="s">
        <v>276</v>
      </c>
      <c r="D7" s="17" t="s">
        <v>67</v>
      </c>
      <c r="E7" s="18">
        <v>1</v>
      </c>
      <c r="F7" s="5" t="str">
        <f>IFERROR(VLOOKUP(TabelaEstoque[[#This Row],[Código Forcenedor]],TabelaFC[],MATCH(TabelaFC[[#Headers],[Nome]],TabelaFC[#Headers],0)),"")</f>
        <v>José</v>
      </c>
      <c r="G7" s="5" t="str">
        <f>IFERROR(VLOOKUP(TabelaEstoque[[#This Row],[Código Forcenedor]],TabelaFC[],MATCH(TabelaFC[[#Headers],[Sobrenome]],TabelaFC[#Headers],0)),"")</f>
        <v>Silva</v>
      </c>
      <c r="H7" s="16">
        <f>SUMIF(TabelaEntradas[SKU],TabelaEstoque[[#This Row],[SKU]],TabelaEntradas[Quantidade])</f>
        <v>0</v>
      </c>
      <c r="I7" s="16">
        <f>SUMIF(TabelaSaidas[SKU],TabelaEstoque[[#This Row],[SKU]],TabelaSaidas[Quantidade])</f>
        <v>15</v>
      </c>
      <c r="J7" s="16">
        <f>SUMIF(TabelaPercas[SKU],TabelaEstoque[[#This Row],[SKU]],TabelaPercas[Quantidade])</f>
        <v>0</v>
      </c>
      <c r="K7" s="16">
        <f>TabelaEstoque[[#This Row],[Entradas]]-TabelaEstoque[[#This Row],[Saídas]]-TabelaEstoque[[#This Row],[Percas]]</f>
        <v>-15</v>
      </c>
      <c r="L7" s="18">
        <v>30</v>
      </c>
      <c r="M7" s="18">
        <v>40</v>
      </c>
      <c r="N7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>Comprar Agora</v>
      </c>
    </row>
    <row r="8" spans="1:14">
      <c r="A8" s="135">
        <v>6</v>
      </c>
      <c r="B8" s="17" t="s">
        <v>259</v>
      </c>
      <c r="C8" s="17" t="s">
        <v>277</v>
      </c>
      <c r="D8" s="17" t="s">
        <v>65</v>
      </c>
      <c r="E8" s="18">
        <v>1</v>
      </c>
      <c r="F8" s="5" t="str">
        <f>IFERROR(VLOOKUP(TabelaEstoque[[#This Row],[Código Forcenedor]],TabelaFC[],MATCH(TabelaFC[[#Headers],[Nome]],TabelaFC[#Headers],0)),"")</f>
        <v>José</v>
      </c>
      <c r="G8" s="5" t="str">
        <f>IFERROR(VLOOKUP(TabelaEstoque[[#This Row],[Código Forcenedor]],TabelaFC[],MATCH(TabelaFC[[#Headers],[Sobrenome]],TabelaFC[#Headers],0)),"")</f>
        <v>Silva</v>
      </c>
      <c r="H8" s="16">
        <f>SUMIF(TabelaEntradas[SKU],TabelaEstoque[[#This Row],[SKU]],TabelaEntradas[Quantidade])</f>
        <v>0</v>
      </c>
      <c r="I8" s="16">
        <f>SUMIF(TabelaSaidas[SKU],TabelaEstoque[[#This Row],[SKU]],TabelaSaidas[Quantidade])</f>
        <v>0</v>
      </c>
      <c r="J8" s="16">
        <f>SUMIF(TabelaPercas[SKU],TabelaEstoque[[#This Row],[SKU]],TabelaPercas[Quantidade])</f>
        <v>0</v>
      </c>
      <c r="K8" s="16">
        <f>TabelaEstoque[[#This Row],[Entradas]]-TabelaEstoque[[#This Row],[Saídas]]-TabelaEstoque[[#This Row],[Percas]]</f>
        <v>0</v>
      </c>
      <c r="L8" s="18">
        <v>30</v>
      </c>
      <c r="M8" s="18">
        <v>40</v>
      </c>
      <c r="N8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>Comprar Agora</v>
      </c>
    </row>
    <row r="9" spans="1:14">
      <c r="A9" s="135">
        <v>7</v>
      </c>
      <c r="B9" s="17" t="s">
        <v>260</v>
      </c>
      <c r="C9" s="17" t="s">
        <v>277</v>
      </c>
      <c r="D9" s="17" t="s">
        <v>68</v>
      </c>
      <c r="E9" s="18">
        <v>2</v>
      </c>
      <c r="F9" s="5" t="str">
        <f>IFERROR(VLOOKUP(TabelaEstoque[[#This Row],[Código Forcenedor]],TabelaFC[],MATCH(TabelaFC[[#Headers],[Nome]],TabelaFC[#Headers],0)),"")</f>
        <v>Roberto</v>
      </c>
      <c r="G9" s="5" t="str">
        <f>IFERROR(VLOOKUP(TabelaEstoque[[#This Row],[Código Forcenedor]],TabelaFC[],MATCH(TabelaFC[[#Headers],[Sobrenome]],TabelaFC[#Headers],0)),"")</f>
        <v>José</v>
      </c>
      <c r="H9" s="16">
        <f>SUMIF(TabelaEntradas[SKU],TabelaEstoque[[#This Row],[SKU]],TabelaEntradas[Quantidade])</f>
        <v>0</v>
      </c>
      <c r="I9" s="16">
        <f>SUMIF(TabelaSaidas[SKU],TabelaEstoque[[#This Row],[SKU]],TabelaSaidas[Quantidade])</f>
        <v>0</v>
      </c>
      <c r="J9" s="16">
        <f>SUMIF(TabelaPercas[SKU],TabelaEstoque[[#This Row],[SKU]],TabelaPercas[Quantidade])</f>
        <v>0</v>
      </c>
      <c r="K9" s="16">
        <f>TabelaEstoque[[#This Row],[Entradas]]-TabelaEstoque[[#This Row],[Saídas]]-TabelaEstoque[[#This Row],[Percas]]</f>
        <v>0</v>
      </c>
      <c r="L9" s="18">
        <v>40</v>
      </c>
      <c r="M9" s="18">
        <v>50</v>
      </c>
      <c r="N9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>Comprar Agora</v>
      </c>
    </row>
    <row r="10" spans="1:14">
      <c r="A10" s="135">
        <v>8</v>
      </c>
      <c r="B10" s="17" t="s">
        <v>261</v>
      </c>
      <c r="C10" s="17" t="s">
        <v>277</v>
      </c>
      <c r="D10" s="17" t="s">
        <v>66</v>
      </c>
      <c r="E10" s="18">
        <v>2</v>
      </c>
      <c r="F10" s="5" t="str">
        <f>IFERROR(VLOOKUP(TabelaEstoque[[#This Row],[Código Forcenedor]],TabelaFC[],MATCH(TabelaFC[[#Headers],[Nome]],TabelaFC[#Headers],0)),"")</f>
        <v>Roberto</v>
      </c>
      <c r="G10" s="5" t="str">
        <f>IFERROR(VLOOKUP(TabelaEstoque[[#This Row],[Código Forcenedor]],TabelaFC[],MATCH(TabelaFC[[#Headers],[Sobrenome]],TabelaFC[#Headers],0)),"")</f>
        <v>José</v>
      </c>
      <c r="H10" s="16">
        <f>SUMIF(TabelaEntradas[SKU],TabelaEstoque[[#This Row],[SKU]],TabelaEntradas[Quantidade])</f>
        <v>0</v>
      </c>
      <c r="I10" s="16">
        <f>SUMIF(TabelaSaidas[SKU],TabelaEstoque[[#This Row],[SKU]],TabelaSaidas[Quantidade])</f>
        <v>0</v>
      </c>
      <c r="J10" s="16">
        <f>SUMIF(TabelaPercas[SKU],TabelaEstoque[[#This Row],[SKU]],TabelaPercas[Quantidade])</f>
        <v>0</v>
      </c>
      <c r="K10" s="16">
        <f>TabelaEstoque[[#This Row],[Entradas]]-TabelaEstoque[[#This Row],[Saídas]]-TabelaEstoque[[#This Row],[Percas]]</f>
        <v>0</v>
      </c>
      <c r="L10" s="18">
        <v>50</v>
      </c>
      <c r="M10" s="18">
        <v>55</v>
      </c>
      <c r="N10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>Comprar Agora</v>
      </c>
    </row>
    <row r="11" spans="1:14">
      <c r="A11" s="135">
        <v>9</v>
      </c>
      <c r="B11" s="17" t="s">
        <v>262</v>
      </c>
      <c r="C11" s="17" t="s">
        <v>277</v>
      </c>
      <c r="D11" s="17" t="s">
        <v>32</v>
      </c>
      <c r="E11" s="18">
        <v>2</v>
      </c>
      <c r="F11" s="5" t="str">
        <f>IFERROR(VLOOKUP(TabelaEstoque[[#This Row],[Código Forcenedor]],TabelaFC[],MATCH(TabelaFC[[#Headers],[Nome]],TabelaFC[#Headers],0)),"")</f>
        <v>Roberto</v>
      </c>
      <c r="G11" s="5" t="str">
        <f>IFERROR(VLOOKUP(TabelaEstoque[[#This Row],[Código Forcenedor]],TabelaFC[],MATCH(TabelaFC[[#Headers],[Sobrenome]],TabelaFC[#Headers],0)),"")</f>
        <v>José</v>
      </c>
      <c r="H11" s="16">
        <f>SUMIF(TabelaEntradas[SKU],TabelaEstoque[[#This Row],[SKU]],TabelaEntradas[Quantidade])</f>
        <v>0</v>
      </c>
      <c r="I11" s="16">
        <f>SUMIF(TabelaSaidas[SKU],TabelaEstoque[[#This Row],[SKU]],TabelaSaidas[Quantidade])</f>
        <v>0</v>
      </c>
      <c r="J11" s="16">
        <f>SUMIF(TabelaPercas[SKU],TabelaEstoque[[#This Row],[SKU]],TabelaPercas[Quantidade])</f>
        <v>0</v>
      </c>
      <c r="K11" s="16">
        <f>TabelaEstoque[[#This Row],[Entradas]]-TabelaEstoque[[#This Row],[Saídas]]-TabelaEstoque[[#This Row],[Percas]]</f>
        <v>0</v>
      </c>
      <c r="L11" s="18">
        <v>50</v>
      </c>
      <c r="M11" s="18">
        <v>55</v>
      </c>
      <c r="N11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>Comprar Agora</v>
      </c>
    </row>
    <row r="12" spans="1:14">
      <c r="A12" s="135">
        <v>10</v>
      </c>
      <c r="B12" s="17" t="s">
        <v>263</v>
      </c>
      <c r="C12" s="17" t="s">
        <v>277</v>
      </c>
      <c r="D12" s="17" t="s">
        <v>69</v>
      </c>
      <c r="E12" s="18">
        <v>2</v>
      </c>
      <c r="F12" s="5" t="str">
        <f>IFERROR(VLOOKUP(TabelaEstoque[[#This Row],[Código Forcenedor]],TabelaFC[],MATCH(TabelaFC[[#Headers],[Nome]],TabelaFC[#Headers],0)),"")</f>
        <v>Roberto</v>
      </c>
      <c r="G12" s="5" t="str">
        <f>IFERROR(VLOOKUP(TabelaEstoque[[#This Row],[Código Forcenedor]],TabelaFC[],MATCH(TabelaFC[[#Headers],[Sobrenome]],TabelaFC[#Headers],0)),"")</f>
        <v>José</v>
      </c>
      <c r="H12" s="16">
        <f>SUMIF(TabelaEntradas[SKU],TabelaEstoque[[#This Row],[SKU]],TabelaEntradas[Quantidade])</f>
        <v>0</v>
      </c>
      <c r="I12" s="16">
        <f>SUMIF(TabelaSaidas[SKU],TabelaEstoque[[#This Row],[SKU]],TabelaSaidas[Quantidade])</f>
        <v>0</v>
      </c>
      <c r="J12" s="16">
        <f>SUMIF(TabelaPercas[SKU],TabelaEstoque[[#This Row],[SKU]],TabelaPercas[Quantidade])</f>
        <v>0</v>
      </c>
      <c r="K12" s="16">
        <f>TabelaEstoque[[#This Row],[Entradas]]-TabelaEstoque[[#This Row],[Saídas]]-TabelaEstoque[[#This Row],[Percas]]</f>
        <v>0</v>
      </c>
      <c r="L12" s="18">
        <v>50</v>
      </c>
      <c r="M12" s="18">
        <v>55</v>
      </c>
      <c r="N12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>Comprar Agora</v>
      </c>
    </row>
    <row r="13" spans="1:14">
      <c r="A13" s="135">
        <v>11</v>
      </c>
      <c r="B13" s="17" t="s">
        <v>264</v>
      </c>
      <c r="C13" s="17" t="s">
        <v>276</v>
      </c>
      <c r="D13" s="17" t="s">
        <v>67</v>
      </c>
      <c r="E13" s="18">
        <v>2</v>
      </c>
      <c r="F13" s="5" t="str">
        <f>IFERROR(VLOOKUP(TabelaEstoque[[#This Row],[Código Forcenedor]],TabelaFC[],MATCH(TabelaFC[[#Headers],[Nome]],TabelaFC[#Headers],0)),"")</f>
        <v>Roberto</v>
      </c>
      <c r="G13" s="5" t="str">
        <f>IFERROR(VLOOKUP(TabelaEstoque[[#This Row],[Código Forcenedor]],TabelaFC[],MATCH(TabelaFC[[#Headers],[Sobrenome]],TabelaFC[#Headers],0)),"")</f>
        <v>José</v>
      </c>
      <c r="H13" s="16">
        <f>SUMIF(TabelaEntradas[SKU],TabelaEstoque[[#This Row],[SKU]],TabelaEntradas[Quantidade])</f>
        <v>0</v>
      </c>
      <c r="I13" s="16">
        <f>SUMIF(TabelaSaidas[SKU],TabelaEstoque[[#This Row],[SKU]],TabelaSaidas[Quantidade])</f>
        <v>0</v>
      </c>
      <c r="J13" s="16">
        <f>SUMIF(TabelaPercas[SKU],TabelaEstoque[[#This Row],[SKU]],TabelaPercas[Quantidade])</f>
        <v>0</v>
      </c>
      <c r="K13" s="16">
        <f>TabelaEstoque[[#This Row],[Entradas]]-TabelaEstoque[[#This Row],[Saídas]]-TabelaEstoque[[#This Row],[Percas]]</f>
        <v>0</v>
      </c>
      <c r="L13" s="18">
        <v>20</v>
      </c>
      <c r="M13" s="18">
        <v>50</v>
      </c>
      <c r="N13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>Comprar Agora</v>
      </c>
    </row>
    <row r="14" spans="1:14">
      <c r="A14" s="135"/>
      <c r="B14" s="17"/>
      <c r="C14" s="17"/>
      <c r="D14" s="17"/>
      <c r="E14" s="18"/>
      <c r="F14" s="5" t="str">
        <f>IFERROR(VLOOKUP(TabelaEstoque[[#This Row],[Código Forcenedor]],TabelaFC[],MATCH(TabelaFC[[#Headers],[Nome]],TabelaFC[#Headers],0)),"")</f>
        <v/>
      </c>
      <c r="G14" s="5" t="str">
        <f>IFERROR(VLOOKUP(TabelaEstoque[[#This Row],[Código Forcenedor]],TabelaFC[],MATCH(TabelaFC[[#Headers],[Sobrenome]],TabelaFC[#Headers],0)),"")</f>
        <v/>
      </c>
      <c r="H14" s="16">
        <f>SUMIF(TabelaEntradas[SKU],TabelaEstoque[[#This Row],[SKU]],TabelaEntradas[Quantidade])</f>
        <v>0</v>
      </c>
      <c r="I14" s="16">
        <f>SUMIF(TabelaSaidas[SKU],TabelaEstoque[[#This Row],[SKU]],TabelaSaidas[Quantidade])</f>
        <v>0</v>
      </c>
      <c r="J14" s="16">
        <f>SUMIF(TabelaPercas[SKU],TabelaEstoque[[#This Row],[SKU]],TabelaPercas[Quantidade])</f>
        <v>0</v>
      </c>
      <c r="K14" s="16">
        <f>TabelaEstoque[[#This Row],[Entradas]]-TabelaEstoque[[#This Row],[Saídas]]-TabelaEstoque[[#This Row],[Percas]]</f>
        <v>0</v>
      </c>
      <c r="L14" s="18"/>
      <c r="M14" s="18"/>
      <c r="N14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15" spans="1:14">
      <c r="A15" s="135"/>
      <c r="B15" s="17"/>
      <c r="C15" s="17"/>
      <c r="D15" s="17"/>
      <c r="E15" s="18"/>
      <c r="F15" s="5" t="str">
        <f>IFERROR(VLOOKUP(TabelaEstoque[[#This Row],[Código Forcenedor]],TabelaFC[],MATCH(TabelaFC[[#Headers],[Nome]],TabelaFC[#Headers],0)),"")</f>
        <v/>
      </c>
      <c r="G15" s="5" t="str">
        <f>IFERROR(VLOOKUP(TabelaEstoque[[#This Row],[Código Forcenedor]],TabelaFC[],MATCH(TabelaFC[[#Headers],[Sobrenome]],TabelaFC[#Headers],0)),"")</f>
        <v/>
      </c>
      <c r="H15" s="16">
        <f>SUMIF(TabelaEntradas[SKU],TabelaEstoque[[#This Row],[SKU]],TabelaEntradas[Quantidade])</f>
        <v>0</v>
      </c>
      <c r="I15" s="16">
        <f>SUMIF(TabelaSaidas[SKU],TabelaEstoque[[#This Row],[SKU]],TabelaSaidas[Quantidade])</f>
        <v>0</v>
      </c>
      <c r="J15" s="16">
        <f>SUMIF(TabelaPercas[SKU],TabelaEstoque[[#This Row],[SKU]],TabelaPercas[Quantidade])</f>
        <v>0</v>
      </c>
      <c r="K15" s="16">
        <f>TabelaEstoque[[#This Row],[Entradas]]-TabelaEstoque[[#This Row],[Saídas]]-TabelaEstoque[[#This Row],[Percas]]</f>
        <v>0</v>
      </c>
      <c r="L15" s="18"/>
      <c r="M15" s="18"/>
      <c r="N15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16" spans="1:14">
      <c r="A16" s="135"/>
      <c r="B16" s="17"/>
      <c r="C16" s="17"/>
      <c r="D16" s="17"/>
      <c r="E16" s="17"/>
      <c r="F16" s="5" t="str">
        <f>IFERROR(VLOOKUP(TabelaEstoque[[#This Row],[Código Forcenedor]],TabelaFC[],MATCH(TabelaFC[[#Headers],[Nome]],TabelaFC[#Headers],0)),"")</f>
        <v/>
      </c>
      <c r="G16" s="5" t="str">
        <f>IFERROR(VLOOKUP(TabelaEstoque[[#This Row],[Código Forcenedor]],TabelaFC[],MATCH(TabelaFC[[#Headers],[Sobrenome]],TabelaFC[#Headers],0)),"")</f>
        <v/>
      </c>
      <c r="H16" s="16">
        <f>SUMIF(TabelaEntradas[SKU],TabelaEstoque[[#This Row],[SKU]],TabelaEntradas[Quantidade])</f>
        <v>0</v>
      </c>
      <c r="I16" s="16">
        <f>SUMIF(TabelaSaidas[SKU],TabelaEstoque[[#This Row],[SKU]],TabelaSaidas[Quantidade])</f>
        <v>0</v>
      </c>
      <c r="J16" s="16">
        <f>SUMIF(TabelaPercas[SKU],TabelaEstoque[[#This Row],[SKU]],TabelaPercas[Quantidade])</f>
        <v>0</v>
      </c>
      <c r="K16" s="16">
        <f>TabelaEstoque[[#This Row],[Entradas]]-TabelaEstoque[[#This Row],[Saídas]]-TabelaEstoque[[#This Row],[Percas]]</f>
        <v>0</v>
      </c>
      <c r="L16" s="18"/>
      <c r="M16" s="18"/>
      <c r="N16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17" spans="1:14">
      <c r="A17" s="135"/>
      <c r="B17" s="17"/>
      <c r="C17" s="17"/>
      <c r="D17" s="17"/>
      <c r="E17" s="17"/>
      <c r="F17" s="5" t="str">
        <f>IFERROR(VLOOKUP(TabelaEstoque[[#This Row],[Código Forcenedor]],TabelaFC[],MATCH(TabelaFC[[#Headers],[Nome]],TabelaFC[#Headers],0)),"")</f>
        <v/>
      </c>
      <c r="G17" s="5" t="str">
        <f>IFERROR(VLOOKUP(TabelaEstoque[[#This Row],[Código Forcenedor]],TabelaFC[],MATCH(TabelaFC[[#Headers],[Sobrenome]],TabelaFC[#Headers],0)),"")</f>
        <v/>
      </c>
      <c r="H17" s="16">
        <f>SUMIF(TabelaEntradas[SKU],TabelaEstoque[[#This Row],[SKU]],TabelaEntradas[Quantidade])</f>
        <v>0</v>
      </c>
      <c r="I17" s="16">
        <f>SUMIF(TabelaSaidas[SKU],TabelaEstoque[[#This Row],[SKU]],TabelaSaidas[Quantidade])</f>
        <v>0</v>
      </c>
      <c r="J17" s="16">
        <f>SUMIF(TabelaPercas[SKU],TabelaEstoque[[#This Row],[SKU]],TabelaPercas[Quantidade])</f>
        <v>0</v>
      </c>
      <c r="K17" s="16">
        <f>TabelaEstoque[[#This Row],[Entradas]]-TabelaEstoque[[#This Row],[Saídas]]-TabelaEstoque[[#This Row],[Percas]]</f>
        <v>0</v>
      </c>
      <c r="L17" s="18"/>
      <c r="M17" s="18"/>
      <c r="N17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18" spans="1:14">
      <c r="A18" s="135"/>
      <c r="B18" s="17"/>
      <c r="C18" s="17"/>
      <c r="D18" s="17"/>
      <c r="E18" s="17"/>
      <c r="F18" s="5" t="str">
        <f>IFERROR(VLOOKUP(TabelaEstoque[[#This Row],[Código Forcenedor]],TabelaFC[],MATCH(TabelaFC[[#Headers],[Nome]],TabelaFC[#Headers],0)),"")</f>
        <v/>
      </c>
      <c r="G18" s="5" t="str">
        <f>IFERROR(VLOOKUP(TabelaEstoque[[#This Row],[Código Forcenedor]],TabelaFC[],MATCH(TabelaFC[[#Headers],[Sobrenome]],TabelaFC[#Headers],0)),"")</f>
        <v/>
      </c>
      <c r="H18" s="16">
        <f>SUMIF(TabelaEntradas[SKU],TabelaEstoque[[#This Row],[SKU]],TabelaEntradas[Quantidade])</f>
        <v>0</v>
      </c>
      <c r="I18" s="16">
        <f>SUMIF(TabelaSaidas[SKU],TabelaEstoque[[#This Row],[SKU]],TabelaSaidas[Quantidade])</f>
        <v>0</v>
      </c>
      <c r="J18" s="16">
        <f>SUMIF(TabelaPercas[SKU],TabelaEstoque[[#This Row],[SKU]],TabelaPercas[Quantidade])</f>
        <v>0</v>
      </c>
      <c r="K18" s="16">
        <f>TabelaEstoque[[#This Row],[Entradas]]-TabelaEstoque[[#This Row],[Saídas]]-TabelaEstoque[[#This Row],[Percas]]</f>
        <v>0</v>
      </c>
      <c r="L18" s="18"/>
      <c r="M18" s="18"/>
      <c r="N18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19" spans="1:14">
      <c r="A19" s="135"/>
      <c r="B19" s="17"/>
      <c r="C19" s="17"/>
      <c r="D19" s="17"/>
      <c r="E19" s="17"/>
      <c r="F19" s="5" t="str">
        <f>IFERROR(VLOOKUP(TabelaEstoque[[#This Row],[Código Forcenedor]],TabelaFC[],MATCH(TabelaFC[[#Headers],[Nome]],TabelaFC[#Headers],0)),"")</f>
        <v/>
      </c>
      <c r="G19" s="5" t="str">
        <f>IFERROR(VLOOKUP(TabelaEstoque[[#This Row],[Código Forcenedor]],TabelaFC[],MATCH(TabelaFC[[#Headers],[Sobrenome]],TabelaFC[#Headers],0)),"")</f>
        <v/>
      </c>
      <c r="H19" s="16">
        <f>SUMIF(TabelaEntradas[SKU],TabelaEstoque[[#This Row],[SKU]],TabelaEntradas[Quantidade])</f>
        <v>0</v>
      </c>
      <c r="I19" s="16">
        <f>SUMIF(TabelaSaidas[SKU],TabelaEstoque[[#This Row],[SKU]],TabelaSaidas[Quantidade])</f>
        <v>0</v>
      </c>
      <c r="J19" s="16">
        <f>SUMIF(TabelaPercas[SKU],TabelaEstoque[[#This Row],[SKU]],TabelaPercas[Quantidade])</f>
        <v>0</v>
      </c>
      <c r="K19" s="16">
        <f>TabelaEstoque[[#This Row],[Entradas]]-TabelaEstoque[[#This Row],[Saídas]]-TabelaEstoque[[#This Row],[Percas]]</f>
        <v>0</v>
      </c>
      <c r="L19" s="18"/>
      <c r="M19" s="18"/>
      <c r="N19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20" spans="1:14">
      <c r="A20" s="135"/>
      <c r="B20" s="17"/>
      <c r="C20" s="17"/>
      <c r="D20" s="17"/>
      <c r="E20" s="17"/>
      <c r="F20" s="5" t="str">
        <f>IFERROR(VLOOKUP(TabelaEstoque[[#This Row],[Código Forcenedor]],TabelaFC[],MATCH(TabelaFC[[#Headers],[Nome]],TabelaFC[#Headers],0)),"")</f>
        <v/>
      </c>
      <c r="G20" s="5" t="str">
        <f>IFERROR(VLOOKUP(TabelaEstoque[[#This Row],[Código Forcenedor]],TabelaFC[],MATCH(TabelaFC[[#Headers],[Sobrenome]],TabelaFC[#Headers],0)),"")</f>
        <v/>
      </c>
      <c r="H20" s="16">
        <f>SUMIF(TabelaEntradas[SKU],TabelaEstoque[[#This Row],[SKU]],TabelaEntradas[Quantidade])</f>
        <v>0</v>
      </c>
      <c r="I20" s="16">
        <f>SUMIF(TabelaSaidas[SKU],TabelaEstoque[[#This Row],[SKU]],TabelaSaidas[Quantidade])</f>
        <v>0</v>
      </c>
      <c r="J20" s="16">
        <f>SUMIF(TabelaPercas[SKU],TabelaEstoque[[#This Row],[SKU]],TabelaPercas[Quantidade])</f>
        <v>0</v>
      </c>
      <c r="K20" s="16">
        <f>TabelaEstoque[[#This Row],[Entradas]]-TabelaEstoque[[#This Row],[Saídas]]-TabelaEstoque[[#This Row],[Percas]]</f>
        <v>0</v>
      </c>
      <c r="L20" s="18"/>
      <c r="M20" s="18"/>
      <c r="N20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21" spans="1:14">
      <c r="A21" s="135"/>
      <c r="B21" s="17"/>
      <c r="C21" s="17"/>
      <c r="D21" s="17"/>
      <c r="E21" s="17"/>
      <c r="F21" s="5" t="str">
        <f>IFERROR(VLOOKUP(TabelaEstoque[[#This Row],[Código Forcenedor]],TabelaFC[],MATCH(TabelaFC[[#Headers],[Nome]],TabelaFC[#Headers],0)),"")</f>
        <v/>
      </c>
      <c r="G21" s="5" t="str">
        <f>IFERROR(VLOOKUP(TabelaEstoque[[#This Row],[Código Forcenedor]],TabelaFC[],MATCH(TabelaFC[[#Headers],[Sobrenome]],TabelaFC[#Headers],0)),"")</f>
        <v/>
      </c>
      <c r="H21" s="16">
        <f>SUMIF(TabelaEntradas[SKU],TabelaEstoque[[#This Row],[SKU]],TabelaEntradas[Quantidade])</f>
        <v>0</v>
      </c>
      <c r="I21" s="16">
        <f>SUMIF(TabelaSaidas[SKU],TabelaEstoque[[#This Row],[SKU]],TabelaSaidas[Quantidade])</f>
        <v>0</v>
      </c>
      <c r="J21" s="16">
        <f>SUMIF(TabelaPercas[SKU],TabelaEstoque[[#This Row],[SKU]],TabelaPercas[Quantidade])</f>
        <v>0</v>
      </c>
      <c r="K21" s="16">
        <f>TabelaEstoque[[#This Row],[Entradas]]-TabelaEstoque[[#This Row],[Saídas]]-TabelaEstoque[[#This Row],[Percas]]</f>
        <v>0</v>
      </c>
      <c r="L21" s="18"/>
      <c r="M21" s="18"/>
      <c r="N21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22" spans="1:14">
      <c r="A22" s="135"/>
      <c r="B22" s="17"/>
      <c r="C22" s="17"/>
      <c r="D22" s="17"/>
      <c r="E22" s="17"/>
      <c r="F22" s="5" t="str">
        <f>IFERROR(VLOOKUP(TabelaEstoque[[#This Row],[Código Forcenedor]],TabelaFC[],MATCH(TabelaFC[[#Headers],[Nome]],TabelaFC[#Headers],0)),"")</f>
        <v/>
      </c>
      <c r="G22" s="5" t="str">
        <f>IFERROR(VLOOKUP(TabelaEstoque[[#This Row],[Código Forcenedor]],TabelaFC[],MATCH(TabelaFC[[#Headers],[Sobrenome]],TabelaFC[#Headers],0)),"")</f>
        <v/>
      </c>
      <c r="H22" s="16">
        <f>SUMIF(TabelaEntradas[SKU],TabelaEstoque[[#This Row],[SKU]],TabelaEntradas[Quantidade])</f>
        <v>0</v>
      </c>
      <c r="I22" s="16">
        <f>SUMIF(TabelaSaidas[SKU],TabelaEstoque[[#This Row],[SKU]],TabelaSaidas[Quantidade])</f>
        <v>0</v>
      </c>
      <c r="J22" s="16">
        <f>SUMIF(TabelaPercas[SKU],TabelaEstoque[[#This Row],[SKU]],TabelaPercas[Quantidade])</f>
        <v>0</v>
      </c>
      <c r="K22" s="16">
        <f>TabelaEstoque[[#This Row],[Entradas]]-TabelaEstoque[[#This Row],[Saídas]]-TabelaEstoque[[#This Row],[Percas]]</f>
        <v>0</v>
      </c>
      <c r="L22" s="18"/>
      <c r="M22" s="18"/>
      <c r="N22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23" spans="1:14">
      <c r="A23" s="135"/>
      <c r="B23" s="17"/>
      <c r="C23" s="17"/>
      <c r="D23" s="17"/>
      <c r="E23" s="17"/>
      <c r="F23" s="5" t="str">
        <f>IFERROR(VLOOKUP(TabelaEstoque[[#This Row],[Código Forcenedor]],TabelaFC[],MATCH(TabelaFC[[#Headers],[Nome]],TabelaFC[#Headers],0)),"")</f>
        <v/>
      </c>
      <c r="G23" s="5" t="str">
        <f>IFERROR(VLOOKUP(TabelaEstoque[[#This Row],[Código Forcenedor]],TabelaFC[],MATCH(TabelaFC[[#Headers],[Sobrenome]],TabelaFC[#Headers],0)),"")</f>
        <v/>
      </c>
      <c r="H23" s="16">
        <f>SUMIF(TabelaEntradas[SKU],TabelaEstoque[[#This Row],[SKU]],TabelaEntradas[Quantidade])</f>
        <v>0</v>
      </c>
      <c r="I23" s="16">
        <f>SUMIF(TabelaSaidas[SKU],TabelaEstoque[[#This Row],[SKU]],TabelaSaidas[Quantidade])</f>
        <v>0</v>
      </c>
      <c r="J23" s="16">
        <f>SUMIF(TabelaPercas[SKU],TabelaEstoque[[#This Row],[SKU]],TabelaPercas[Quantidade])</f>
        <v>0</v>
      </c>
      <c r="K23" s="16">
        <f>TabelaEstoque[[#This Row],[Entradas]]-TabelaEstoque[[#This Row],[Saídas]]-TabelaEstoque[[#This Row],[Percas]]</f>
        <v>0</v>
      </c>
      <c r="L23" s="18"/>
      <c r="M23" s="18"/>
      <c r="N23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24" spans="1:14">
      <c r="A24" s="135"/>
      <c r="B24" s="17"/>
      <c r="C24" s="17"/>
      <c r="D24" s="17"/>
      <c r="E24" s="17"/>
      <c r="F24" s="5" t="str">
        <f>IFERROR(VLOOKUP(TabelaEstoque[[#This Row],[Código Forcenedor]],TabelaFC[],MATCH(TabelaFC[[#Headers],[Nome]],TabelaFC[#Headers],0)),"")</f>
        <v/>
      </c>
      <c r="G24" s="5" t="str">
        <f>IFERROR(VLOOKUP(TabelaEstoque[[#This Row],[Código Forcenedor]],TabelaFC[],MATCH(TabelaFC[[#Headers],[Sobrenome]],TabelaFC[#Headers],0)),"")</f>
        <v/>
      </c>
      <c r="H24" s="16">
        <f>SUMIF(TabelaEntradas[SKU],TabelaEstoque[[#This Row],[SKU]],TabelaEntradas[Quantidade])</f>
        <v>0</v>
      </c>
      <c r="I24" s="16">
        <f>SUMIF(TabelaSaidas[SKU],TabelaEstoque[[#This Row],[SKU]],TabelaSaidas[Quantidade])</f>
        <v>0</v>
      </c>
      <c r="J24" s="16">
        <f>SUMIF(TabelaPercas[SKU],TabelaEstoque[[#This Row],[SKU]],TabelaPercas[Quantidade])</f>
        <v>0</v>
      </c>
      <c r="K24" s="16">
        <f>TabelaEstoque[[#This Row],[Entradas]]-TabelaEstoque[[#This Row],[Saídas]]-TabelaEstoque[[#This Row],[Percas]]</f>
        <v>0</v>
      </c>
      <c r="L24" s="18"/>
      <c r="M24" s="18"/>
      <c r="N24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25" spans="1:14">
      <c r="A25" s="135"/>
      <c r="B25" s="17"/>
      <c r="C25" s="17"/>
      <c r="D25" s="17"/>
      <c r="E25" s="17"/>
      <c r="F25" s="5" t="str">
        <f>IFERROR(VLOOKUP(TabelaEstoque[[#This Row],[Código Forcenedor]],TabelaFC[],MATCH(TabelaFC[[#Headers],[Nome]],TabelaFC[#Headers],0)),"")</f>
        <v/>
      </c>
      <c r="G25" s="5" t="str">
        <f>IFERROR(VLOOKUP(TabelaEstoque[[#This Row],[Código Forcenedor]],TabelaFC[],MATCH(TabelaFC[[#Headers],[Sobrenome]],TabelaFC[#Headers],0)),"")</f>
        <v/>
      </c>
      <c r="H25" s="16">
        <f>SUMIF(TabelaEntradas[SKU],TabelaEstoque[[#This Row],[SKU]],TabelaEntradas[Quantidade])</f>
        <v>0</v>
      </c>
      <c r="I25" s="16">
        <f>SUMIF(TabelaSaidas[SKU],TabelaEstoque[[#This Row],[SKU]],TabelaSaidas[Quantidade])</f>
        <v>0</v>
      </c>
      <c r="J25" s="16">
        <f>SUMIF(TabelaPercas[SKU],TabelaEstoque[[#This Row],[SKU]],TabelaPercas[Quantidade])</f>
        <v>0</v>
      </c>
      <c r="K25" s="16">
        <f>TabelaEstoque[[#This Row],[Entradas]]-TabelaEstoque[[#This Row],[Saídas]]-TabelaEstoque[[#This Row],[Percas]]</f>
        <v>0</v>
      </c>
      <c r="L25" s="18"/>
      <c r="M25" s="18"/>
      <c r="N25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26" spans="1:14">
      <c r="A26" s="135"/>
      <c r="B26" s="17"/>
      <c r="C26" s="17"/>
      <c r="D26" s="17"/>
      <c r="E26" s="17"/>
      <c r="F26" s="5" t="str">
        <f>IFERROR(VLOOKUP(TabelaEstoque[[#This Row],[Código Forcenedor]],TabelaFC[],MATCH(TabelaFC[[#Headers],[Nome]],TabelaFC[#Headers],0)),"")</f>
        <v/>
      </c>
      <c r="G26" s="5" t="str">
        <f>IFERROR(VLOOKUP(TabelaEstoque[[#This Row],[Código Forcenedor]],TabelaFC[],MATCH(TabelaFC[[#Headers],[Sobrenome]],TabelaFC[#Headers],0)),"")</f>
        <v/>
      </c>
      <c r="H26" s="16">
        <f>SUMIF(TabelaEntradas[SKU],TabelaEstoque[[#This Row],[SKU]],TabelaEntradas[Quantidade])</f>
        <v>0</v>
      </c>
      <c r="I26" s="16">
        <f>SUMIF(TabelaSaidas[SKU],TabelaEstoque[[#This Row],[SKU]],TabelaSaidas[Quantidade])</f>
        <v>0</v>
      </c>
      <c r="J26" s="16">
        <f>SUMIF(TabelaPercas[SKU],TabelaEstoque[[#This Row],[SKU]],TabelaPercas[Quantidade])</f>
        <v>0</v>
      </c>
      <c r="K26" s="16">
        <f>TabelaEstoque[[#This Row],[Entradas]]-TabelaEstoque[[#This Row],[Saídas]]-TabelaEstoque[[#This Row],[Percas]]</f>
        <v>0</v>
      </c>
      <c r="L26" s="18"/>
      <c r="M26" s="18"/>
      <c r="N26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27" spans="1:14">
      <c r="A27" s="135"/>
      <c r="B27" s="17"/>
      <c r="C27" s="17"/>
      <c r="D27" s="17"/>
      <c r="E27" s="17"/>
      <c r="F27" s="5" t="str">
        <f>IFERROR(VLOOKUP(TabelaEstoque[[#This Row],[Código Forcenedor]],TabelaFC[],MATCH(TabelaFC[[#Headers],[Nome]],TabelaFC[#Headers],0)),"")</f>
        <v/>
      </c>
      <c r="G27" s="5" t="str">
        <f>IFERROR(VLOOKUP(TabelaEstoque[[#This Row],[Código Forcenedor]],TabelaFC[],MATCH(TabelaFC[[#Headers],[Sobrenome]],TabelaFC[#Headers],0)),"")</f>
        <v/>
      </c>
      <c r="H27" s="16">
        <f>SUMIF(TabelaEntradas[SKU],TabelaEstoque[[#This Row],[SKU]],TabelaEntradas[Quantidade])</f>
        <v>0</v>
      </c>
      <c r="I27" s="16">
        <f>SUMIF(TabelaSaidas[SKU],TabelaEstoque[[#This Row],[SKU]],TabelaSaidas[Quantidade])</f>
        <v>0</v>
      </c>
      <c r="J27" s="16">
        <f>SUMIF(TabelaPercas[SKU],TabelaEstoque[[#This Row],[SKU]],TabelaPercas[Quantidade])</f>
        <v>0</v>
      </c>
      <c r="K27" s="16">
        <f>TabelaEstoque[[#This Row],[Entradas]]-TabelaEstoque[[#This Row],[Saídas]]-TabelaEstoque[[#This Row],[Percas]]</f>
        <v>0</v>
      </c>
      <c r="L27" s="18"/>
      <c r="M27" s="18"/>
      <c r="N27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28" spans="1:14">
      <c r="A28" s="135"/>
      <c r="B28" s="17"/>
      <c r="C28" s="17"/>
      <c r="D28" s="17"/>
      <c r="E28" s="17"/>
      <c r="F28" s="5" t="str">
        <f>IFERROR(VLOOKUP(TabelaEstoque[[#This Row],[Código Forcenedor]],TabelaFC[],MATCH(TabelaFC[[#Headers],[Nome]],TabelaFC[#Headers],0)),"")</f>
        <v/>
      </c>
      <c r="G28" s="5" t="str">
        <f>IFERROR(VLOOKUP(TabelaEstoque[[#This Row],[Código Forcenedor]],TabelaFC[],MATCH(TabelaFC[[#Headers],[Sobrenome]],TabelaFC[#Headers],0)),"")</f>
        <v/>
      </c>
      <c r="H28" s="16">
        <f>SUMIF(TabelaEntradas[SKU],TabelaEstoque[[#This Row],[SKU]],TabelaEntradas[Quantidade])</f>
        <v>0</v>
      </c>
      <c r="I28" s="16">
        <f>SUMIF(TabelaSaidas[SKU],TabelaEstoque[[#This Row],[SKU]],TabelaSaidas[Quantidade])</f>
        <v>0</v>
      </c>
      <c r="J28" s="16">
        <f>SUMIF(TabelaPercas[SKU],TabelaEstoque[[#This Row],[SKU]],TabelaPercas[Quantidade])</f>
        <v>0</v>
      </c>
      <c r="K28" s="16">
        <f>TabelaEstoque[[#This Row],[Entradas]]-TabelaEstoque[[#This Row],[Saídas]]-TabelaEstoque[[#This Row],[Percas]]</f>
        <v>0</v>
      </c>
      <c r="L28" s="18"/>
      <c r="M28" s="18"/>
      <c r="N28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29" spans="1:14">
      <c r="A29" s="135"/>
      <c r="B29" s="17"/>
      <c r="C29" s="17"/>
      <c r="D29" s="17"/>
      <c r="E29" s="17"/>
      <c r="F29" s="5" t="str">
        <f>IFERROR(VLOOKUP(TabelaEstoque[[#This Row],[Código Forcenedor]],TabelaFC[],MATCH(TabelaFC[[#Headers],[Nome]],TabelaFC[#Headers],0)),"")</f>
        <v/>
      </c>
      <c r="G29" s="5" t="str">
        <f>IFERROR(VLOOKUP(TabelaEstoque[[#This Row],[Código Forcenedor]],TabelaFC[],MATCH(TabelaFC[[#Headers],[Sobrenome]],TabelaFC[#Headers],0)),"")</f>
        <v/>
      </c>
      <c r="H29" s="16">
        <f>SUMIF(TabelaEntradas[SKU],TabelaEstoque[[#This Row],[SKU]],TabelaEntradas[Quantidade])</f>
        <v>0</v>
      </c>
      <c r="I29" s="16">
        <f>SUMIF(TabelaSaidas[SKU],TabelaEstoque[[#This Row],[SKU]],TabelaSaidas[Quantidade])</f>
        <v>0</v>
      </c>
      <c r="J29" s="16">
        <f>SUMIF(TabelaPercas[SKU],TabelaEstoque[[#This Row],[SKU]],TabelaPercas[Quantidade])</f>
        <v>0</v>
      </c>
      <c r="K29" s="16">
        <f>TabelaEstoque[[#This Row],[Entradas]]-TabelaEstoque[[#This Row],[Saídas]]-TabelaEstoque[[#This Row],[Percas]]</f>
        <v>0</v>
      </c>
      <c r="L29" s="18"/>
      <c r="M29" s="18"/>
      <c r="N29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30" spans="1:14">
      <c r="A30" s="135"/>
      <c r="B30" s="17"/>
      <c r="C30" s="17"/>
      <c r="D30" s="17"/>
      <c r="E30" s="17"/>
      <c r="F30" s="5" t="str">
        <f>IFERROR(VLOOKUP(TabelaEstoque[[#This Row],[Código Forcenedor]],TabelaFC[],MATCH(TabelaFC[[#Headers],[Nome]],TabelaFC[#Headers],0)),"")</f>
        <v/>
      </c>
      <c r="G30" s="5" t="str">
        <f>IFERROR(VLOOKUP(TabelaEstoque[[#This Row],[Código Forcenedor]],TabelaFC[],MATCH(TabelaFC[[#Headers],[Sobrenome]],TabelaFC[#Headers],0)),"")</f>
        <v/>
      </c>
      <c r="H30" s="16">
        <f>SUMIF(TabelaEntradas[SKU],TabelaEstoque[[#This Row],[SKU]],TabelaEntradas[Quantidade])</f>
        <v>0</v>
      </c>
      <c r="I30" s="16">
        <f>SUMIF(TabelaSaidas[SKU],TabelaEstoque[[#This Row],[SKU]],TabelaSaidas[Quantidade])</f>
        <v>0</v>
      </c>
      <c r="J30" s="16">
        <f>SUMIF(TabelaPercas[SKU],TabelaEstoque[[#This Row],[SKU]],TabelaPercas[Quantidade])</f>
        <v>0</v>
      </c>
      <c r="K30" s="16">
        <f>TabelaEstoque[[#This Row],[Entradas]]-TabelaEstoque[[#This Row],[Saídas]]-TabelaEstoque[[#This Row],[Percas]]</f>
        <v>0</v>
      </c>
      <c r="L30" s="18"/>
      <c r="M30" s="18"/>
      <c r="N30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31" spans="1:14">
      <c r="A31" s="135"/>
      <c r="B31" s="17"/>
      <c r="C31" s="17"/>
      <c r="D31" s="17"/>
      <c r="E31" s="17"/>
      <c r="F31" s="5" t="str">
        <f>IFERROR(VLOOKUP(TabelaEstoque[[#This Row],[Código Forcenedor]],TabelaFC[],MATCH(TabelaFC[[#Headers],[Nome]],TabelaFC[#Headers],0)),"")</f>
        <v/>
      </c>
      <c r="G31" s="5" t="str">
        <f>IFERROR(VLOOKUP(TabelaEstoque[[#This Row],[Código Forcenedor]],TabelaFC[],MATCH(TabelaFC[[#Headers],[Sobrenome]],TabelaFC[#Headers],0)),"")</f>
        <v/>
      </c>
      <c r="H31" s="16">
        <f>SUMIF(TabelaEntradas[SKU],TabelaEstoque[[#This Row],[SKU]],TabelaEntradas[Quantidade])</f>
        <v>0</v>
      </c>
      <c r="I31" s="16">
        <f>SUMIF(TabelaSaidas[SKU],TabelaEstoque[[#This Row],[SKU]],TabelaSaidas[Quantidade])</f>
        <v>0</v>
      </c>
      <c r="J31" s="16">
        <f>SUMIF(TabelaPercas[SKU],TabelaEstoque[[#This Row],[SKU]],TabelaPercas[Quantidade])</f>
        <v>0</v>
      </c>
      <c r="K31" s="16">
        <f>TabelaEstoque[[#This Row],[Entradas]]-TabelaEstoque[[#This Row],[Saídas]]-TabelaEstoque[[#This Row],[Percas]]</f>
        <v>0</v>
      </c>
      <c r="L31" s="18"/>
      <c r="M31" s="18"/>
      <c r="N31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32" spans="1:14">
      <c r="A32" s="135"/>
      <c r="B32" s="17"/>
      <c r="C32" s="17"/>
      <c r="D32" s="17"/>
      <c r="E32" s="17"/>
      <c r="F32" s="5" t="str">
        <f>IFERROR(VLOOKUP(TabelaEstoque[[#This Row],[Código Forcenedor]],TabelaFC[],MATCH(TabelaFC[[#Headers],[Nome]],TabelaFC[#Headers],0)),"")</f>
        <v/>
      </c>
      <c r="G32" s="5" t="str">
        <f>IFERROR(VLOOKUP(TabelaEstoque[[#This Row],[Código Forcenedor]],TabelaFC[],MATCH(TabelaFC[[#Headers],[Sobrenome]],TabelaFC[#Headers],0)),"")</f>
        <v/>
      </c>
      <c r="H32" s="16">
        <f>SUMIF(TabelaEntradas[SKU],TabelaEstoque[[#This Row],[SKU]],TabelaEntradas[Quantidade])</f>
        <v>0</v>
      </c>
      <c r="I32" s="16">
        <f>SUMIF(TabelaSaidas[SKU],TabelaEstoque[[#This Row],[SKU]],TabelaSaidas[Quantidade])</f>
        <v>0</v>
      </c>
      <c r="J32" s="16">
        <f>SUMIF(TabelaPercas[SKU],TabelaEstoque[[#This Row],[SKU]],TabelaPercas[Quantidade])</f>
        <v>0</v>
      </c>
      <c r="K32" s="16">
        <f>TabelaEstoque[[#This Row],[Entradas]]-TabelaEstoque[[#This Row],[Saídas]]-TabelaEstoque[[#This Row],[Percas]]</f>
        <v>0</v>
      </c>
      <c r="L32" s="18"/>
      <c r="M32" s="18"/>
      <c r="N32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33" spans="1:14">
      <c r="A33" s="135"/>
      <c r="B33" s="17"/>
      <c r="C33" s="17"/>
      <c r="D33" s="17"/>
      <c r="E33" s="17"/>
      <c r="F33" s="5" t="str">
        <f>IFERROR(VLOOKUP(TabelaEstoque[[#This Row],[Código Forcenedor]],TabelaFC[],MATCH(TabelaFC[[#Headers],[Nome]],TabelaFC[#Headers],0)),"")</f>
        <v/>
      </c>
      <c r="G33" s="5" t="str">
        <f>IFERROR(VLOOKUP(TabelaEstoque[[#This Row],[Código Forcenedor]],TabelaFC[],MATCH(TabelaFC[[#Headers],[Sobrenome]],TabelaFC[#Headers],0)),"")</f>
        <v/>
      </c>
      <c r="H33" s="16">
        <f>SUMIF(TabelaEntradas[SKU],TabelaEstoque[[#This Row],[SKU]],TabelaEntradas[Quantidade])</f>
        <v>0</v>
      </c>
      <c r="I33" s="16">
        <f>SUMIF(TabelaSaidas[SKU],TabelaEstoque[[#This Row],[SKU]],TabelaSaidas[Quantidade])</f>
        <v>0</v>
      </c>
      <c r="J33" s="16">
        <f>SUMIF(TabelaPercas[SKU],TabelaEstoque[[#This Row],[SKU]],TabelaPercas[Quantidade])</f>
        <v>0</v>
      </c>
      <c r="K33" s="16">
        <f>TabelaEstoque[[#This Row],[Entradas]]-TabelaEstoque[[#This Row],[Saídas]]-TabelaEstoque[[#This Row],[Percas]]</f>
        <v>0</v>
      </c>
      <c r="L33" s="18"/>
      <c r="M33" s="18"/>
      <c r="N33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34" spans="1:14">
      <c r="A34" s="135"/>
      <c r="B34" s="17"/>
      <c r="C34" s="17"/>
      <c r="D34" s="17"/>
      <c r="E34" s="17"/>
      <c r="F34" s="5" t="str">
        <f>IFERROR(VLOOKUP(TabelaEstoque[[#This Row],[Código Forcenedor]],TabelaFC[],MATCH(TabelaFC[[#Headers],[Nome]],TabelaFC[#Headers],0)),"")</f>
        <v/>
      </c>
      <c r="G34" s="5" t="str">
        <f>IFERROR(VLOOKUP(TabelaEstoque[[#This Row],[Código Forcenedor]],TabelaFC[],MATCH(TabelaFC[[#Headers],[Sobrenome]],TabelaFC[#Headers],0)),"")</f>
        <v/>
      </c>
      <c r="H34" s="16">
        <f>SUMIF(TabelaEntradas[SKU],TabelaEstoque[[#This Row],[SKU]],TabelaEntradas[Quantidade])</f>
        <v>0</v>
      </c>
      <c r="I34" s="16">
        <f>SUMIF(TabelaSaidas[SKU],TabelaEstoque[[#This Row],[SKU]],TabelaSaidas[Quantidade])</f>
        <v>0</v>
      </c>
      <c r="J34" s="16">
        <f>SUMIF(TabelaPercas[SKU],TabelaEstoque[[#This Row],[SKU]],TabelaPercas[Quantidade])</f>
        <v>0</v>
      </c>
      <c r="K34" s="16">
        <f>TabelaEstoque[[#This Row],[Entradas]]-TabelaEstoque[[#This Row],[Saídas]]-TabelaEstoque[[#This Row],[Percas]]</f>
        <v>0</v>
      </c>
      <c r="L34" s="18"/>
      <c r="M34" s="18"/>
      <c r="N34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35" spans="1:14">
      <c r="A35" s="135"/>
      <c r="B35" s="17"/>
      <c r="C35" s="17"/>
      <c r="D35" s="17"/>
      <c r="E35" s="17"/>
      <c r="F35" s="5" t="str">
        <f>IFERROR(VLOOKUP(TabelaEstoque[[#This Row],[Código Forcenedor]],TabelaFC[],MATCH(TabelaFC[[#Headers],[Nome]],TabelaFC[#Headers],0)),"")</f>
        <v/>
      </c>
      <c r="G35" s="5" t="str">
        <f>IFERROR(VLOOKUP(TabelaEstoque[[#This Row],[Código Forcenedor]],TabelaFC[],MATCH(TabelaFC[[#Headers],[Sobrenome]],TabelaFC[#Headers],0)),"")</f>
        <v/>
      </c>
      <c r="H35" s="16">
        <f>SUMIF(TabelaEntradas[SKU],TabelaEstoque[[#This Row],[SKU]],TabelaEntradas[Quantidade])</f>
        <v>0</v>
      </c>
      <c r="I35" s="16">
        <f>SUMIF(TabelaSaidas[SKU],TabelaEstoque[[#This Row],[SKU]],TabelaSaidas[Quantidade])</f>
        <v>0</v>
      </c>
      <c r="J35" s="16">
        <f>SUMIF(TabelaPercas[SKU],TabelaEstoque[[#This Row],[SKU]],TabelaPercas[Quantidade])</f>
        <v>0</v>
      </c>
      <c r="K35" s="16">
        <f>TabelaEstoque[[#This Row],[Entradas]]-TabelaEstoque[[#This Row],[Saídas]]-TabelaEstoque[[#This Row],[Percas]]</f>
        <v>0</v>
      </c>
      <c r="L35" s="18"/>
      <c r="M35" s="18"/>
      <c r="N35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36" spans="1:14">
      <c r="A36" s="135"/>
      <c r="B36" s="17"/>
      <c r="C36" s="17"/>
      <c r="D36" s="17"/>
      <c r="E36" s="17"/>
      <c r="F36" s="5" t="str">
        <f>IFERROR(VLOOKUP(TabelaEstoque[[#This Row],[Código Forcenedor]],TabelaFC[],MATCH(TabelaFC[[#Headers],[Nome]],TabelaFC[#Headers],0)),"")</f>
        <v/>
      </c>
      <c r="G36" s="5" t="str">
        <f>IFERROR(VLOOKUP(TabelaEstoque[[#This Row],[Código Forcenedor]],TabelaFC[],MATCH(TabelaFC[[#Headers],[Sobrenome]],TabelaFC[#Headers],0)),"")</f>
        <v/>
      </c>
      <c r="H36" s="16">
        <f>SUMIF(TabelaEntradas[SKU],TabelaEstoque[[#This Row],[SKU]],TabelaEntradas[Quantidade])</f>
        <v>0</v>
      </c>
      <c r="I36" s="16">
        <f>SUMIF(TabelaSaidas[SKU],TabelaEstoque[[#This Row],[SKU]],TabelaSaidas[Quantidade])</f>
        <v>0</v>
      </c>
      <c r="J36" s="16">
        <f>SUMIF(TabelaPercas[SKU],TabelaEstoque[[#This Row],[SKU]],TabelaPercas[Quantidade])</f>
        <v>0</v>
      </c>
      <c r="K36" s="16">
        <f>TabelaEstoque[[#This Row],[Entradas]]-TabelaEstoque[[#This Row],[Saídas]]-TabelaEstoque[[#This Row],[Percas]]</f>
        <v>0</v>
      </c>
      <c r="L36" s="18"/>
      <c r="M36" s="18"/>
      <c r="N36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37" spans="1:14">
      <c r="A37" s="135"/>
      <c r="B37" s="17"/>
      <c r="C37" s="17"/>
      <c r="D37" s="17"/>
      <c r="E37" s="17"/>
      <c r="F37" s="5" t="str">
        <f>IFERROR(VLOOKUP(TabelaEstoque[[#This Row],[Código Forcenedor]],TabelaFC[],MATCH(TabelaFC[[#Headers],[Nome]],TabelaFC[#Headers],0)),"")</f>
        <v/>
      </c>
      <c r="G37" s="5" t="str">
        <f>IFERROR(VLOOKUP(TabelaEstoque[[#This Row],[Código Forcenedor]],TabelaFC[],MATCH(TabelaFC[[#Headers],[Sobrenome]],TabelaFC[#Headers],0)),"")</f>
        <v/>
      </c>
      <c r="H37" s="16">
        <f>SUMIF(TabelaEntradas[SKU],TabelaEstoque[[#This Row],[SKU]],TabelaEntradas[Quantidade])</f>
        <v>0</v>
      </c>
      <c r="I37" s="16">
        <f>SUMIF(TabelaSaidas[SKU],TabelaEstoque[[#This Row],[SKU]],TabelaSaidas[Quantidade])</f>
        <v>0</v>
      </c>
      <c r="J37" s="16">
        <f>SUMIF(TabelaPercas[SKU],TabelaEstoque[[#This Row],[SKU]],TabelaPercas[Quantidade])</f>
        <v>0</v>
      </c>
      <c r="K37" s="16">
        <f>TabelaEstoque[[#This Row],[Entradas]]-TabelaEstoque[[#This Row],[Saídas]]-TabelaEstoque[[#This Row],[Percas]]</f>
        <v>0</v>
      </c>
      <c r="L37" s="18"/>
      <c r="M37" s="18"/>
      <c r="N37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38" spans="1:14">
      <c r="A38" s="135"/>
      <c r="B38" s="17"/>
      <c r="C38" s="17"/>
      <c r="D38" s="17"/>
      <c r="E38" s="17"/>
      <c r="F38" s="5" t="str">
        <f>IFERROR(VLOOKUP(TabelaEstoque[[#This Row],[Código Forcenedor]],TabelaFC[],MATCH(TabelaFC[[#Headers],[Nome]],TabelaFC[#Headers],0)),"")</f>
        <v/>
      </c>
      <c r="G38" s="5" t="str">
        <f>IFERROR(VLOOKUP(TabelaEstoque[[#This Row],[Código Forcenedor]],TabelaFC[],MATCH(TabelaFC[[#Headers],[Sobrenome]],TabelaFC[#Headers],0)),"")</f>
        <v/>
      </c>
      <c r="H38" s="16">
        <f>SUMIF(TabelaEntradas[SKU],TabelaEstoque[[#This Row],[SKU]],TabelaEntradas[Quantidade])</f>
        <v>0</v>
      </c>
      <c r="I38" s="16">
        <f>SUMIF(TabelaSaidas[SKU],TabelaEstoque[[#This Row],[SKU]],TabelaSaidas[Quantidade])</f>
        <v>0</v>
      </c>
      <c r="J38" s="16">
        <f>SUMIF(TabelaPercas[SKU],TabelaEstoque[[#This Row],[SKU]],TabelaPercas[Quantidade])</f>
        <v>0</v>
      </c>
      <c r="K38" s="16">
        <f>TabelaEstoque[[#This Row],[Entradas]]-TabelaEstoque[[#This Row],[Saídas]]-TabelaEstoque[[#This Row],[Percas]]</f>
        <v>0</v>
      </c>
      <c r="L38" s="18"/>
      <c r="M38" s="18"/>
      <c r="N38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39" spans="1:14">
      <c r="A39" s="135"/>
      <c r="B39" s="17"/>
      <c r="C39" s="17"/>
      <c r="D39" s="17"/>
      <c r="E39" s="17"/>
      <c r="F39" s="5" t="str">
        <f>IFERROR(VLOOKUP(TabelaEstoque[[#This Row],[Código Forcenedor]],TabelaFC[],MATCH(TabelaFC[[#Headers],[Nome]],TabelaFC[#Headers],0)),"")</f>
        <v/>
      </c>
      <c r="G39" s="5" t="str">
        <f>IFERROR(VLOOKUP(TabelaEstoque[[#This Row],[Código Forcenedor]],TabelaFC[],MATCH(TabelaFC[[#Headers],[Sobrenome]],TabelaFC[#Headers],0)),"")</f>
        <v/>
      </c>
      <c r="H39" s="16">
        <f>SUMIF(TabelaEntradas[SKU],TabelaEstoque[[#This Row],[SKU]],TabelaEntradas[Quantidade])</f>
        <v>0</v>
      </c>
      <c r="I39" s="16">
        <f>SUMIF(TabelaSaidas[SKU],TabelaEstoque[[#This Row],[SKU]],TabelaSaidas[Quantidade])</f>
        <v>0</v>
      </c>
      <c r="J39" s="16">
        <f>SUMIF(TabelaPercas[SKU],TabelaEstoque[[#This Row],[SKU]],TabelaPercas[Quantidade])</f>
        <v>0</v>
      </c>
      <c r="K39" s="16">
        <f>TabelaEstoque[[#This Row],[Entradas]]-TabelaEstoque[[#This Row],[Saídas]]-TabelaEstoque[[#This Row],[Percas]]</f>
        <v>0</v>
      </c>
      <c r="L39" s="18"/>
      <c r="M39" s="18"/>
      <c r="N39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40" spans="1:14">
      <c r="A40" s="135"/>
      <c r="B40" s="17"/>
      <c r="C40" s="17"/>
      <c r="D40" s="17"/>
      <c r="E40" s="17"/>
      <c r="F40" s="5" t="str">
        <f>IFERROR(VLOOKUP(TabelaEstoque[[#This Row],[Código Forcenedor]],TabelaFC[],MATCH(TabelaFC[[#Headers],[Nome]],TabelaFC[#Headers],0)),"")</f>
        <v/>
      </c>
      <c r="G40" s="5" t="str">
        <f>IFERROR(VLOOKUP(TabelaEstoque[[#This Row],[Código Forcenedor]],TabelaFC[],MATCH(TabelaFC[[#Headers],[Sobrenome]],TabelaFC[#Headers],0)),"")</f>
        <v/>
      </c>
      <c r="H40" s="16">
        <f>SUMIF(TabelaEntradas[SKU],TabelaEstoque[[#This Row],[SKU]],TabelaEntradas[Quantidade])</f>
        <v>0</v>
      </c>
      <c r="I40" s="16">
        <f>SUMIF(TabelaSaidas[SKU],TabelaEstoque[[#This Row],[SKU]],TabelaSaidas[Quantidade])</f>
        <v>0</v>
      </c>
      <c r="J40" s="16">
        <f>SUMIF(TabelaPercas[SKU],TabelaEstoque[[#This Row],[SKU]],TabelaPercas[Quantidade])</f>
        <v>0</v>
      </c>
      <c r="K40" s="16">
        <f>TabelaEstoque[[#This Row],[Entradas]]-TabelaEstoque[[#This Row],[Saídas]]-TabelaEstoque[[#This Row],[Percas]]</f>
        <v>0</v>
      </c>
      <c r="L40" s="18"/>
      <c r="M40" s="18"/>
      <c r="N40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41" spans="1:14">
      <c r="A41" s="135"/>
      <c r="B41" s="17"/>
      <c r="C41" s="17"/>
      <c r="D41" s="17"/>
      <c r="E41" s="17"/>
      <c r="F41" s="5" t="str">
        <f>IFERROR(VLOOKUP(TabelaEstoque[[#This Row],[Código Forcenedor]],TabelaFC[],MATCH(TabelaFC[[#Headers],[Nome]],TabelaFC[#Headers],0)),"")</f>
        <v/>
      </c>
      <c r="G41" s="5" t="str">
        <f>IFERROR(VLOOKUP(TabelaEstoque[[#This Row],[Código Forcenedor]],TabelaFC[],MATCH(TabelaFC[[#Headers],[Sobrenome]],TabelaFC[#Headers],0)),"")</f>
        <v/>
      </c>
      <c r="H41" s="16">
        <f>SUMIF(TabelaEntradas[SKU],TabelaEstoque[[#This Row],[SKU]],TabelaEntradas[Quantidade])</f>
        <v>0</v>
      </c>
      <c r="I41" s="16">
        <f>SUMIF(TabelaSaidas[SKU],TabelaEstoque[[#This Row],[SKU]],TabelaSaidas[Quantidade])</f>
        <v>0</v>
      </c>
      <c r="J41" s="16">
        <f>SUMIF(TabelaPercas[SKU],TabelaEstoque[[#This Row],[SKU]],TabelaPercas[Quantidade])</f>
        <v>0</v>
      </c>
      <c r="K41" s="16">
        <f>TabelaEstoque[[#This Row],[Entradas]]-TabelaEstoque[[#This Row],[Saídas]]-TabelaEstoque[[#This Row],[Percas]]</f>
        <v>0</v>
      </c>
      <c r="L41" s="18"/>
      <c r="M41" s="18"/>
      <c r="N41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42" spans="1:14">
      <c r="A42" s="135"/>
      <c r="B42" s="17"/>
      <c r="C42" s="17"/>
      <c r="D42" s="17"/>
      <c r="E42" s="17"/>
      <c r="F42" s="5" t="str">
        <f>IFERROR(VLOOKUP(TabelaEstoque[[#This Row],[Código Forcenedor]],TabelaFC[],MATCH(TabelaFC[[#Headers],[Nome]],TabelaFC[#Headers],0)),"")</f>
        <v/>
      </c>
      <c r="G42" s="5" t="str">
        <f>IFERROR(VLOOKUP(TabelaEstoque[[#This Row],[Código Forcenedor]],TabelaFC[],MATCH(TabelaFC[[#Headers],[Sobrenome]],TabelaFC[#Headers],0)),"")</f>
        <v/>
      </c>
      <c r="H42" s="16">
        <f>SUMIF(TabelaEntradas[SKU],TabelaEstoque[[#This Row],[SKU]],TabelaEntradas[Quantidade])</f>
        <v>0</v>
      </c>
      <c r="I42" s="16">
        <f>SUMIF(TabelaSaidas[SKU],TabelaEstoque[[#This Row],[SKU]],TabelaSaidas[Quantidade])</f>
        <v>0</v>
      </c>
      <c r="J42" s="16">
        <f>SUMIF(TabelaPercas[SKU],TabelaEstoque[[#This Row],[SKU]],TabelaPercas[Quantidade])</f>
        <v>0</v>
      </c>
      <c r="K42" s="16">
        <f>TabelaEstoque[[#This Row],[Entradas]]-TabelaEstoque[[#This Row],[Saídas]]-TabelaEstoque[[#This Row],[Percas]]</f>
        <v>0</v>
      </c>
      <c r="L42" s="18"/>
      <c r="M42" s="18"/>
      <c r="N42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43" spans="1:14">
      <c r="A43" s="135"/>
      <c r="B43" s="17"/>
      <c r="C43" s="17"/>
      <c r="D43" s="17"/>
      <c r="E43" s="17"/>
      <c r="F43" s="5" t="str">
        <f>IFERROR(VLOOKUP(TabelaEstoque[[#This Row],[Código Forcenedor]],TabelaFC[],MATCH(TabelaFC[[#Headers],[Nome]],TabelaFC[#Headers],0)),"")</f>
        <v/>
      </c>
      <c r="G43" s="5" t="str">
        <f>IFERROR(VLOOKUP(TabelaEstoque[[#This Row],[Código Forcenedor]],TabelaFC[],MATCH(TabelaFC[[#Headers],[Sobrenome]],TabelaFC[#Headers],0)),"")</f>
        <v/>
      </c>
      <c r="H43" s="16">
        <f>SUMIF(TabelaEntradas[SKU],TabelaEstoque[[#This Row],[SKU]],TabelaEntradas[Quantidade])</f>
        <v>0</v>
      </c>
      <c r="I43" s="16">
        <f>SUMIF(TabelaSaidas[SKU],TabelaEstoque[[#This Row],[SKU]],TabelaSaidas[Quantidade])</f>
        <v>0</v>
      </c>
      <c r="J43" s="16">
        <f>SUMIF(TabelaPercas[SKU],TabelaEstoque[[#This Row],[SKU]],TabelaPercas[Quantidade])</f>
        <v>0</v>
      </c>
      <c r="K43" s="16">
        <f>TabelaEstoque[[#This Row],[Entradas]]-TabelaEstoque[[#This Row],[Saídas]]-TabelaEstoque[[#This Row],[Percas]]</f>
        <v>0</v>
      </c>
      <c r="L43" s="18"/>
      <c r="M43" s="18"/>
      <c r="N43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44" spans="1:14">
      <c r="A44" s="135"/>
      <c r="B44" s="17"/>
      <c r="C44" s="17"/>
      <c r="D44" s="17"/>
      <c r="E44" s="17"/>
      <c r="F44" s="5" t="str">
        <f>IFERROR(VLOOKUP(TabelaEstoque[[#This Row],[Código Forcenedor]],TabelaFC[],MATCH(TabelaFC[[#Headers],[Nome]],TabelaFC[#Headers],0)),"")</f>
        <v/>
      </c>
      <c r="G44" s="5" t="str">
        <f>IFERROR(VLOOKUP(TabelaEstoque[[#This Row],[Código Forcenedor]],TabelaFC[],MATCH(TabelaFC[[#Headers],[Sobrenome]],TabelaFC[#Headers],0)),"")</f>
        <v/>
      </c>
      <c r="H44" s="16">
        <f>SUMIF(TabelaEntradas[SKU],TabelaEstoque[[#This Row],[SKU]],TabelaEntradas[Quantidade])</f>
        <v>0</v>
      </c>
      <c r="I44" s="16">
        <f>SUMIF(TabelaSaidas[SKU],TabelaEstoque[[#This Row],[SKU]],TabelaSaidas[Quantidade])</f>
        <v>0</v>
      </c>
      <c r="J44" s="16">
        <f>SUMIF(TabelaPercas[SKU],TabelaEstoque[[#This Row],[SKU]],TabelaPercas[Quantidade])</f>
        <v>0</v>
      </c>
      <c r="K44" s="16">
        <f>TabelaEstoque[[#This Row],[Entradas]]-TabelaEstoque[[#This Row],[Saídas]]-TabelaEstoque[[#This Row],[Percas]]</f>
        <v>0</v>
      </c>
      <c r="L44" s="18"/>
      <c r="M44" s="18"/>
      <c r="N44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45" spans="1:14">
      <c r="A45" s="135"/>
      <c r="B45" s="17"/>
      <c r="C45" s="17"/>
      <c r="D45" s="17"/>
      <c r="E45" s="17"/>
      <c r="F45" s="5" t="str">
        <f>IFERROR(VLOOKUP(TabelaEstoque[[#This Row],[Código Forcenedor]],TabelaFC[],MATCH(TabelaFC[[#Headers],[Nome]],TabelaFC[#Headers],0)),"")</f>
        <v/>
      </c>
      <c r="G45" s="5" t="str">
        <f>IFERROR(VLOOKUP(TabelaEstoque[[#This Row],[Código Forcenedor]],TabelaFC[],MATCH(TabelaFC[[#Headers],[Sobrenome]],TabelaFC[#Headers],0)),"")</f>
        <v/>
      </c>
      <c r="H45" s="16">
        <f>SUMIF(TabelaEntradas[SKU],TabelaEstoque[[#This Row],[SKU]],TabelaEntradas[Quantidade])</f>
        <v>0</v>
      </c>
      <c r="I45" s="16">
        <f>SUMIF(TabelaSaidas[SKU],TabelaEstoque[[#This Row],[SKU]],TabelaSaidas[Quantidade])</f>
        <v>0</v>
      </c>
      <c r="J45" s="16">
        <f>SUMIF(TabelaPercas[SKU],TabelaEstoque[[#This Row],[SKU]],TabelaPercas[Quantidade])</f>
        <v>0</v>
      </c>
      <c r="K45" s="16">
        <f>TabelaEstoque[[#This Row],[Entradas]]-TabelaEstoque[[#This Row],[Saídas]]-TabelaEstoque[[#This Row],[Percas]]</f>
        <v>0</v>
      </c>
      <c r="L45" s="18"/>
      <c r="M45" s="18"/>
      <c r="N45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46" spans="1:14">
      <c r="A46" s="135"/>
      <c r="B46" s="17"/>
      <c r="C46" s="17"/>
      <c r="D46" s="17"/>
      <c r="E46" s="17"/>
      <c r="F46" s="5" t="str">
        <f>IFERROR(VLOOKUP(TabelaEstoque[[#This Row],[Código Forcenedor]],TabelaFC[],MATCH(TabelaFC[[#Headers],[Nome]],TabelaFC[#Headers],0)),"")</f>
        <v/>
      </c>
      <c r="G46" s="5" t="str">
        <f>IFERROR(VLOOKUP(TabelaEstoque[[#This Row],[Código Forcenedor]],TabelaFC[],MATCH(TabelaFC[[#Headers],[Sobrenome]],TabelaFC[#Headers],0)),"")</f>
        <v/>
      </c>
      <c r="H46" s="16">
        <f>SUMIF(TabelaEntradas[SKU],TabelaEstoque[[#This Row],[SKU]],TabelaEntradas[Quantidade])</f>
        <v>0</v>
      </c>
      <c r="I46" s="16">
        <f>SUMIF(TabelaSaidas[SKU],TabelaEstoque[[#This Row],[SKU]],TabelaSaidas[Quantidade])</f>
        <v>0</v>
      </c>
      <c r="J46" s="16">
        <f>SUMIF(TabelaPercas[SKU],TabelaEstoque[[#This Row],[SKU]],TabelaPercas[Quantidade])</f>
        <v>0</v>
      </c>
      <c r="K46" s="16">
        <f>TabelaEstoque[[#This Row],[Entradas]]-TabelaEstoque[[#This Row],[Saídas]]-TabelaEstoque[[#This Row],[Percas]]</f>
        <v>0</v>
      </c>
      <c r="L46" s="18"/>
      <c r="M46" s="18"/>
      <c r="N46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47" spans="1:14">
      <c r="A47" s="135"/>
      <c r="B47" s="17"/>
      <c r="C47" s="17"/>
      <c r="D47" s="17"/>
      <c r="E47" s="17"/>
      <c r="F47" s="5" t="str">
        <f>IFERROR(VLOOKUP(TabelaEstoque[[#This Row],[Código Forcenedor]],TabelaFC[],MATCH(TabelaFC[[#Headers],[Nome]],TabelaFC[#Headers],0)),"")</f>
        <v/>
      </c>
      <c r="G47" s="5" t="str">
        <f>IFERROR(VLOOKUP(TabelaEstoque[[#This Row],[Código Forcenedor]],TabelaFC[],MATCH(TabelaFC[[#Headers],[Sobrenome]],TabelaFC[#Headers],0)),"")</f>
        <v/>
      </c>
      <c r="H47" s="16">
        <f>SUMIF(TabelaEntradas[SKU],TabelaEstoque[[#This Row],[SKU]],TabelaEntradas[Quantidade])</f>
        <v>0</v>
      </c>
      <c r="I47" s="16">
        <f>SUMIF(TabelaSaidas[SKU],TabelaEstoque[[#This Row],[SKU]],TabelaSaidas[Quantidade])</f>
        <v>0</v>
      </c>
      <c r="J47" s="16">
        <f>SUMIF(TabelaPercas[SKU],TabelaEstoque[[#This Row],[SKU]],TabelaPercas[Quantidade])</f>
        <v>0</v>
      </c>
      <c r="K47" s="16">
        <f>TabelaEstoque[[#This Row],[Entradas]]-TabelaEstoque[[#This Row],[Saídas]]-TabelaEstoque[[#This Row],[Percas]]</f>
        <v>0</v>
      </c>
      <c r="L47" s="18"/>
      <c r="M47" s="18"/>
      <c r="N47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48" spans="1:14">
      <c r="A48" s="135"/>
      <c r="B48" s="17"/>
      <c r="C48" s="17"/>
      <c r="D48" s="17"/>
      <c r="E48" s="17"/>
      <c r="F48" s="5" t="str">
        <f>IFERROR(VLOOKUP(TabelaEstoque[[#This Row],[Código Forcenedor]],TabelaFC[],MATCH(TabelaFC[[#Headers],[Nome]],TabelaFC[#Headers],0)),"")</f>
        <v/>
      </c>
      <c r="G48" s="5" t="str">
        <f>IFERROR(VLOOKUP(TabelaEstoque[[#This Row],[Código Forcenedor]],TabelaFC[],MATCH(TabelaFC[[#Headers],[Sobrenome]],TabelaFC[#Headers],0)),"")</f>
        <v/>
      </c>
      <c r="H48" s="16">
        <f>SUMIF(TabelaEntradas[SKU],TabelaEstoque[[#This Row],[SKU]],TabelaEntradas[Quantidade])</f>
        <v>0</v>
      </c>
      <c r="I48" s="16">
        <f>SUMIF(TabelaSaidas[SKU],TabelaEstoque[[#This Row],[SKU]],TabelaSaidas[Quantidade])</f>
        <v>0</v>
      </c>
      <c r="J48" s="16">
        <f>SUMIF(TabelaPercas[SKU],TabelaEstoque[[#This Row],[SKU]],TabelaPercas[Quantidade])</f>
        <v>0</v>
      </c>
      <c r="K48" s="16">
        <f>TabelaEstoque[[#This Row],[Entradas]]-TabelaEstoque[[#This Row],[Saídas]]-TabelaEstoque[[#This Row],[Percas]]</f>
        <v>0</v>
      </c>
      <c r="L48" s="18"/>
      <c r="M48" s="18"/>
      <c r="N48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49" spans="1:14">
      <c r="A49" s="135"/>
      <c r="B49" s="17"/>
      <c r="C49" s="17"/>
      <c r="D49" s="17"/>
      <c r="E49" s="17"/>
      <c r="F49" s="5" t="str">
        <f>IFERROR(VLOOKUP(TabelaEstoque[[#This Row],[Código Forcenedor]],TabelaFC[],MATCH(TabelaFC[[#Headers],[Nome]],TabelaFC[#Headers],0)),"")</f>
        <v/>
      </c>
      <c r="G49" s="5" t="str">
        <f>IFERROR(VLOOKUP(TabelaEstoque[[#This Row],[Código Forcenedor]],TabelaFC[],MATCH(TabelaFC[[#Headers],[Sobrenome]],TabelaFC[#Headers],0)),"")</f>
        <v/>
      </c>
      <c r="H49" s="16">
        <f>SUMIF(TabelaEntradas[SKU],TabelaEstoque[[#This Row],[SKU]],TabelaEntradas[Quantidade])</f>
        <v>0</v>
      </c>
      <c r="I49" s="16">
        <f>SUMIF(TabelaSaidas[SKU],TabelaEstoque[[#This Row],[SKU]],TabelaSaidas[Quantidade])</f>
        <v>0</v>
      </c>
      <c r="J49" s="16">
        <f>SUMIF(TabelaPercas[SKU],TabelaEstoque[[#This Row],[SKU]],TabelaPercas[Quantidade])</f>
        <v>0</v>
      </c>
      <c r="K49" s="16">
        <f>TabelaEstoque[[#This Row],[Entradas]]-TabelaEstoque[[#This Row],[Saídas]]-TabelaEstoque[[#This Row],[Percas]]</f>
        <v>0</v>
      </c>
      <c r="L49" s="18"/>
      <c r="M49" s="18"/>
      <c r="N49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50" spans="1:14">
      <c r="A50" s="135"/>
      <c r="B50" s="17"/>
      <c r="C50" s="17"/>
      <c r="D50" s="17"/>
      <c r="E50" s="17"/>
      <c r="F50" s="5" t="str">
        <f>IFERROR(VLOOKUP(TabelaEstoque[[#This Row],[Código Forcenedor]],TabelaFC[],MATCH(TabelaFC[[#Headers],[Nome]],TabelaFC[#Headers],0)),"")</f>
        <v/>
      </c>
      <c r="G50" s="5" t="str">
        <f>IFERROR(VLOOKUP(TabelaEstoque[[#This Row],[Código Forcenedor]],TabelaFC[],MATCH(TabelaFC[[#Headers],[Sobrenome]],TabelaFC[#Headers],0)),"")</f>
        <v/>
      </c>
      <c r="H50" s="16">
        <f>SUMIF(TabelaEntradas[SKU],TabelaEstoque[[#This Row],[SKU]],TabelaEntradas[Quantidade])</f>
        <v>0</v>
      </c>
      <c r="I50" s="16">
        <f>SUMIF(TabelaSaidas[SKU],TabelaEstoque[[#This Row],[SKU]],TabelaSaidas[Quantidade])</f>
        <v>0</v>
      </c>
      <c r="J50" s="16">
        <f>SUMIF(TabelaPercas[SKU],TabelaEstoque[[#This Row],[SKU]],TabelaPercas[Quantidade])</f>
        <v>0</v>
      </c>
      <c r="K50" s="16">
        <f>TabelaEstoque[[#This Row],[Entradas]]-TabelaEstoque[[#This Row],[Saídas]]-TabelaEstoque[[#This Row],[Percas]]</f>
        <v>0</v>
      </c>
      <c r="L50" s="18"/>
      <c r="M50" s="18"/>
      <c r="N50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51" spans="1:14">
      <c r="A51" s="135"/>
      <c r="B51" s="17"/>
      <c r="C51" s="17"/>
      <c r="D51" s="17"/>
      <c r="E51" s="17"/>
      <c r="F51" s="5" t="str">
        <f>IFERROR(VLOOKUP(TabelaEstoque[[#This Row],[Código Forcenedor]],TabelaFC[],MATCH(TabelaFC[[#Headers],[Nome]],TabelaFC[#Headers],0)),"")</f>
        <v/>
      </c>
      <c r="G51" s="5" t="str">
        <f>IFERROR(VLOOKUP(TabelaEstoque[[#This Row],[Código Forcenedor]],TabelaFC[],MATCH(TabelaFC[[#Headers],[Sobrenome]],TabelaFC[#Headers],0)),"")</f>
        <v/>
      </c>
      <c r="H51" s="16">
        <f>SUMIF(TabelaEntradas[SKU],TabelaEstoque[[#This Row],[SKU]],TabelaEntradas[Quantidade])</f>
        <v>0</v>
      </c>
      <c r="I51" s="16">
        <f>SUMIF(TabelaSaidas[SKU],TabelaEstoque[[#This Row],[SKU]],TabelaSaidas[Quantidade])</f>
        <v>0</v>
      </c>
      <c r="J51" s="16">
        <f>SUMIF(TabelaPercas[SKU],TabelaEstoque[[#This Row],[SKU]],TabelaPercas[Quantidade])</f>
        <v>0</v>
      </c>
      <c r="K51" s="16">
        <f>TabelaEstoque[[#This Row],[Entradas]]-TabelaEstoque[[#This Row],[Saídas]]-TabelaEstoque[[#This Row],[Percas]]</f>
        <v>0</v>
      </c>
      <c r="L51" s="18"/>
      <c r="M51" s="18"/>
      <c r="N51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52" spans="1:14">
      <c r="A52" s="135"/>
      <c r="B52" s="17"/>
      <c r="C52" s="17"/>
      <c r="D52" s="17"/>
      <c r="E52" s="17"/>
      <c r="F52" s="5" t="str">
        <f>IFERROR(VLOOKUP(TabelaEstoque[[#This Row],[Código Forcenedor]],TabelaFC[],MATCH(TabelaFC[[#Headers],[Nome]],TabelaFC[#Headers],0)),"")</f>
        <v/>
      </c>
      <c r="G52" s="5" t="str">
        <f>IFERROR(VLOOKUP(TabelaEstoque[[#This Row],[Código Forcenedor]],TabelaFC[],MATCH(TabelaFC[[#Headers],[Sobrenome]],TabelaFC[#Headers],0)),"")</f>
        <v/>
      </c>
      <c r="H52" s="16">
        <f>SUMIF(TabelaEntradas[SKU],TabelaEstoque[[#This Row],[SKU]],TabelaEntradas[Quantidade])</f>
        <v>0</v>
      </c>
      <c r="I52" s="16">
        <f>SUMIF(TabelaSaidas[SKU],TabelaEstoque[[#This Row],[SKU]],TabelaSaidas[Quantidade])</f>
        <v>0</v>
      </c>
      <c r="J52" s="16">
        <f>SUMIF(TabelaPercas[SKU],TabelaEstoque[[#This Row],[SKU]],TabelaPercas[Quantidade])</f>
        <v>0</v>
      </c>
      <c r="K52" s="16">
        <f>TabelaEstoque[[#This Row],[Entradas]]-TabelaEstoque[[#This Row],[Saídas]]-TabelaEstoque[[#This Row],[Percas]]</f>
        <v>0</v>
      </c>
      <c r="L52" s="18"/>
      <c r="M52" s="18"/>
      <c r="N52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53" spans="1:14">
      <c r="A53" s="135"/>
      <c r="B53" s="17"/>
      <c r="C53" s="17"/>
      <c r="D53" s="17"/>
      <c r="E53" s="17"/>
      <c r="F53" s="5" t="str">
        <f>IFERROR(VLOOKUP(TabelaEstoque[[#This Row],[Código Forcenedor]],TabelaFC[],MATCH(TabelaFC[[#Headers],[Nome]],TabelaFC[#Headers],0)),"")</f>
        <v/>
      </c>
      <c r="G53" s="5" t="str">
        <f>IFERROR(VLOOKUP(TabelaEstoque[[#This Row],[Código Forcenedor]],TabelaFC[],MATCH(TabelaFC[[#Headers],[Sobrenome]],TabelaFC[#Headers],0)),"")</f>
        <v/>
      </c>
      <c r="H53" s="16">
        <f>SUMIF(TabelaEntradas[SKU],TabelaEstoque[[#This Row],[SKU]],TabelaEntradas[Quantidade])</f>
        <v>0</v>
      </c>
      <c r="I53" s="16">
        <f>SUMIF(TabelaSaidas[SKU],TabelaEstoque[[#This Row],[SKU]],TabelaSaidas[Quantidade])</f>
        <v>0</v>
      </c>
      <c r="J53" s="16">
        <f>SUMIF(TabelaPercas[SKU],TabelaEstoque[[#This Row],[SKU]],TabelaPercas[Quantidade])</f>
        <v>0</v>
      </c>
      <c r="K53" s="16">
        <f>TabelaEstoque[[#This Row],[Entradas]]-TabelaEstoque[[#This Row],[Saídas]]-TabelaEstoque[[#This Row],[Percas]]</f>
        <v>0</v>
      </c>
      <c r="L53" s="18"/>
      <c r="M53" s="18"/>
      <c r="N53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54" spans="1:14">
      <c r="A54" s="135"/>
      <c r="B54" s="17"/>
      <c r="C54" s="17"/>
      <c r="D54" s="17"/>
      <c r="E54" s="17"/>
      <c r="F54" s="5" t="str">
        <f>IFERROR(VLOOKUP(TabelaEstoque[[#This Row],[Código Forcenedor]],TabelaFC[],MATCH(TabelaFC[[#Headers],[Nome]],TabelaFC[#Headers],0)),"")</f>
        <v/>
      </c>
      <c r="G54" s="5" t="str">
        <f>IFERROR(VLOOKUP(TabelaEstoque[[#This Row],[Código Forcenedor]],TabelaFC[],MATCH(TabelaFC[[#Headers],[Sobrenome]],TabelaFC[#Headers],0)),"")</f>
        <v/>
      </c>
      <c r="H54" s="16">
        <f>SUMIF(TabelaEntradas[SKU],TabelaEstoque[[#This Row],[SKU]],TabelaEntradas[Quantidade])</f>
        <v>0</v>
      </c>
      <c r="I54" s="16">
        <f>SUMIF(TabelaSaidas[SKU],TabelaEstoque[[#This Row],[SKU]],TabelaSaidas[Quantidade])</f>
        <v>0</v>
      </c>
      <c r="J54" s="16">
        <f>SUMIF(TabelaPercas[SKU],TabelaEstoque[[#This Row],[SKU]],TabelaPercas[Quantidade])</f>
        <v>0</v>
      </c>
      <c r="K54" s="16">
        <f>TabelaEstoque[[#This Row],[Entradas]]-TabelaEstoque[[#This Row],[Saídas]]-TabelaEstoque[[#This Row],[Percas]]</f>
        <v>0</v>
      </c>
      <c r="L54" s="18"/>
      <c r="M54" s="18"/>
      <c r="N54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55" spans="1:14">
      <c r="A55" s="135"/>
      <c r="B55" s="17"/>
      <c r="C55" s="17"/>
      <c r="D55" s="17"/>
      <c r="E55" s="17"/>
      <c r="F55" s="5" t="str">
        <f>IFERROR(VLOOKUP(TabelaEstoque[[#This Row],[Código Forcenedor]],TabelaFC[],MATCH(TabelaFC[[#Headers],[Nome]],TabelaFC[#Headers],0)),"")</f>
        <v/>
      </c>
      <c r="G55" s="5" t="str">
        <f>IFERROR(VLOOKUP(TabelaEstoque[[#This Row],[Código Forcenedor]],TabelaFC[],MATCH(TabelaFC[[#Headers],[Sobrenome]],TabelaFC[#Headers],0)),"")</f>
        <v/>
      </c>
      <c r="H55" s="16">
        <f>SUMIF(TabelaEntradas[SKU],TabelaEstoque[[#This Row],[SKU]],TabelaEntradas[Quantidade])</f>
        <v>0</v>
      </c>
      <c r="I55" s="16">
        <f>SUMIF(TabelaSaidas[SKU],TabelaEstoque[[#This Row],[SKU]],TabelaSaidas[Quantidade])</f>
        <v>0</v>
      </c>
      <c r="J55" s="16">
        <f>SUMIF(TabelaPercas[SKU],TabelaEstoque[[#This Row],[SKU]],TabelaPercas[Quantidade])</f>
        <v>0</v>
      </c>
      <c r="K55" s="16">
        <f>TabelaEstoque[[#This Row],[Entradas]]-TabelaEstoque[[#This Row],[Saídas]]-TabelaEstoque[[#This Row],[Percas]]</f>
        <v>0</v>
      </c>
      <c r="L55" s="18"/>
      <c r="M55" s="18"/>
      <c r="N55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56" spans="1:14">
      <c r="A56" s="135"/>
      <c r="B56" s="17"/>
      <c r="C56" s="17"/>
      <c r="D56" s="17"/>
      <c r="E56" s="17"/>
      <c r="F56" s="5" t="str">
        <f>IFERROR(VLOOKUP(TabelaEstoque[[#This Row],[Código Forcenedor]],TabelaFC[],MATCH(TabelaFC[[#Headers],[Nome]],TabelaFC[#Headers],0)),"")</f>
        <v/>
      </c>
      <c r="G56" s="5" t="str">
        <f>IFERROR(VLOOKUP(TabelaEstoque[[#This Row],[Código Forcenedor]],TabelaFC[],MATCH(TabelaFC[[#Headers],[Sobrenome]],TabelaFC[#Headers],0)),"")</f>
        <v/>
      </c>
      <c r="H56" s="16">
        <f>SUMIF(TabelaEntradas[SKU],TabelaEstoque[[#This Row],[SKU]],TabelaEntradas[Quantidade])</f>
        <v>0</v>
      </c>
      <c r="I56" s="16">
        <f>SUMIF(TabelaSaidas[SKU],TabelaEstoque[[#This Row],[SKU]],TabelaSaidas[Quantidade])</f>
        <v>0</v>
      </c>
      <c r="J56" s="16">
        <f>SUMIF(TabelaPercas[SKU],TabelaEstoque[[#This Row],[SKU]],TabelaPercas[Quantidade])</f>
        <v>0</v>
      </c>
      <c r="K56" s="16">
        <f>TabelaEstoque[[#This Row],[Entradas]]-TabelaEstoque[[#This Row],[Saídas]]-TabelaEstoque[[#This Row],[Percas]]</f>
        <v>0</v>
      </c>
      <c r="L56" s="18"/>
      <c r="M56" s="18"/>
      <c r="N56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57" spans="1:14">
      <c r="A57" s="135"/>
      <c r="B57" s="17"/>
      <c r="C57" s="17"/>
      <c r="D57" s="17"/>
      <c r="E57" s="17"/>
      <c r="F57" s="5" t="str">
        <f>IFERROR(VLOOKUP(TabelaEstoque[[#This Row],[Código Forcenedor]],TabelaFC[],MATCH(TabelaFC[[#Headers],[Nome]],TabelaFC[#Headers],0)),"")</f>
        <v/>
      </c>
      <c r="G57" s="5" t="str">
        <f>IFERROR(VLOOKUP(TabelaEstoque[[#This Row],[Código Forcenedor]],TabelaFC[],MATCH(TabelaFC[[#Headers],[Sobrenome]],TabelaFC[#Headers],0)),"")</f>
        <v/>
      </c>
      <c r="H57" s="16">
        <f>SUMIF(TabelaEntradas[SKU],TabelaEstoque[[#This Row],[SKU]],TabelaEntradas[Quantidade])</f>
        <v>0</v>
      </c>
      <c r="I57" s="16">
        <f>SUMIF(TabelaSaidas[SKU],TabelaEstoque[[#This Row],[SKU]],TabelaSaidas[Quantidade])</f>
        <v>0</v>
      </c>
      <c r="J57" s="16">
        <f>SUMIF(TabelaPercas[SKU],TabelaEstoque[[#This Row],[SKU]],TabelaPercas[Quantidade])</f>
        <v>0</v>
      </c>
      <c r="K57" s="16">
        <f>TabelaEstoque[[#This Row],[Entradas]]-TabelaEstoque[[#This Row],[Saídas]]-TabelaEstoque[[#This Row],[Percas]]</f>
        <v>0</v>
      </c>
      <c r="L57" s="18"/>
      <c r="M57" s="18"/>
      <c r="N57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58" spans="1:14">
      <c r="A58" s="135"/>
      <c r="B58" s="17"/>
      <c r="C58" s="17"/>
      <c r="D58" s="17"/>
      <c r="E58" s="17"/>
      <c r="F58" s="5" t="str">
        <f>IFERROR(VLOOKUP(TabelaEstoque[[#This Row],[Código Forcenedor]],TabelaFC[],MATCH(TabelaFC[[#Headers],[Nome]],TabelaFC[#Headers],0)),"")</f>
        <v/>
      </c>
      <c r="G58" s="5" t="str">
        <f>IFERROR(VLOOKUP(TabelaEstoque[[#This Row],[Código Forcenedor]],TabelaFC[],MATCH(TabelaFC[[#Headers],[Sobrenome]],TabelaFC[#Headers],0)),"")</f>
        <v/>
      </c>
      <c r="H58" s="16">
        <f>SUMIF(TabelaEntradas[SKU],TabelaEstoque[[#This Row],[SKU]],TabelaEntradas[Quantidade])</f>
        <v>0</v>
      </c>
      <c r="I58" s="16">
        <f>SUMIF(TabelaSaidas[SKU],TabelaEstoque[[#This Row],[SKU]],TabelaSaidas[Quantidade])</f>
        <v>0</v>
      </c>
      <c r="J58" s="16">
        <f>SUMIF(TabelaPercas[SKU],TabelaEstoque[[#This Row],[SKU]],TabelaPercas[Quantidade])</f>
        <v>0</v>
      </c>
      <c r="K58" s="16">
        <f>TabelaEstoque[[#This Row],[Entradas]]-TabelaEstoque[[#This Row],[Saídas]]-TabelaEstoque[[#This Row],[Percas]]</f>
        <v>0</v>
      </c>
      <c r="L58" s="18"/>
      <c r="M58" s="18"/>
      <c r="N58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59" spans="1:14">
      <c r="A59" s="135"/>
      <c r="B59" s="17"/>
      <c r="C59" s="17"/>
      <c r="D59" s="17"/>
      <c r="E59" s="17"/>
      <c r="F59" s="5" t="str">
        <f>IFERROR(VLOOKUP(TabelaEstoque[[#This Row],[Código Forcenedor]],TabelaFC[],MATCH(TabelaFC[[#Headers],[Nome]],TabelaFC[#Headers],0)),"")</f>
        <v/>
      </c>
      <c r="G59" s="5" t="str">
        <f>IFERROR(VLOOKUP(TabelaEstoque[[#This Row],[Código Forcenedor]],TabelaFC[],MATCH(TabelaFC[[#Headers],[Sobrenome]],TabelaFC[#Headers],0)),"")</f>
        <v/>
      </c>
      <c r="H59" s="16">
        <f>SUMIF(TabelaEntradas[SKU],TabelaEstoque[[#This Row],[SKU]],TabelaEntradas[Quantidade])</f>
        <v>0</v>
      </c>
      <c r="I59" s="16">
        <f>SUMIF(TabelaSaidas[SKU],TabelaEstoque[[#This Row],[SKU]],TabelaSaidas[Quantidade])</f>
        <v>0</v>
      </c>
      <c r="J59" s="16">
        <f>SUMIF(TabelaPercas[SKU],TabelaEstoque[[#This Row],[SKU]],TabelaPercas[Quantidade])</f>
        <v>0</v>
      </c>
      <c r="K59" s="16">
        <f>TabelaEstoque[[#This Row],[Entradas]]-TabelaEstoque[[#This Row],[Saídas]]-TabelaEstoque[[#This Row],[Percas]]</f>
        <v>0</v>
      </c>
      <c r="L59" s="18"/>
      <c r="M59" s="18"/>
      <c r="N59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60" spans="1:14">
      <c r="A60" s="135"/>
      <c r="B60" s="17"/>
      <c r="C60" s="17"/>
      <c r="D60" s="17"/>
      <c r="E60" s="17"/>
      <c r="F60" s="5" t="str">
        <f>IFERROR(VLOOKUP(TabelaEstoque[[#This Row],[Código Forcenedor]],TabelaFC[],MATCH(TabelaFC[[#Headers],[Nome]],TabelaFC[#Headers],0)),"")</f>
        <v/>
      </c>
      <c r="G60" s="5" t="str">
        <f>IFERROR(VLOOKUP(TabelaEstoque[[#This Row],[Código Forcenedor]],TabelaFC[],MATCH(TabelaFC[[#Headers],[Sobrenome]],TabelaFC[#Headers],0)),"")</f>
        <v/>
      </c>
      <c r="H60" s="16">
        <f>SUMIF(TabelaEntradas[SKU],TabelaEstoque[[#This Row],[SKU]],TabelaEntradas[Quantidade])</f>
        <v>0</v>
      </c>
      <c r="I60" s="16">
        <f>SUMIF(TabelaSaidas[SKU],TabelaEstoque[[#This Row],[SKU]],TabelaSaidas[Quantidade])</f>
        <v>0</v>
      </c>
      <c r="J60" s="16">
        <f>SUMIF(TabelaPercas[SKU],TabelaEstoque[[#This Row],[SKU]],TabelaPercas[Quantidade])</f>
        <v>0</v>
      </c>
      <c r="K60" s="16">
        <f>TabelaEstoque[[#This Row],[Entradas]]-TabelaEstoque[[#This Row],[Saídas]]-TabelaEstoque[[#This Row],[Percas]]</f>
        <v>0</v>
      </c>
      <c r="L60" s="18"/>
      <c r="M60" s="18"/>
      <c r="N60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61" spans="1:14">
      <c r="A61" s="135"/>
      <c r="B61" s="17"/>
      <c r="C61" s="17"/>
      <c r="D61" s="17"/>
      <c r="E61" s="17"/>
      <c r="F61" s="5" t="str">
        <f>IFERROR(VLOOKUP(TabelaEstoque[[#This Row],[Código Forcenedor]],TabelaFC[],MATCH(TabelaFC[[#Headers],[Nome]],TabelaFC[#Headers],0)),"")</f>
        <v/>
      </c>
      <c r="G61" s="5" t="str">
        <f>IFERROR(VLOOKUP(TabelaEstoque[[#This Row],[Código Forcenedor]],TabelaFC[],MATCH(TabelaFC[[#Headers],[Sobrenome]],TabelaFC[#Headers],0)),"")</f>
        <v/>
      </c>
      <c r="H61" s="16">
        <f>SUMIF(TabelaEntradas[SKU],TabelaEstoque[[#This Row],[SKU]],TabelaEntradas[Quantidade])</f>
        <v>0</v>
      </c>
      <c r="I61" s="16">
        <f>SUMIF(TabelaSaidas[SKU],TabelaEstoque[[#This Row],[SKU]],TabelaSaidas[Quantidade])</f>
        <v>0</v>
      </c>
      <c r="J61" s="16">
        <f>SUMIF(TabelaPercas[SKU],TabelaEstoque[[#This Row],[SKU]],TabelaPercas[Quantidade])</f>
        <v>0</v>
      </c>
      <c r="K61" s="16">
        <f>TabelaEstoque[[#This Row],[Entradas]]-TabelaEstoque[[#This Row],[Saídas]]-TabelaEstoque[[#This Row],[Percas]]</f>
        <v>0</v>
      </c>
      <c r="L61" s="18"/>
      <c r="M61" s="18"/>
      <c r="N61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62" spans="1:14">
      <c r="A62" s="135"/>
      <c r="B62" s="17"/>
      <c r="C62" s="17"/>
      <c r="D62" s="17"/>
      <c r="E62" s="17"/>
      <c r="F62" s="5" t="str">
        <f>IFERROR(VLOOKUP(TabelaEstoque[[#This Row],[Código Forcenedor]],TabelaFC[],MATCH(TabelaFC[[#Headers],[Nome]],TabelaFC[#Headers],0)),"")</f>
        <v/>
      </c>
      <c r="G62" s="5" t="str">
        <f>IFERROR(VLOOKUP(TabelaEstoque[[#This Row],[Código Forcenedor]],TabelaFC[],MATCH(TabelaFC[[#Headers],[Sobrenome]],TabelaFC[#Headers],0)),"")</f>
        <v/>
      </c>
      <c r="H62" s="16">
        <f>SUMIF(TabelaEntradas[SKU],TabelaEstoque[[#This Row],[SKU]],TabelaEntradas[Quantidade])</f>
        <v>0</v>
      </c>
      <c r="I62" s="16">
        <f>SUMIF(TabelaSaidas[SKU],TabelaEstoque[[#This Row],[SKU]],TabelaSaidas[Quantidade])</f>
        <v>0</v>
      </c>
      <c r="J62" s="16">
        <f>SUMIF(TabelaPercas[SKU],TabelaEstoque[[#This Row],[SKU]],TabelaPercas[Quantidade])</f>
        <v>0</v>
      </c>
      <c r="K62" s="16">
        <f>TabelaEstoque[[#This Row],[Entradas]]-TabelaEstoque[[#This Row],[Saídas]]-TabelaEstoque[[#This Row],[Percas]]</f>
        <v>0</v>
      </c>
      <c r="L62" s="18"/>
      <c r="M62" s="18"/>
      <c r="N62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  <row r="63" spans="1:14">
      <c r="A63" s="135"/>
      <c r="B63" s="17"/>
      <c r="C63" s="17"/>
      <c r="D63" s="17"/>
      <c r="E63" s="17"/>
      <c r="F63" s="5" t="str">
        <f>IFERROR(VLOOKUP(TabelaEstoque[[#This Row],[Código Forcenedor]],TabelaFC[],MATCH(TabelaFC[[#Headers],[Nome]],TabelaFC[#Headers],0)),"")</f>
        <v/>
      </c>
      <c r="G63" s="5" t="str">
        <f>IFERROR(VLOOKUP(TabelaEstoque[[#This Row],[Código Forcenedor]],TabelaFC[],MATCH(TabelaFC[[#Headers],[Sobrenome]],TabelaFC[#Headers],0)),"")</f>
        <v/>
      </c>
      <c r="H63" s="16">
        <f>SUMIF(TabelaEntradas[SKU],TabelaEstoque[[#This Row],[SKU]],TabelaEntradas[Quantidade])</f>
        <v>0</v>
      </c>
      <c r="I63" s="16">
        <f>SUMIF(TabelaSaidas[SKU],TabelaEstoque[[#This Row],[SKU]],TabelaSaidas[Quantidade])</f>
        <v>0</v>
      </c>
      <c r="J63" s="16">
        <f>SUMIF(TabelaPercas[SKU],TabelaEstoque[[#This Row],[SKU]],TabelaPercas[Quantidade])</f>
        <v>0</v>
      </c>
      <c r="K63" s="16">
        <f>TabelaEstoque[[#This Row],[Entradas]]-TabelaEstoque[[#This Row],[Saídas]]-TabelaEstoque[[#This Row],[Percas]]</f>
        <v>0</v>
      </c>
      <c r="L63" s="18"/>
      <c r="M63" s="18"/>
      <c r="N63" s="5" t="str">
        <f>IF(TabelaEstoque[[#This Row],[Mínimo]]="","",IF(TabelaEstoque[[#This Row],[Saldo]]&lt;=TabelaEstoque[[#This Row],[Mínimo]],Ajustes!$H$5,IF(TabelaEstoque[[#This Row],[Saldo]]&gt;=TabelaEstoque[[#This Row],[Máximo]],Ajustes!$H$7,Ajustes!$H$6)))</f>
        <v/>
      </c>
    </row>
  </sheetData>
  <dataValidations count="3">
    <dataValidation type="list" allowBlank="1" showInputMessage="1" showErrorMessage="1" sqref="C3:C63" xr:uid="{00000000-0002-0000-0400-000000000000}">
      <formula1>Tipo</formula1>
    </dataValidation>
    <dataValidation type="list" allowBlank="1" showInputMessage="1" showErrorMessage="1" promptTitle="Observação" prompt="Escolha na lista suspensa." sqref="D3:D63" xr:uid="{00000000-0002-0000-0400-000001000000}">
      <formula1>Medicao</formula1>
    </dataValidation>
    <dataValidation type="list" allowBlank="1" showInputMessage="1" showErrorMessage="1" sqref="E3:E63" xr:uid="{00000000-0002-0000-0400-000002000000}">
      <formula1>CodigoFC</formula1>
    </dataValidation>
  </dataValidations>
  <pageMargins left="0.51181102362204722" right="0.51181102362204722" top="0.78740157480314965" bottom="0.78740157480314965" header="0.31496062992125984" footer="0.31496062992125984"/>
  <pageSetup paperSize="9" orientation="landscape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/>
  <dimension ref="A1:K20"/>
  <sheetViews>
    <sheetView showGridLines="0" workbookViewId="0"/>
  </sheetViews>
  <sheetFormatPr defaultColWidth="9.109375" defaultRowHeight="14.4"/>
  <cols>
    <col min="1" max="1" width="12" style="5" bestFit="1" customWidth="1"/>
    <col min="2" max="2" width="30.5546875" style="5" bestFit="1" customWidth="1"/>
    <col min="3" max="3" width="18.88671875" style="5" customWidth="1"/>
    <col min="4" max="5" width="18.5546875" style="5" customWidth="1"/>
    <col min="6" max="6" width="18.109375" style="5" customWidth="1"/>
    <col min="7" max="7" width="19" style="5" customWidth="1"/>
    <col min="8" max="9" width="19.6640625" style="5" customWidth="1"/>
    <col min="10" max="10" width="36.33203125" style="5" customWidth="1"/>
    <col min="11" max="11" width="14.6640625" style="5" customWidth="1"/>
    <col min="12" max="16384" width="9.109375" style="5"/>
  </cols>
  <sheetData>
    <row r="1" spans="1:11">
      <c r="F1" s="110"/>
      <c r="G1" s="110"/>
    </row>
    <row r="2" spans="1:11">
      <c r="F2" s="110"/>
      <c r="G2" s="110"/>
    </row>
    <row r="3" spans="1:11" s="83" customFormat="1" ht="37.5" customHeight="1">
      <c r="A3" s="82" t="s">
        <v>0</v>
      </c>
      <c r="B3" s="82" t="s">
        <v>1</v>
      </c>
      <c r="C3" s="82" t="s">
        <v>2</v>
      </c>
      <c r="D3" s="82" t="s">
        <v>3</v>
      </c>
      <c r="E3" s="82" t="s">
        <v>108</v>
      </c>
      <c r="F3" s="82" t="s">
        <v>13</v>
      </c>
      <c r="G3" s="82" t="s">
        <v>39</v>
      </c>
      <c r="H3" s="82" t="s">
        <v>14</v>
      </c>
      <c r="I3" s="82" t="s">
        <v>10</v>
      </c>
      <c r="J3" s="82" t="s">
        <v>35</v>
      </c>
      <c r="K3" s="82"/>
    </row>
    <row r="4" spans="1:11">
      <c r="A4" s="135">
        <v>1</v>
      </c>
      <c r="B4" s="5" t="str">
        <f>IF(TabelaEntradas[[#This Row],[SKU]]="","Digite o SKU ao lado",VLOOKUP(TabelaEntradas[[#This Row],[SKU]],TabelaEstoque[#All],MATCH(TabelaEstoque[[#Headers],[Descrição]],TabelaEstoque[#Headers],0),FALSE))</f>
        <v>Etiqueta de composição P</v>
      </c>
      <c r="C4" s="19" t="str">
        <f>IF(TabelaEntradas[[#This Row],[SKU]]="","",VLOOKUP(TabelaEntradas[[#This Row],[SKU]],TabelaEstoque[#All],MATCH(TabelaEstoque[[#Headers],[Tipos]],TabelaEstoque[#Headers],0),FALSE))</f>
        <v>Materia Prima</v>
      </c>
      <c r="D4" s="19" t="str">
        <f>IF(TabelaEntradas[[#This Row],[SKU]]="","",VLOOKUP(TabelaEntradas[[#This Row],[SKU]],TabelaEstoque[#All],MATCH(TabelaEstoque[[#Headers],[Medição]],TabelaEstoque[#Headers],0),FALSE))</f>
        <v>Unidade</v>
      </c>
      <c r="E4" s="134">
        <v>123456</v>
      </c>
      <c r="F4" s="20">
        <v>42226</v>
      </c>
      <c r="G4" s="20">
        <v>42241</v>
      </c>
      <c r="H4" s="21">
        <v>20</v>
      </c>
      <c r="I4" s="18">
        <v>50</v>
      </c>
      <c r="J4" s="22" t="s">
        <v>282</v>
      </c>
    </row>
    <row r="5" spans="1:11">
      <c r="A5" s="135">
        <v>1</v>
      </c>
      <c r="B5" s="5" t="str">
        <f>IF(TabelaEntradas[[#This Row],[SKU]]="","Digite o SKU ao lado",VLOOKUP(TabelaEntradas[[#This Row],[SKU]],TabelaEstoque[#All],MATCH(TabelaEstoque[[#Headers],[Descrição]],TabelaEstoque[#Headers],0),FALSE))</f>
        <v>Etiqueta de composição P</v>
      </c>
      <c r="C5" s="19" t="str">
        <f>IF(TabelaEntradas[[#This Row],[SKU]]="","",VLOOKUP(TabelaEntradas[[#This Row],[SKU]],TabelaEstoque[#All],MATCH(TabelaEstoque[[#Headers],[Tipos]],TabelaEstoque[#Headers],0),FALSE))</f>
        <v>Materia Prima</v>
      </c>
      <c r="D5" s="19" t="str">
        <f>IF(TabelaEntradas[[#This Row],[SKU]]="","",VLOOKUP(TabelaEntradas[[#This Row],[SKU]],TabelaEstoque[#All],MATCH(TabelaEstoque[[#Headers],[Medição]],TabelaEstoque[#Headers],0),FALSE))</f>
        <v>Unidade</v>
      </c>
      <c r="E5" s="134">
        <v>123456789</v>
      </c>
      <c r="F5" s="20">
        <v>42231</v>
      </c>
      <c r="G5" s="20">
        <v>42236</v>
      </c>
      <c r="H5" s="21">
        <v>20</v>
      </c>
      <c r="I5" s="18">
        <v>85</v>
      </c>
      <c r="J5" s="22" t="s">
        <v>282</v>
      </c>
    </row>
    <row r="6" spans="1:11">
      <c r="A6" s="135">
        <v>3</v>
      </c>
      <c r="B6" s="5" t="str">
        <f>IF(TabelaEntradas[[#This Row],[SKU]]="","Digite o SKU ao lado",VLOOKUP(TabelaEntradas[[#This Row],[SKU]],TabelaEstoque[#All],MATCH(TabelaEstoque[[#Headers],[Descrição]],TabelaEstoque[#Headers],0),FALSE))</f>
        <v>Etiqueta de composição G</v>
      </c>
      <c r="C6" s="19" t="str">
        <f>IF(TabelaEntradas[[#This Row],[SKU]]="","",VLOOKUP(TabelaEntradas[[#This Row],[SKU]],TabelaEstoque[#All],MATCH(TabelaEstoque[[#Headers],[Tipos]],TabelaEstoque[#Headers],0),FALSE))</f>
        <v>Materia Prima</v>
      </c>
      <c r="D6" s="19" t="str">
        <f>IF(TabelaEntradas[[#This Row],[SKU]]="","",VLOOKUP(TabelaEntradas[[#This Row],[SKU]],TabelaEstoque[#All],MATCH(TabelaEstoque[[#Headers],[Medição]],TabelaEstoque[#Headers],0),FALSE))</f>
        <v>Pacote</v>
      </c>
      <c r="E6" s="134">
        <v>12</v>
      </c>
      <c r="F6" s="20">
        <v>42228</v>
      </c>
      <c r="G6" s="20">
        <v>42277</v>
      </c>
      <c r="H6" s="21">
        <v>10</v>
      </c>
      <c r="I6" s="18">
        <v>30</v>
      </c>
      <c r="J6" s="22" t="s">
        <v>282</v>
      </c>
    </row>
    <row r="7" spans="1:11">
      <c r="A7" s="135">
        <v>4</v>
      </c>
      <c r="B7" s="5" t="str">
        <f>IF(TabelaEntradas[[#This Row],[SKU]]="","Digite o SKU ao lado",VLOOKUP(TabelaEntradas[[#This Row],[SKU]],TabelaEstoque[#All],MATCH(TabelaEstoque[[#Headers],[Descrição]],TabelaEstoque[#Headers],0),FALSE))</f>
        <v>Etiqueta de composição GG</v>
      </c>
      <c r="C7" s="19" t="str">
        <f>IF(TabelaEntradas[[#This Row],[SKU]]="","",VLOOKUP(TabelaEntradas[[#This Row],[SKU]],TabelaEstoque[#All],MATCH(TabelaEstoque[[#Headers],[Tipos]],TabelaEstoque[#Headers],0),FALSE))</f>
        <v>Materia Prima</v>
      </c>
      <c r="D7" s="19" t="str">
        <f>IF(TabelaEntradas[[#This Row],[SKU]]="","",VLOOKUP(TabelaEntradas[[#This Row],[SKU]],TabelaEstoque[#All],MATCH(TabelaEstoque[[#Headers],[Medição]],TabelaEstoque[#Headers],0),FALSE))</f>
        <v>Peça</v>
      </c>
      <c r="E7" s="134"/>
      <c r="F7" s="20"/>
      <c r="G7" s="20"/>
      <c r="H7" s="21"/>
      <c r="I7" s="18">
        <v>80</v>
      </c>
      <c r="J7" s="22"/>
    </row>
    <row r="8" spans="1:11">
      <c r="A8" s="135"/>
      <c r="B8" s="5" t="str">
        <f>IF(TabelaEntradas[[#This Row],[SKU]]="","Digite o SKU ao lado",VLOOKUP(TabelaEntradas[[#This Row],[SKU]],TabelaEstoque[#All],MATCH(TabelaEstoque[[#Headers],[Descrição]],TabelaEstoque[#Headers],0),FALSE))</f>
        <v>Digite o SKU ao lado</v>
      </c>
      <c r="C8" s="19" t="str">
        <f>IF(TabelaEntradas[[#This Row],[SKU]]="","",VLOOKUP(TabelaEntradas[[#This Row],[SKU]],TabelaEstoque[#All],MATCH(TabelaEstoque[[#Headers],[Tipos]],TabelaEstoque[#Headers],0),FALSE))</f>
        <v/>
      </c>
      <c r="D8" s="19" t="str">
        <f>IF(TabelaEntradas[[#This Row],[SKU]]="","",VLOOKUP(TabelaEntradas[[#This Row],[SKU]],TabelaEstoque[#All],MATCH(TabelaEstoque[[#Headers],[Medição]],TabelaEstoque[#Headers],0),FALSE))</f>
        <v/>
      </c>
      <c r="E8" s="134"/>
      <c r="F8" s="20"/>
      <c r="G8" s="20"/>
      <c r="H8" s="21"/>
      <c r="I8" s="18">
        <v>60</v>
      </c>
      <c r="J8" s="22"/>
    </row>
    <row r="9" spans="1:11">
      <c r="A9" s="135"/>
      <c r="B9" s="5" t="str">
        <f>IF(TabelaEntradas[[#This Row],[SKU]]="","Digite o SKU ao lado",VLOOKUP(TabelaEntradas[[#This Row],[SKU]],TabelaEstoque[#All],MATCH(TabelaEstoque[[#Headers],[Descrição]],TabelaEstoque[#Headers],0),FALSE))</f>
        <v>Digite o SKU ao lado</v>
      </c>
      <c r="C9" s="19" t="str">
        <f>IF(TabelaEntradas[[#This Row],[SKU]]="","",VLOOKUP(TabelaEntradas[[#This Row],[SKU]],TabelaEstoque[#All],MATCH(TabelaEstoque[[#Headers],[Tipos]],TabelaEstoque[#Headers],0),FALSE))</f>
        <v/>
      </c>
      <c r="D9" s="19" t="str">
        <f>IF(TabelaEntradas[[#This Row],[SKU]]="","",VLOOKUP(TabelaEntradas[[#This Row],[SKU]],TabelaEstoque[#All],MATCH(TabelaEstoque[[#Headers],[Medição]],TabelaEstoque[#Headers],0),FALSE))</f>
        <v/>
      </c>
      <c r="E9" s="134"/>
      <c r="F9" s="20"/>
      <c r="G9" s="20"/>
      <c r="H9" s="21"/>
      <c r="I9" s="18">
        <v>60</v>
      </c>
      <c r="J9" s="22"/>
    </row>
    <row r="10" spans="1:11">
      <c r="A10" s="135"/>
      <c r="B10" s="5" t="str">
        <f>IF(TabelaEntradas[[#This Row],[SKU]]="","Digite o SKU ao lado",VLOOKUP(TabelaEntradas[[#This Row],[SKU]],TabelaEstoque[#All],MATCH(TabelaEstoque[[#Headers],[Descrição]],TabelaEstoque[#Headers],0),FALSE))</f>
        <v>Digite o SKU ao lado</v>
      </c>
      <c r="C10" s="19" t="str">
        <f>IF(TabelaEntradas[[#This Row],[SKU]]="","",VLOOKUP(TabelaEntradas[[#This Row],[SKU]],TabelaEstoque[#All],MATCH(TabelaEstoque[[#Headers],[Tipos]],TabelaEstoque[#Headers],0),FALSE))</f>
        <v/>
      </c>
      <c r="D10" s="19" t="str">
        <f>IF(TabelaEntradas[[#This Row],[SKU]]="","",VLOOKUP(TabelaEntradas[[#This Row],[SKU]],TabelaEstoque[#All],MATCH(TabelaEstoque[[#Headers],[Medição]],TabelaEstoque[#Headers],0),FALSE))</f>
        <v/>
      </c>
      <c r="E10" s="134"/>
      <c r="F10" s="20"/>
      <c r="G10" s="20"/>
      <c r="H10" s="21"/>
      <c r="I10" s="18">
        <v>30</v>
      </c>
      <c r="J10" s="22"/>
    </row>
    <row r="11" spans="1:11">
      <c r="A11" s="135"/>
      <c r="B11" s="5" t="str">
        <f>IF(TabelaEntradas[[#This Row],[SKU]]="","Digite o SKU ao lado",VLOOKUP(TabelaEntradas[[#This Row],[SKU]],TabelaEstoque[#All],MATCH(TabelaEstoque[[#Headers],[Descrição]],TabelaEstoque[#Headers],0),FALSE))</f>
        <v>Digite o SKU ao lado</v>
      </c>
      <c r="C11" s="19" t="str">
        <f>IF(TabelaEntradas[[#This Row],[SKU]]="","",VLOOKUP(TabelaEntradas[[#This Row],[SKU]],TabelaEstoque[#All],MATCH(TabelaEstoque[[#Headers],[Tipos]],TabelaEstoque[#Headers],0),FALSE))</f>
        <v/>
      </c>
      <c r="D11" s="19" t="str">
        <f>IF(TabelaEntradas[[#This Row],[SKU]]="","",VLOOKUP(TabelaEntradas[[#This Row],[SKU]],TabelaEstoque[#All],MATCH(TabelaEstoque[[#Headers],[Medição]],TabelaEstoque[#Headers],0),FALSE))</f>
        <v/>
      </c>
      <c r="E11" s="134"/>
      <c r="F11" s="20"/>
      <c r="G11" s="20"/>
      <c r="H11" s="21"/>
      <c r="I11" s="18">
        <v>50</v>
      </c>
      <c r="J11" s="22"/>
    </row>
    <row r="12" spans="1:11">
      <c r="A12" s="135"/>
      <c r="B12" s="5" t="str">
        <f>IF(TabelaEntradas[[#This Row],[SKU]]="","Digite o SKU ao lado",VLOOKUP(TabelaEntradas[[#This Row],[SKU]],TabelaEstoque[#All],MATCH(TabelaEstoque[[#Headers],[Descrição]],TabelaEstoque[#Headers],0),FALSE))</f>
        <v>Digite o SKU ao lado</v>
      </c>
      <c r="C12" s="19" t="str">
        <f>IF(TabelaEntradas[[#This Row],[SKU]]="","",VLOOKUP(TabelaEntradas[[#This Row],[SKU]],TabelaEstoque[#All],MATCH(TabelaEstoque[[#Headers],[Tipos]],TabelaEstoque[#Headers],0),FALSE))</f>
        <v/>
      </c>
      <c r="D12" s="19" t="str">
        <f>IF(TabelaEntradas[[#This Row],[SKU]]="","",VLOOKUP(TabelaEntradas[[#This Row],[SKU]],TabelaEstoque[#All],MATCH(TabelaEstoque[[#Headers],[Medição]],TabelaEstoque[#Headers],0),FALSE))</f>
        <v/>
      </c>
      <c r="E12" s="134"/>
      <c r="F12" s="20"/>
      <c r="G12" s="20"/>
      <c r="H12" s="21"/>
      <c r="I12" s="18">
        <v>150</v>
      </c>
      <c r="J12" s="22"/>
    </row>
    <row r="13" spans="1:11">
      <c r="A13" s="135"/>
      <c r="B13" s="5" t="str">
        <f>IF(TabelaEntradas[[#This Row],[SKU]]="","Digite o SKU ao lado",VLOOKUP(TabelaEntradas[[#This Row],[SKU]],TabelaEstoque[#All],MATCH(TabelaEstoque[[#Headers],[Descrição]],TabelaEstoque[#Headers],0),FALSE))</f>
        <v>Digite o SKU ao lado</v>
      </c>
      <c r="C13" s="19" t="str">
        <f>IF(TabelaEntradas[[#This Row],[SKU]]="","",VLOOKUP(TabelaEntradas[[#This Row],[SKU]],TabelaEstoque[#All],MATCH(TabelaEstoque[[#Headers],[Tipos]],TabelaEstoque[#Headers],0),FALSE))</f>
        <v/>
      </c>
      <c r="D13" s="19" t="str">
        <f>IF(TabelaEntradas[[#This Row],[SKU]]="","",VLOOKUP(TabelaEntradas[[#This Row],[SKU]],TabelaEstoque[#All],MATCH(TabelaEstoque[[#Headers],[Medição]],TabelaEstoque[#Headers],0),FALSE))</f>
        <v/>
      </c>
      <c r="E13" s="134"/>
      <c r="F13" s="20"/>
      <c r="G13" s="20"/>
      <c r="H13" s="21"/>
      <c r="I13" s="18">
        <v>30</v>
      </c>
      <c r="J13" s="22"/>
    </row>
    <row r="14" spans="1:11">
      <c r="A14" s="135"/>
      <c r="B14" s="5" t="str">
        <f>IF(TabelaEntradas[[#This Row],[SKU]]="","Digite o SKU ao lado",VLOOKUP(TabelaEntradas[[#This Row],[SKU]],TabelaEstoque[#All],MATCH(TabelaEstoque[[#Headers],[Descrição]],TabelaEstoque[#Headers],0),FALSE))</f>
        <v>Digite o SKU ao lado</v>
      </c>
      <c r="C14" s="19" t="str">
        <f>IF(TabelaEntradas[[#This Row],[SKU]]="","",VLOOKUP(TabelaEntradas[[#This Row],[SKU]],TabelaEstoque[#All],MATCH(TabelaEstoque[[#Headers],[Tipos]],TabelaEstoque[#Headers],0),FALSE))</f>
        <v/>
      </c>
      <c r="D14" s="19" t="str">
        <f>IF(TabelaEntradas[[#This Row],[SKU]]="","",VLOOKUP(TabelaEntradas[[#This Row],[SKU]],TabelaEstoque[#All],MATCH(TabelaEstoque[[#Headers],[Medição]],TabelaEstoque[#Headers],0),FALSE))</f>
        <v/>
      </c>
      <c r="E14" s="134"/>
      <c r="F14" s="20"/>
      <c r="G14" s="20"/>
      <c r="H14" s="21"/>
      <c r="I14" s="18">
        <v>10</v>
      </c>
      <c r="J14" s="22"/>
    </row>
    <row r="15" spans="1:11">
      <c r="A15" s="135"/>
      <c r="B15" s="5" t="str">
        <f>IF(TabelaEntradas[[#This Row],[SKU]]="","Digite o SKU ao lado",VLOOKUP(TabelaEntradas[[#This Row],[SKU]],TabelaEstoque[#All],MATCH(TabelaEstoque[[#Headers],[Descrição]],TabelaEstoque[#Headers],0),FALSE))</f>
        <v>Digite o SKU ao lado</v>
      </c>
      <c r="C15" s="19" t="str">
        <f>IF(TabelaEntradas[[#This Row],[SKU]]="","",VLOOKUP(TabelaEntradas[[#This Row],[SKU]],TabelaEstoque[#All],MATCH(TabelaEstoque[[#Headers],[Tipos]],TabelaEstoque[#Headers],0),FALSE))</f>
        <v/>
      </c>
      <c r="D15" s="19" t="str">
        <f>IF(TabelaEntradas[[#This Row],[SKU]]="","",VLOOKUP(TabelaEntradas[[#This Row],[SKU]],TabelaEstoque[#All],MATCH(TabelaEstoque[[#Headers],[Medição]],TabelaEstoque[#Headers],0),FALSE))</f>
        <v/>
      </c>
      <c r="E15" s="134"/>
      <c r="F15" s="20"/>
      <c r="G15" s="20"/>
      <c r="H15" s="21"/>
      <c r="I15" s="18"/>
      <c r="J15" s="22"/>
    </row>
    <row r="16" spans="1:11">
      <c r="A16" s="135"/>
      <c r="B16" s="5" t="str">
        <f>IF(TabelaEntradas[[#This Row],[SKU]]="","Digite o SKU ao lado",VLOOKUP(TabelaEntradas[[#This Row],[SKU]],TabelaEstoque[#All],MATCH(TabelaEstoque[[#Headers],[Descrição]],TabelaEstoque[#Headers],0),FALSE))</f>
        <v>Digite o SKU ao lado</v>
      </c>
      <c r="C16" s="19" t="str">
        <f>IF(TabelaEntradas[[#This Row],[SKU]]="","",VLOOKUP(TabelaEntradas[[#This Row],[SKU]],TabelaEstoque[#All],MATCH(TabelaEstoque[[#Headers],[Tipos]],TabelaEstoque[#Headers],0),FALSE))</f>
        <v/>
      </c>
      <c r="D16" s="19" t="str">
        <f>IF(TabelaEntradas[[#This Row],[SKU]]="","",VLOOKUP(TabelaEntradas[[#This Row],[SKU]],TabelaEstoque[#All],MATCH(TabelaEstoque[[#Headers],[Medição]],TabelaEstoque[#Headers],0),FALSE))</f>
        <v/>
      </c>
      <c r="E16" s="134"/>
      <c r="F16" s="20"/>
      <c r="G16" s="20"/>
      <c r="H16" s="21"/>
      <c r="I16" s="18"/>
      <c r="J16" s="22"/>
    </row>
    <row r="17" spans="1:10">
      <c r="A17" s="135"/>
      <c r="B17" s="5" t="str">
        <f>IF(TabelaEntradas[[#This Row],[SKU]]="","Digite o SKU ao lado",VLOOKUP(TabelaEntradas[[#This Row],[SKU]],TabelaEstoque[#All],MATCH(TabelaEstoque[[#Headers],[Descrição]],TabelaEstoque[#Headers],0),FALSE))</f>
        <v>Digite o SKU ao lado</v>
      </c>
      <c r="C17" s="19" t="str">
        <f>IF(TabelaEntradas[[#This Row],[SKU]]="","",VLOOKUP(TabelaEntradas[[#This Row],[SKU]],TabelaEstoque[#All],MATCH(TabelaEstoque[[#Headers],[Tipos]],TabelaEstoque[#Headers],0),FALSE))</f>
        <v/>
      </c>
      <c r="D17" s="19" t="str">
        <f>IF(TabelaEntradas[[#This Row],[SKU]]="","",VLOOKUP(TabelaEntradas[[#This Row],[SKU]],TabelaEstoque[#All],MATCH(TabelaEstoque[[#Headers],[Medição]],TabelaEstoque[#Headers],0),FALSE))</f>
        <v/>
      </c>
      <c r="E17" s="134"/>
      <c r="F17" s="20"/>
      <c r="G17" s="20"/>
      <c r="H17" s="21"/>
      <c r="I17" s="18"/>
      <c r="J17" s="22"/>
    </row>
    <row r="18" spans="1:10">
      <c r="A18" s="135"/>
      <c r="B18" s="5" t="str">
        <f>IF(TabelaEntradas[[#This Row],[SKU]]="","Digite o SKU ao lado",VLOOKUP(TabelaEntradas[[#This Row],[SKU]],TabelaEstoque[#All],MATCH(TabelaEstoque[[#Headers],[Descrição]],TabelaEstoque[#Headers],0),FALSE))</f>
        <v>Digite o SKU ao lado</v>
      </c>
      <c r="C18" s="19" t="str">
        <f>IF(TabelaEntradas[[#This Row],[SKU]]="","",VLOOKUP(TabelaEntradas[[#This Row],[SKU]],TabelaEstoque[#All],MATCH(TabelaEstoque[[#Headers],[Tipos]],TabelaEstoque[#Headers],0),FALSE))</f>
        <v/>
      </c>
      <c r="D18" s="19" t="str">
        <f>IF(TabelaEntradas[[#This Row],[SKU]]="","",VLOOKUP(TabelaEntradas[[#This Row],[SKU]],TabelaEstoque[#All],MATCH(TabelaEstoque[[#Headers],[Medição]],TabelaEstoque[#Headers],0),FALSE))</f>
        <v/>
      </c>
      <c r="E18" s="134"/>
      <c r="F18" s="20"/>
      <c r="G18" s="20"/>
      <c r="H18" s="21"/>
      <c r="I18" s="18"/>
      <c r="J18" s="22"/>
    </row>
    <row r="19" spans="1:10">
      <c r="A19" s="135"/>
      <c r="B19" s="5" t="str">
        <f>IF(TabelaEntradas[[#This Row],[SKU]]="","Digite o SKU ao lado",VLOOKUP(TabelaEntradas[[#This Row],[SKU]],TabelaEstoque[#All],MATCH(TabelaEstoque[[#Headers],[Descrição]],TabelaEstoque[#Headers],0),FALSE))</f>
        <v>Digite o SKU ao lado</v>
      </c>
      <c r="C19" s="19" t="str">
        <f>IF(TabelaEntradas[[#This Row],[SKU]]="","",VLOOKUP(TabelaEntradas[[#This Row],[SKU]],TabelaEstoque[#All],MATCH(TabelaEstoque[[#Headers],[Tipos]],TabelaEstoque[#Headers],0),FALSE))</f>
        <v/>
      </c>
      <c r="D19" s="19" t="str">
        <f>IF(TabelaEntradas[[#This Row],[SKU]]="","",VLOOKUP(TabelaEntradas[[#This Row],[SKU]],TabelaEstoque[#All],MATCH(TabelaEstoque[[#Headers],[Medição]],TabelaEstoque[#Headers],0),FALSE))</f>
        <v/>
      </c>
      <c r="E19" s="134"/>
      <c r="F19" s="20"/>
      <c r="G19" s="20"/>
      <c r="H19" s="21"/>
      <c r="I19" s="18"/>
      <c r="J19" s="22"/>
    </row>
    <row r="20" spans="1:10">
      <c r="A20" s="135"/>
      <c r="B20" s="5" t="str">
        <f>IF(TabelaEntradas[[#This Row],[SKU]]="","Digite o SKU ao lado",VLOOKUP(TabelaEntradas[[#This Row],[SKU]],TabelaEstoque[#All],MATCH(TabelaEstoque[[#Headers],[Descrição]],TabelaEstoque[#Headers],0),FALSE))</f>
        <v>Digite o SKU ao lado</v>
      </c>
      <c r="C20" s="19" t="str">
        <f>IF(TabelaEntradas[[#This Row],[SKU]]="","",VLOOKUP(TabelaEntradas[[#This Row],[SKU]],TabelaEstoque[#All],MATCH(TabelaEstoque[[#Headers],[Tipos]],TabelaEstoque[#Headers],0),FALSE))</f>
        <v/>
      </c>
      <c r="D20" s="19" t="str">
        <f>IF(TabelaEntradas[[#This Row],[SKU]]="","",VLOOKUP(TabelaEntradas[[#This Row],[SKU]],TabelaEstoque[#All],MATCH(TabelaEstoque[[#Headers],[Medição]],TabelaEstoque[#Headers],0),FALSE))</f>
        <v/>
      </c>
      <c r="E20" s="134"/>
      <c r="F20" s="20"/>
      <c r="G20" s="20"/>
      <c r="H20" s="21"/>
      <c r="I20" s="18"/>
      <c r="J20" s="22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4"/>
  <dimension ref="A1:I21"/>
  <sheetViews>
    <sheetView showGridLines="0" showRowColHeaders="0" workbookViewId="0"/>
  </sheetViews>
  <sheetFormatPr defaultColWidth="9.109375" defaultRowHeight="14.4"/>
  <cols>
    <col min="1" max="1" width="17.88671875" style="5" customWidth="1"/>
    <col min="2" max="2" width="30.5546875" style="5" bestFit="1" customWidth="1"/>
    <col min="3" max="3" width="17.5546875" style="5" customWidth="1"/>
    <col min="4" max="4" width="19" style="5" bestFit="1" customWidth="1"/>
    <col min="5" max="5" width="13.109375" style="5" customWidth="1"/>
    <col min="6" max="6" width="14.6640625" style="5" customWidth="1"/>
    <col min="7" max="7" width="17.109375" style="5" customWidth="1"/>
    <col min="8" max="8" width="15.109375" style="5" customWidth="1"/>
    <col min="9" max="9" width="30.6640625" style="5" customWidth="1"/>
    <col min="10" max="16384" width="9.109375" style="5"/>
  </cols>
  <sheetData>
    <row r="1" spans="1:9" ht="30" customHeight="1"/>
    <row r="2" spans="1:9" ht="30" customHeight="1">
      <c r="A2" s="15" t="s">
        <v>0</v>
      </c>
      <c r="B2" s="15" t="s">
        <v>1</v>
      </c>
      <c r="C2" s="15" t="s">
        <v>2</v>
      </c>
      <c r="D2" s="15" t="s">
        <v>3</v>
      </c>
      <c r="E2" s="15" t="s">
        <v>15</v>
      </c>
      <c r="F2" s="15" t="s">
        <v>10</v>
      </c>
      <c r="G2" s="15" t="s">
        <v>11</v>
      </c>
      <c r="H2" s="15" t="s">
        <v>12</v>
      </c>
      <c r="I2" s="15" t="s">
        <v>35</v>
      </c>
    </row>
    <row r="3" spans="1:9">
      <c r="A3" s="135">
        <v>1</v>
      </c>
      <c r="B3" s="5" t="str">
        <f>IFERROR(IF(TabelaSaidas[[#This Row],[SKU]]="","",VLOOKUP(TabelaSaidas[[#This Row],[SKU]],TabelaEstoque[#All],MATCH(TabelaEstoque[[#Headers],[Descrição]],TabelaEstoque[#Headers],0),FALSE)),"SKU não localizado")</f>
        <v>Etiqueta de composição P</v>
      </c>
      <c r="C3" s="19" t="str">
        <f>IFERROR(IF(TabelaSaidas[[#This Row],[SKU]]="","",VLOOKUP(TabelaSaidas[[#This Row],[SKU]],TabelaEstoque[#All],MATCH(TabelaEstoque[[#Headers],[Tipos]],TabelaEstoque[#Headers],0),FALSE)),"")</f>
        <v>Materia Prima</v>
      </c>
      <c r="D3" s="19" t="str">
        <f>IFERROR(IF(TabelaSaidas[[#This Row],[SKU]]="","",VLOOKUP(TabelaSaidas[[#This Row],[SKU]],TabelaEstoque[#All],MATCH(TabelaEstoque[[#Headers],[Medição]],TabelaEstoque[#Headers],0),FALSE)),"")</f>
        <v>Unidade</v>
      </c>
      <c r="E3" s="23">
        <v>42236</v>
      </c>
      <c r="F3" s="18">
        <v>10</v>
      </c>
      <c r="G3" s="17" t="s">
        <v>40</v>
      </c>
      <c r="H3" s="17" t="s">
        <v>43</v>
      </c>
      <c r="I3" s="22" t="s">
        <v>282</v>
      </c>
    </row>
    <row r="4" spans="1:9">
      <c r="A4" s="135">
        <v>5</v>
      </c>
      <c r="B4" s="5" t="str">
        <f>IFERROR(IF(TabelaSaidas[[#This Row],[SKU]]="","",VLOOKUP(TabelaSaidas[[#This Row],[SKU]],TabelaEstoque[#All],MATCH(TabelaEstoque[[#Headers],[Descrição]],TabelaEstoque[#Headers],0),FALSE)),"SKU não localizado")</f>
        <v>camiseta</v>
      </c>
      <c r="C4" s="19" t="str">
        <f>IFERROR(IF(TabelaSaidas[[#This Row],[SKU]]="","",VLOOKUP(TabelaSaidas[[#This Row],[SKU]],TabelaEstoque[#All],MATCH(TabelaEstoque[[#Headers],[Tipos]],TabelaEstoque[#Headers],0),FALSE)),"")</f>
        <v>Produto Pronto</v>
      </c>
      <c r="D4" s="19" t="str">
        <f>IFERROR(IF(TabelaSaidas[[#This Row],[SKU]]="","",VLOOKUP(TabelaSaidas[[#This Row],[SKU]],TabelaEstoque[#All],MATCH(TabelaEstoque[[#Headers],[Medição]],TabelaEstoque[#Headers],0),FALSE)),"")</f>
        <v>Peça</v>
      </c>
      <c r="E4" s="23">
        <v>42236</v>
      </c>
      <c r="F4" s="18">
        <v>15</v>
      </c>
      <c r="G4" s="17" t="s">
        <v>40</v>
      </c>
      <c r="H4" s="17" t="s">
        <v>43</v>
      </c>
      <c r="I4" s="22" t="s">
        <v>283</v>
      </c>
    </row>
    <row r="5" spans="1:9">
      <c r="A5" s="135"/>
      <c r="B5" s="5" t="str">
        <f>IFERROR(IF(TabelaSaidas[[#This Row],[SKU]]="","",VLOOKUP(TabelaSaidas[[#This Row],[SKU]],TabelaEstoque[#All],MATCH(TabelaEstoque[[#Headers],[Descrição]],TabelaEstoque[#Headers],0),FALSE)),"SKU não localizado")</f>
        <v/>
      </c>
      <c r="C5" s="19" t="str">
        <f>IFERROR(IF(TabelaSaidas[[#This Row],[SKU]]="","",VLOOKUP(TabelaSaidas[[#This Row],[SKU]],TabelaEstoque[#All],MATCH(TabelaEstoque[[#Headers],[Tipos]],TabelaEstoque[#Headers],0),FALSE)),"")</f>
        <v/>
      </c>
      <c r="D5" s="19" t="str">
        <f>IFERROR(IF(TabelaSaidas[[#This Row],[SKU]]="","",VLOOKUP(TabelaSaidas[[#This Row],[SKU]],TabelaEstoque[#All],MATCH(TabelaEstoque[[#Headers],[Medição]],TabelaEstoque[#Headers],0),FALSE)),"")</f>
        <v/>
      </c>
      <c r="E5" s="23"/>
      <c r="F5" s="18"/>
      <c r="G5" s="17"/>
      <c r="H5" s="17"/>
      <c r="I5" s="22"/>
    </row>
    <row r="6" spans="1:9">
      <c r="A6" s="135"/>
      <c r="B6" s="5" t="str">
        <f>IFERROR(IF(TabelaSaidas[[#This Row],[SKU]]="","",VLOOKUP(TabelaSaidas[[#This Row],[SKU]],TabelaEstoque[#All],MATCH(TabelaEstoque[[#Headers],[Descrição]],TabelaEstoque[#Headers],0),FALSE)),"SKU não localizado")</f>
        <v/>
      </c>
      <c r="C6" s="19" t="str">
        <f>IFERROR(IF(TabelaSaidas[[#This Row],[SKU]]="","",VLOOKUP(TabelaSaidas[[#This Row],[SKU]],TabelaEstoque[#All],MATCH(TabelaEstoque[[#Headers],[Tipos]],TabelaEstoque[#Headers],0),FALSE)),"")</f>
        <v/>
      </c>
      <c r="D6" s="19" t="str">
        <f>IFERROR(IF(TabelaSaidas[[#This Row],[SKU]]="","",VLOOKUP(TabelaSaidas[[#This Row],[SKU]],TabelaEstoque[#All],MATCH(TabelaEstoque[[#Headers],[Medição]],TabelaEstoque[#Headers],0),FALSE)),"")</f>
        <v/>
      </c>
      <c r="E6" s="23"/>
      <c r="F6" s="18"/>
      <c r="G6" s="17"/>
      <c r="H6" s="17"/>
      <c r="I6" s="22"/>
    </row>
    <row r="7" spans="1:9">
      <c r="A7" s="135"/>
      <c r="B7" s="5" t="str">
        <f>IFERROR(IF(TabelaSaidas[[#This Row],[SKU]]="","",VLOOKUP(TabelaSaidas[[#This Row],[SKU]],TabelaEstoque[#All],MATCH(TabelaEstoque[[#Headers],[Descrição]],TabelaEstoque[#Headers],0),FALSE)),"SKU não localizado")</f>
        <v/>
      </c>
      <c r="C7" s="19" t="str">
        <f>IFERROR(IF(TabelaSaidas[[#This Row],[SKU]]="","",VLOOKUP(TabelaSaidas[[#This Row],[SKU]],TabelaEstoque[#All],MATCH(TabelaEstoque[[#Headers],[Tipos]],TabelaEstoque[#Headers],0),FALSE)),"")</f>
        <v/>
      </c>
      <c r="D7" s="19" t="str">
        <f>IFERROR(IF(TabelaSaidas[[#This Row],[SKU]]="","",VLOOKUP(TabelaSaidas[[#This Row],[SKU]],TabelaEstoque[#All],MATCH(TabelaEstoque[[#Headers],[Medição]],TabelaEstoque[#Headers],0),FALSE)),"")</f>
        <v/>
      </c>
      <c r="E7" s="23"/>
      <c r="F7" s="18"/>
      <c r="G7" s="17"/>
      <c r="H7" s="17"/>
      <c r="I7" s="22"/>
    </row>
    <row r="8" spans="1:9">
      <c r="A8" s="135"/>
      <c r="B8" s="5" t="str">
        <f>IFERROR(IF(TabelaSaidas[[#This Row],[SKU]]="","",VLOOKUP(TabelaSaidas[[#This Row],[SKU]],TabelaEstoque[#All],MATCH(TabelaEstoque[[#Headers],[Descrição]],TabelaEstoque[#Headers],0),FALSE)),"SKU não localizado")</f>
        <v/>
      </c>
      <c r="C8" s="19" t="str">
        <f>IFERROR(IF(TabelaSaidas[[#This Row],[SKU]]="","",VLOOKUP(TabelaSaidas[[#This Row],[SKU]],TabelaEstoque[#All],MATCH(TabelaEstoque[[#Headers],[Tipos]],TabelaEstoque[#Headers],0),FALSE)),"")</f>
        <v/>
      </c>
      <c r="D8" s="19" t="str">
        <f>IFERROR(IF(TabelaSaidas[[#This Row],[SKU]]="","",VLOOKUP(TabelaSaidas[[#This Row],[SKU]],TabelaEstoque[#All],MATCH(TabelaEstoque[[#Headers],[Medição]],TabelaEstoque[#Headers],0),FALSE)),"")</f>
        <v/>
      </c>
      <c r="E8" s="23"/>
      <c r="F8" s="18"/>
      <c r="G8" s="17"/>
      <c r="H8" s="17"/>
      <c r="I8" s="22"/>
    </row>
    <row r="9" spans="1:9">
      <c r="A9" s="135"/>
      <c r="B9" s="5" t="str">
        <f>IFERROR(IF(TabelaSaidas[[#This Row],[SKU]]="","",VLOOKUP(TabelaSaidas[[#This Row],[SKU]],TabelaEstoque[#All],MATCH(TabelaEstoque[[#Headers],[Descrição]],TabelaEstoque[#Headers],0),FALSE)),"SKU não localizado")</f>
        <v/>
      </c>
      <c r="C9" s="19" t="str">
        <f>IFERROR(IF(TabelaSaidas[[#This Row],[SKU]]="","",VLOOKUP(TabelaSaidas[[#This Row],[SKU]],TabelaEstoque[#All],MATCH(TabelaEstoque[[#Headers],[Tipos]],TabelaEstoque[#Headers],0),FALSE)),"")</f>
        <v/>
      </c>
      <c r="D9" s="19" t="str">
        <f>IFERROR(IF(TabelaSaidas[[#This Row],[SKU]]="","",VLOOKUP(TabelaSaidas[[#This Row],[SKU]],TabelaEstoque[#All],MATCH(TabelaEstoque[[#Headers],[Medição]],TabelaEstoque[#Headers],0),FALSE)),"")</f>
        <v/>
      </c>
      <c r="E9" s="23"/>
      <c r="F9" s="18"/>
      <c r="G9" s="17"/>
      <c r="H9" s="17"/>
      <c r="I9" s="22"/>
    </row>
    <row r="10" spans="1:9">
      <c r="A10" s="135"/>
      <c r="B10" s="5" t="str">
        <f>IFERROR(IF(TabelaSaidas[[#This Row],[SKU]]="","",VLOOKUP(TabelaSaidas[[#This Row],[SKU]],TabelaEstoque[#All],MATCH(TabelaEstoque[[#Headers],[Descrição]],TabelaEstoque[#Headers],0),FALSE)),"SKU não localizado")</f>
        <v/>
      </c>
      <c r="C10" s="19" t="str">
        <f>IFERROR(IF(TabelaSaidas[[#This Row],[SKU]]="","",VLOOKUP(TabelaSaidas[[#This Row],[SKU]],TabelaEstoque[#All],MATCH(TabelaEstoque[[#Headers],[Tipos]],TabelaEstoque[#Headers],0),FALSE)),"")</f>
        <v/>
      </c>
      <c r="D10" s="19" t="str">
        <f>IFERROR(IF(TabelaSaidas[[#This Row],[SKU]]="","",VLOOKUP(TabelaSaidas[[#This Row],[SKU]],TabelaEstoque[#All],MATCH(TabelaEstoque[[#Headers],[Medição]],TabelaEstoque[#Headers],0),FALSE)),"")</f>
        <v/>
      </c>
      <c r="E10" s="23"/>
      <c r="F10" s="18"/>
      <c r="G10" s="17"/>
      <c r="H10" s="17"/>
      <c r="I10" s="22"/>
    </row>
    <row r="11" spans="1:9">
      <c r="A11" s="135"/>
      <c r="B11" s="5" t="str">
        <f>IFERROR(IF(TabelaSaidas[[#This Row],[SKU]]="","",VLOOKUP(TabelaSaidas[[#This Row],[SKU]],TabelaEstoque[#All],MATCH(TabelaEstoque[[#Headers],[Descrição]],TabelaEstoque[#Headers],0),FALSE)),"SKU não localizado")</f>
        <v/>
      </c>
      <c r="C11" s="19" t="str">
        <f>IFERROR(IF(TabelaSaidas[[#This Row],[SKU]]="","",VLOOKUP(TabelaSaidas[[#This Row],[SKU]],TabelaEstoque[#All],MATCH(TabelaEstoque[[#Headers],[Tipos]],TabelaEstoque[#Headers],0),FALSE)),"")</f>
        <v/>
      </c>
      <c r="D11" s="19" t="str">
        <f>IFERROR(IF(TabelaSaidas[[#This Row],[SKU]]="","",VLOOKUP(TabelaSaidas[[#This Row],[SKU]],TabelaEstoque[#All],MATCH(TabelaEstoque[[#Headers],[Medição]],TabelaEstoque[#Headers],0),FALSE)),"")</f>
        <v/>
      </c>
      <c r="E11" s="23"/>
      <c r="F11" s="18"/>
      <c r="G11" s="17"/>
      <c r="H11" s="17"/>
      <c r="I11" s="22"/>
    </row>
    <row r="12" spans="1:9">
      <c r="A12" s="135"/>
      <c r="B12" s="5" t="str">
        <f>IFERROR(IF(TabelaSaidas[[#This Row],[SKU]]="","",VLOOKUP(TabelaSaidas[[#This Row],[SKU]],TabelaEstoque[#All],MATCH(TabelaEstoque[[#Headers],[Descrição]],TabelaEstoque[#Headers],0),FALSE)),"SKU não localizado")</f>
        <v/>
      </c>
      <c r="C12" s="19" t="str">
        <f>IFERROR(IF(TabelaSaidas[[#This Row],[SKU]]="","",VLOOKUP(TabelaSaidas[[#This Row],[SKU]],TabelaEstoque[#All],MATCH(TabelaEstoque[[#Headers],[Tipos]],TabelaEstoque[#Headers],0),FALSE)),"")</f>
        <v/>
      </c>
      <c r="D12" s="19" t="str">
        <f>IFERROR(IF(TabelaSaidas[[#This Row],[SKU]]="","",VLOOKUP(TabelaSaidas[[#This Row],[SKU]],TabelaEstoque[#All],MATCH(TabelaEstoque[[#Headers],[Medição]],TabelaEstoque[#Headers],0),FALSE)),"")</f>
        <v/>
      </c>
      <c r="E12" s="23"/>
      <c r="F12" s="18"/>
      <c r="G12" s="17"/>
      <c r="H12" s="17"/>
      <c r="I12" s="22"/>
    </row>
    <row r="13" spans="1:9">
      <c r="A13" s="135"/>
      <c r="B13" s="5" t="str">
        <f>IFERROR(IF(TabelaSaidas[[#This Row],[SKU]]="","",VLOOKUP(TabelaSaidas[[#This Row],[SKU]],TabelaEstoque[#All],MATCH(TabelaEstoque[[#Headers],[Descrição]],TabelaEstoque[#Headers],0),FALSE)),"SKU não localizado")</f>
        <v/>
      </c>
      <c r="C13" s="19" t="str">
        <f>IFERROR(IF(TabelaSaidas[[#This Row],[SKU]]="","",VLOOKUP(TabelaSaidas[[#This Row],[SKU]],TabelaEstoque[#All],MATCH(TabelaEstoque[[#Headers],[Tipos]],TabelaEstoque[#Headers],0),FALSE)),"")</f>
        <v/>
      </c>
      <c r="D13" s="19" t="str">
        <f>IFERROR(IF(TabelaSaidas[[#This Row],[SKU]]="","",VLOOKUP(TabelaSaidas[[#This Row],[SKU]],TabelaEstoque[#All],MATCH(TabelaEstoque[[#Headers],[Medição]],TabelaEstoque[#Headers],0),FALSE)),"")</f>
        <v/>
      </c>
      <c r="E13" s="23"/>
      <c r="F13" s="18"/>
      <c r="G13" s="17"/>
      <c r="H13" s="17"/>
      <c r="I13" s="22"/>
    </row>
    <row r="14" spans="1:9">
      <c r="A14" s="135"/>
      <c r="B14" s="5" t="str">
        <f>IFERROR(IF(TabelaSaidas[[#This Row],[SKU]]="","",VLOOKUP(TabelaSaidas[[#This Row],[SKU]],TabelaEstoque[#All],MATCH(TabelaEstoque[[#Headers],[Descrição]],TabelaEstoque[#Headers],0),FALSE)),"SKU não localizado")</f>
        <v/>
      </c>
      <c r="C14" s="19" t="str">
        <f>IFERROR(IF(TabelaSaidas[[#This Row],[SKU]]="","",VLOOKUP(TabelaSaidas[[#This Row],[SKU]],TabelaEstoque[#All],MATCH(TabelaEstoque[[#Headers],[Tipos]],TabelaEstoque[#Headers],0),FALSE)),"")</f>
        <v/>
      </c>
      <c r="D14" s="19" t="str">
        <f>IFERROR(IF(TabelaSaidas[[#This Row],[SKU]]="","",VLOOKUP(TabelaSaidas[[#This Row],[SKU]],TabelaEstoque[#All],MATCH(TabelaEstoque[[#Headers],[Medição]],TabelaEstoque[#Headers],0),FALSE)),"")</f>
        <v/>
      </c>
      <c r="E14" s="23"/>
      <c r="F14" s="18"/>
      <c r="G14" s="17"/>
      <c r="H14" s="17"/>
      <c r="I14" s="22"/>
    </row>
    <row r="15" spans="1:9">
      <c r="A15" s="135"/>
      <c r="B15" s="5" t="str">
        <f>IFERROR(IF(TabelaSaidas[[#This Row],[SKU]]="","",VLOOKUP(TabelaSaidas[[#This Row],[SKU]],TabelaEstoque[#All],MATCH(TabelaEstoque[[#Headers],[Descrição]],TabelaEstoque[#Headers],0),FALSE)),"SKU não localizado")</f>
        <v/>
      </c>
      <c r="C15" s="19" t="str">
        <f>IFERROR(IF(TabelaSaidas[[#This Row],[SKU]]="","",VLOOKUP(TabelaSaidas[[#This Row],[SKU]],TabelaEstoque[#All],MATCH(TabelaEstoque[[#Headers],[Tipos]],TabelaEstoque[#Headers],0),FALSE)),"")</f>
        <v/>
      </c>
      <c r="D15" s="19" t="str">
        <f>IFERROR(IF(TabelaSaidas[[#This Row],[SKU]]="","",VLOOKUP(TabelaSaidas[[#This Row],[SKU]],TabelaEstoque[#All],MATCH(TabelaEstoque[[#Headers],[Medição]],TabelaEstoque[#Headers],0),FALSE)),"")</f>
        <v/>
      </c>
      <c r="E15" s="23"/>
      <c r="F15" s="18"/>
      <c r="G15" s="17"/>
      <c r="H15" s="17"/>
      <c r="I15" s="22"/>
    </row>
    <row r="16" spans="1:9">
      <c r="A16" s="135"/>
      <c r="B16" s="5" t="str">
        <f>IFERROR(IF(TabelaSaidas[[#This Row],[SKU]]="","",VLOOKUP(TabelaSaidas[[#This Row],[SKU]],TabelaEstoque[#All],MATCH(TabelaEstoque[[#Headers],[Descrição]],TabelaEstoque[#Headers],0),FALSE)),"SKU não localizado")</f>
        <v/>
      </c>
      <c r="C16" s="19" t="str">
        <f>IFERROR(IF(TabelaSaidas[[#This Row],[SKU]]="","",VLOOKUP(TabelaSaidas[[#This Row],[SKU]],TabelaEstoque[#All],MATCH(TabelaEstoque[[#Headers],[Tipos]],TabelaEstoque[#Headers],0),FALSE)),"")</f>
        <v/>
      </c>
      <c r="D16" s="19" t="str">
        <f>IFERROR(IF(TabelaSaidas[[#This Row],[SKU]]="","",VLOOKUP(TabelaSaidas[[#This Row],[SKU]],TabelaEstoque[#All],MATCH(TabelaEstoque[[#Headers],[Medição]],TabelaEstoque[#Headers],0),FALSE)),"")</f>
        <v/>
      </c>
      <c r="E16" s="23"/>
      <c r="F16" s="18"/>
      <c r="G16" s="17"/>
      <c r="H16" s="17"/>
      <c r="I16" s="22"/>
    </row>
    <row r="17" spans="1:9">
      <c r="A17" s="135"/>
      <c r="B17" s="5" t="str">
        <f>IFERROR(IF(TabelaSaidas[[#This Row],[SKU]]="","",VLOOKUP(TabelaSaidas[[#This Row],[SKU]],TabelaEstoque[#All],MATCH(TabelaEstoque[[#Headers],[Descrição]],TabelaEstoque[#Headers],0),FALSE)),"SKU não localizado")</f>
        <v/>
      </c>
      <c r="C17" s="19" t="str">
        <f>IFERROR(IF(TabelaSaidas[[#This Row],[SKU]]="","",VLOOKUP(TabelaSaidas[[#This Row],[SKU]],TabelaEstoque[#All],MATCH(TabelaEstoque[[#Headers],[Tipos]],TabelaEstoque[#Headers],0),FALSE)),"")</f>
        <v/>
      </c>
      <c r="D17" s="19" t="str">
        <f>IFERROR(IF(TabelaSaidas[[#This Row],[SKU]]="","",VLOOKUP(TabelaSaidas[[#This Row],[SKU]],TabelaEstoque[#All],MATCH(TabelaEstoque[[#Headers],[Medição]],TabelaEstoque[#Headers],0),FALSE)),"")</f>
        <v/>
      </c>
      <c r="E17" s="23"/>
      <c r="F17" s="18"/>
      <c r="G17" s="17"/>
      <c r="H17" s="17"/>
      <c r="I17" s="22"/>
    </row>
    <row r="18" spans="1:9">
      <c r="A18" s="135"/>
      <c r="B18" s="5" t="str">
        <f>IFERROR(IF(TabelaSaidas[[#This Row],[SKU]]="","",VLOOKUP(TabelaSaidas[[#This Row],[SKU]],TabelaEstoque[#All],MATCH(TabelaEstoque[[#Headers],[Descrição]],TabelaEstoque[#Headers],0),FALSE)),"SKU não localizado")</f>
        <v/>
      </c>
      <c r="C18" s="19" t="str">
        <f>IFERROR(IF(TabelaSaidas[[#This Row],[SKU]]="","",VLOOKUP(TabelaSaidas[[#This Row],[SKU]],TabelaEstoque[#All],MATCH(TabelaEstoque[[#Headers],[Tipos]],TabelaEstoque[#Headers],0),FALSE)),"")</f>
        <v/>
      </c>
      <c r="D18" s="19" t="str">
        <f>IFERROR(IF(TabelaSaidas[[#This Row],[SKU]]="","",VLOOKUP(TabelaSaidas[[#This Row],[SKU]],TabelaEstoque[#All],MATCH(TabelaEstoque[[#Headers],[Medição]],TabelaEstoque[#Headers],0),FALSE)),"")</f>
        <v/>
      </c>
      <c r="E18" s="23"/>
      <c r="F18" s="18"/>
      <c r="G18" s="17"/>
      <c r="H18" s="17"/>
      <c r="I18" s="22"/>
    </row>
    <row r="19" spans="1:9">
      <c r="A19" s="135"/>
      <c r="B19" s="5" t="str">
        <f>IFERROR(IF(TabelaSaidas[[#This Row],[SKU]]="","",VLOOKUP(TabelaSaidas[[#This Row],[SKU]],TabelaEstoque[#All],MATCH(TabelaEstoque[[#Headers],[Descrição]],TabelaEstoque[#Headers],0),FALSE)),"SKU não localizado")</f>
        <v/>
      </c>
      <c r="C19" s="19" t="str">
        <f>IFERROR(IF(TabelaSaidas[[#This Row],[SKU]]="","",VLOOKUP(TabelaSaidas[[#This Row],[SKU]],TabelaEstoque[#All],MATCH(TabelaEstoque[[#Headers],[Tipos]],TabelaEstoque[#Headers],0),FALSE)),"")</f>
        <v/>
      </c>
      <c r="D19" s="19" t="str">
        <f>IFERROR(IF(TabelaSaidas[[#This Row],[SKU]]="","",VLOOKUP(TabelaSaidas[[#This Row],[SKU]],TabelaEstoque[#All],MATCH(TabelaEstoque[[#Headers],[Medição]],TabelaEstoque[#Headers],0),FALSE)),"")</f>
        <v/>
      </c>
      <c r="E19" s="23"/>
      <c r="F19" s="18"/>
      <c r="G19" s="17"/>
      <c r="H19" s="17"/>
      <c r="I19" s="22"/>
    </row>
    <row r="20" spans="1:9">
      <c r="A20" s="135"/>
      <c r="B20" s="5" t="str">
        <f>IFERROR(IF(TabelaSaidas[[#This Row],[SKU]]="","",VLOOKUP(TabelaSaidas[[#This Row],[SKU]],TabelaEstoque[#All],MATCH(TabelaEstoque[[#Headers],[Descrição]],TabelaEstoque[#Headers],0),FALSE)),"SKU não localizado")</f>
        <v/>
      </c>
      <c r="C20" s="19" t="str">
        <f>IFERROR(IF(TabelaSaidas[[#This Row],[SKU]]="","",VLOOKUP(TabelaSaidas[[#This Row],[SKU]],TabelaEstoque[#All],MATCH(TabelaEstoque[[#Headers],[Tipos]],TabelaEstoque[#Headers],0),FALSE)),"")</f>
        <v/>
      </c>
      <c r="D20" s="19" t="str">
        <f>IFERROR(IF(TabelaSaidas[[#This Row],[SKU]]="","",VLOOKUP(TabelaSaidas[[#This Row],[SKU]],TabelaEstoque[#All],MATCH(TabelaEstoque[[#Headers],[Medição]],TabelaEstoque[#Headers],0),FALSE)),"")</f>
        <v/>
      </c>
      <c r="E20" s="23"/>
      <c r="F20" s="18"/>
      <c r="G20" s="17"/>
      <c r="H20" s="17"/>
      <c r="I20" s="22"/>
    </row>
    <row r="21" spans="1:9">
      <c r="A21" s="135"/>
      <c r="B21" s="5" t="str">
        <f>IFERROR(IF(TabelaSaidas[[#This Row],[SKU]]="","",VLOOKUP(TabelaSaidas[[#This Row],[SKU]],TabelaEstoque[#All],MATCH(TabelaEstoque[[#Headers],[Descrição]],TabelaEstoque[#Headers],0),FALSE)),"SKU não localizado")</f>
        <v/>
      </c>
      <c r="C21" s="19" t="str">
        <f>IFERROR(IF(TabelaSaidas[[#This Row],[SKU]]="","",VLOOKUP(TabelaSaidas[[#This Row],[SKU]],TabelaEstoque[#All],MATCH(TabelaEstoque[[#Headers],[Tipos]],TabelaEstoque[#Headers],0),FALSE)),"")</f>
        <v/>
      </c>
      <c r="D21" s="19" t="str">
        <f>IFERROR(IF(TabelaSaidas[[#This Row],[SKU]]="","",VLOOKUP(TabelaSaidas[[#This Row],[SKU]],TabelaEstoque[#All],MATCH(TabelaEstoque[[#Headers],[Medição]],TabelaEstoque[#Headers],0),FALSE)),"")</f>
        <v/>
      </c>
      <c r="E21" s="23"/>
      <c r="F21" s="18"/>
      <c r="G21" s="17"/>
      <c r="H21" s="17"/>
      <c r="I21" s="22"/>
    </row>
  </sheetData>
  <dataValidations count="1">
    <dataValidation type="list" allowBlank="1" showInputMessage="1" showErrorMessage="1" sqref="H3:H21" xr:uid="{00000000-0002-0000-0600-000000000000}">
      <formula1>setores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5"/>
  <dimension ref="A1:H20"/>
  <sheetViews>
    <sheetView showGridLines="0" workbookViewId="0"/>
  </sheetViews>
  <sheetFormatPr defaultColWidth="9.109375" defaultRowHeight="14.4"/>
  <cols>
    <col min="1" max="1" width="9.109375" style="5"/>
    <col min="2" max="2" width="20.44140625" style="5" bestFit="1" customWidth="1"/>
    <col min="3" max="3" width="9.109375" style="5"/>
    <col min="4" max="4" width="11.5546875" style="5" customWidth="1"/>
    <col min="5" max="5" width="10.6640625" style="5" bestFit="1" customWidth="1"/>
    <col min="6" max="6" width="14.6640625" style="5" customWidth="1"/>
    <col min="7" max="7" width="30.33203125" style="5" customWidth="1"/>
    <col min="8" max="16384" width="9.109375" style="5"/>
  </cols>
  <sheetData>
    <row r="1" spans="1:8" ht="30" customHeight="1"/>
    <row r="2" spans="1:8" ht="30" customHeight="1">
      <c r="A2" s="15" t="s">
        <v>0</v>
      </c>
      <c r="B2" s="15" t="s">
        <v>1</v>
      </c>
      <c r="C2" s="15" t="s">
        <v>2</v>
      </c>
      <c r="D2" s="15" t="s">
        <v>3</v>
      </c>
      <c r="E2" s="15" t="s">
        <v>15</v>
      </c>
      <c r="F2" s="15" t="s">
        <v>10</v>
      </c>
      <c r="G2" s="15" t="s">
        <v>16</v>
      </c>
      <c r="H2" s="15"/>
    </row>
    <row r="3" spans="1:8">
      <c r="A3" s="135">
        <v>1</v>
      </c>
      <c r="B3" s="5" t="str">
        <f>IFERROR(IF(TabelaPercas[[#This Row],[SKU]]="","",VLOOKUP(TabelaPercas[[#This Row],[SKU]],TabelaEstoque[#All],MATCH(TabelaEstoque[[#Headers],[Descrição]],TabelaEstoque[#Headers],0),FALSE)),"SKU não localizado")</f>
        <v>Etiqueta de composição P</v>
      </c>
      <c r="C3" s="19" t="str">
        <f>IFERROR(IF(TabelaPercas[[#This Row],[SKU]]="","",VLOOKUP(TabelaPercas[[#This Row],[SKU]],TabelaEstoque[#All],MATCH(TabelaEstoque[[#Headers],[Tipos]],TabelaEstoque[#Headers],0),FALSE)),"")</f>
        <v>Materia Prima</v>
      </c>
      <c r="D3" s="19" t="str">
        <f>IFERROR(IF(TabelaPercas[[#This Row],[SKU]]="","",VLOOKUP(TabelaPercas[[#This Row],[SKU]],TabelaEstoque[#All],MATCH(TabelaEstoque[[#Headers],[Medição]],TabelaEstoque[#Headers],0),FALSE)),"")</f>
        <v>Unidade</v>
      </c>
      <c r="E3" s="20">
        <v>42241</v>
      </c>
      <c r="F3" s="18">
        <v>15</v>
      </c>
      <c r="G3" s="22" t="s">
        <v>36</v>
      </c>
    </row>
    <row r="4" spans="1:8">
      <c r="A4" s="135">
        <v>2</v>
      </c>
      <c r="B4" s="5" t="str">
        <f>IFERROR(IF(TabelaPercas[[#This Row],[SKU]]="","",VLOOKUP(TabelaPercas[[#This Row],[SKU]],TabelaEstoque[#All],MATCH(TabelaEstoque[[#Headers],[Descrição]],TabelaEstoque[#Headers],0),FALSE)),"SKU não localizado")</f>
        <v>Etiqueta de composição M</v>
      </c>
      <c r="C4" s="19" t="str">
        <f>IFERROR(IF(TabelaPercas[[#This Row],[SKU]]="","",VLOOKUP(TabelaPercas[[#This Row],[SKU]],TabelaEstoque[#All],MATCH(TabelaEstoque[[#Headers],[Tipos]],TabelaEstoque[#Headers],0),FALSE)),"")</f>
        <v>Materia Prima</v>
      </c>
      <c r="D4" s="19" t="str">
        <f>IFERROR(IF(TabelaPercas[[#This Row],[SKU]]="","",VLOOKUP(TabelaPercas[[#This Row],[SKU]],TabelaEstoque[#All],MATCH(TabelaEstoque[[#Headers],[Medição]],TabelaEstoque[#Headers],0),FALSE)),"")</f>
        <v>Unidade</v>
      </c>
      <c r="E4" s="20"/>
      <c r="F4" s="18"/>
      <c r="G4" s="22"/>
    </row>
    <row r="5" spans="1:8">
      <c r="A5" s="135"/>
      <c r="B5" s="5" t="str">
        <f>IFERROR(IF(TabelaPercas[[#This Row],[SKU]]="","",VLOOKUP(TabelaPercas[[#This Row],[SKU]],TabelaEstoque[#All],MATCH(TabelaEstoque[[#Headers],[Descrição]],TabelaEstoque[#Headers],0),FALSE)),"SKU não localizado")</f>
        <v/>
      </c>
      <c r="C5" s="19" t="str">
        <f>IFERROR(IF(TabelaPercas[[#This Row],[SKU]]="","",VLOOKUP(TabelaPercas[[#This Row],[SKU]],TabelaEstoque[#All],MATCH(TabelaEstoque[[#Headers],[Tipos]],TabelaEstoque[#Headers],0),FALSE)),"")</f>
        <v/>
      </c>
      <c r="D5" s="19" t="str">
        <f>IFERROR(IF(TabelaPercas[[#This Row],[SKU]]="","",VLOOKUP(TabelaPercas[[#This Row],[SKU]],TabelaEstoque[#All],MATCH(TabelaEstoque[[#Headers],[Medição]],TabelaEstoque[#Headers],0),FALSE)),"")</f>
        <v/>
      </c>
      <c r="E5" s="20"/>
      <c r="F5" s="18"/>
      <c r="G5" s="22"/>
    </row>
    <row r="6" spans="1:8">
      <c r="A6" s="135"/>
      <c r="B6" s="5" t="str">
        <f>IFERROR(IF(TabelaPercas[[#This Row],[SKU]]="","",VLOOKUP(TabelaPercas[[#This Row],[SKU]],TabelaEstoque[#All],MATCH(TabelaEstoque[[#Headers],[Descrição]],TabelaEstoque[#Headers],0),FALSE)),"SKU não localizado")</f>
        <v/>
      </c>
      <c r="C6" s="19" t="str">
        <f>IFERROR(IF(TabelaPercas[[#This Row],[SKU]]="","",VLOOKUP(TabelaPercas[[#This Row],[SKU]],TabelaEstoque[#All],MATCH(TabelaEstoque[[#Headers],[Tipos]],TabelaEstoque[#Headers],0),FALSE)),"")</f>
        <v/>
      </c>
      <c r="D6" s="19" t="str">
        <f>IFERROR(IF(TabelaPercas[[#This Row],[SKU]]="","",VLOOKUP(TabelaPercas[[#This Row],[SKU]],TabelaEstoque[#All],MATCH(TabelaEstoque[[#Headers],[Medição]],TabelaEstoque[#Headers],0),FALSE)),"")</f>
        <v/>
      </c>
      <c r="E6" s="20"/>
      <c r="F6" s="18"/>
      <c r="G6" s="22"/>
    </row>
    <row r="7" spans="1:8">
      <c r="A7" s="135"/>
      <c r="B7" s="5" t="str">
        <f>IFERROR(IF(TabelaPercas[[#This Row],[SKU]]="","",VLOOKUP(TabelaPercas[[#This Row],[SKU]],TabelaEstoque[#All],MATCH(TabelaEstoque[[#Headers],[Descrição]],TabelaEstoque[#Headers],0),FALSE)),"SKU não localizado")</f>
        <v/>
      </c>
      <c r="C7" s="19" t="str">
        <f>IFERROR(IF(TabelaPercas[[#This Row],[SKU]]="","",VLOOKUP(TabelaPercas[[#This Row],[SKU]],TabelaEstoque[#All],MATCH(TabelaEstoque[[#Headers],[Tipos]],TabelaEstoque[#Headers],0),FALSE)),"")</f>
        <v/>
      </c>
      <c r="D7" s="19" t="str">
        <f>IFERROR(IF(TabelaPercas[[#This Row],[SKU]]="","",VLOOKUP(TabelaPercas[[#This Row],[SKU]],TabelaEstoque[#All],MATCH(TabelaEstoque[[#Headers],[Medição]],TabelaEstoque[#Headers],0),FALSE)),"")</f>
        <v/>
      </c>
      <c r="E7" s="20"/>
      <c r="F7" s="18"/>
      <c r="G7" s="22"/>
    </row>
    <row r="8" spans="1:8">
      <c r="A8" s="135"/>
      <c r="B8" s="5" t="str">
        <f>IFERROR(IF(TabelaPercas[[#This Row],[SKU]]="","",VLOOKUP(TabelaPercas[[#This Row],[SKU]],TabelaEstoque[#All],MATCH(TabelaEstoque[[#Headers],[Descrição]],TabelaEstoque[#Headers],0),FALSE)),"SKU não localizado")</f>
        <v/>
      </c>
      <c r="C8" s="19" t="str">
        <f>IFERROR(IF(TabelaPercas[[#This Row],[SKU]]="","",VLOOKUP(TabelaPercas[[#This Row],[SKU]],TabelaEstoque[#All],MATCH(TabelaEstoque[[#Headers],[Tipos]],TabelaEstoque[#Headers],0),FALSE)),"")</f>
        <v/>
      </c>
      <c r="D8" s="19" t="str">
        <f>IFERROR(IF(TabelaPercas[[#This Row],[SKU]]="","",VLOOKUP(TabelaPercas[[#This Row],[SKU]],TabelaEstoque[#All],MATCH(TabelaEstoque[[#Headers],[Medição]],TabelaEstoque[#Headers],0),FALSE)),"")</f>
        <v/>
      </c>
      <c r="E8" s="20"/>
      <c r="F8" s="18"/>
      <c r="G8" s="22"/>
    </row>
    <row r="9" spans="1:8">
      <c r="A9" s="135"/>
      <c r="B9" s="5" t="str">
        <f>IFERROR(IF(TabelaPercas[[#This Row],[SKU]]="","",VLOOKUP(TabelaPercas[[#This Row],[SKU]],TabelaEstoque[#All],MATCH(TabelaEstoque[[#Headers],[Descrição]],TabelaEstoque[#Headers],0),FALSE)),"SKU não localizado")</f>
        <v/>
      </c>
      <c r="C9" s="19" t="str">
        <f>IFERROR(IF(TabelaPercas[[#This Row],[SKU]]="","",VLOOKUP(TabelaPercas[[#This Row],[SKU]],TabelaEstoque[#All],MATCH(TabelaEstoque[[#Headers],[Tipos]],TabelaEstoque[#Headers],0),FALSE)),"")</f>
        <v/>
      </c>
      <c r="D9" s="19" t="str">
        <f>IFERROR(IF(TabelaPercas[[#This Row],[SKU]]="","",VLOOKUP(TabelaPercas[[#This Row],[SKU]],TabelaEstoque[#All],MATCH(TabelaEstoque[[#Headers],[Medição]],TabelaEstoque[#Headers],0),FALSE)),"")</f>
        <v/>
      </c>
      <c r="E9" s="20"/>
      <c r="F9" s="18"/>
      <c r="G9" s="22"/>
    </row>
    <row r="10" spans="1:8">
      <c r="A10" s="135"/>
      <c r="B10" s="5" t="str">
        <f>IFERROR(IF(TabelaPercas[[#This Row],[SKU]]="","",VLOOKUP(TabelaPercas[[#This Row],[SKU]],TabelaEstoque[#All],MATCH(TabelaEstoque[[#Headers],[Descrição]],TabelaEstoque[#Headers],0),FALSE)),"SKU não localizado")</f>
        <v/>
      </c>
      <c r="C10" s="19" t="str">
        <f>IFERROR(IF(TabelaPercas[[#This Row],[SKU]]="","",VLOOKUP(TabelaPercas[[#This Row],[SKU]],TabelaEstoque[#All],MATCH(TabelaEstoque[[#Headers],[Tipos]],TabelaEstoque[#Headers],0),FALSE)),"")</f>
        <v/>
      </c>
      <c r="D10" s="19" t="str">
        <f>IFERROR(IF(TabelaPercas[[#This Row],[SKU]]="","",VLOOKUP(TabelaPercas[[#This Row],[SKU]],TabelaEstoque[#All],MATCH(TabelaEstoque[[#Headers],[Medição]],TabelaEstoque[#Headers],0),FALSE)),"")</f>
        <v/>
      </c>
      <c r="E10" s="20"/>
      <c r="F10" s="18"/>
      <c r="G10" s="22"/>
    </row>
    <row r="11" spans="1:8">
      <c r="A11" s="135"/>
      <c r="B11" s="5" t="str">
        <f>IFERROR(IF(TabelaPercas[[#This Row],[SKU]]="","",VLOOKUP(TabelaPercas[[#This Row],[SKU]],TabelaEstoque[#All],MATCH(TabelaEstoque[[#Headers],[Descrição]],TabelaEstoque[#Headers],0),FALSE)),"SKU não localizado")</f>
        <v/>
      </c>
      <c r="C11" s="19" t="str">
        <f>IFERROR(IF(TabelaPercas[[#This Row],[SKU]]="","",VLOOKUP(TabelaPercas[[#This Row],[SKU]],TabelaEstoque[#All],MATCH(TabelaEstoque[[#Headers],[Tipos]],TabelaEstoque[#Headers],0),FALSE)),"")</f>
        <v/>
      </c>
      <c r="D11" s="19" t="str">
        <f>IFERROR(IF(TabelaPercas[[#This Row],[SKU]]="","",VLOOKUP(TabelaPercas[[#This Row],[SKU]],TabelaEstoque[#All],MATCH(TabelaEstoque[[#Headers],[Medição]],TabelaEstoque[#Headers],0),FALSE)),"")</f>
        <v/>
      </c>
      <c r="E11" s="20"/>
      <c r="F11" s="18"/>
      <c r="G11" s="22"/>
    </row>
    <row r="12" spans="1:8">
      <c r="A12" s="135"/>
      <c r="B12" s="5" t="str">
        <f>IFERROR(IF(TabelaPercas[[#This Row],[SKU]]="","",VLOOKUP(TabelaPercas[[#This Row],[SKU]],TabelaEstoque[#All],MATCH(TabelaEstoque[[#Headers],[Descrição]],TabelaEstoque[#Headers],0),FALSE)),"SKU não localizado")</f>
        <v/>
      </c>
      <c r="C12" s="19" t="str">
        <f>IFERROR(IF(TabelaPercas[[#This Row],[SKU]]="","",VLOOKUP(TabelaPercas[[#This Row],[SKU]],TabelaEstoque[#All],MATCH(TabelaEstoque[[#Headers],[Tipos]],TabelaEstoque[#Headers],0),FALSE)),"")</f>
        <v/>
      </c>
      <c r="D12" s="19" t="str">
        <f>IFERROR(IF(TabelaPercas[[#This Row],[SKU]]="","",VLOOKUP(TabelaPercas[[#This Row],[SKU]],TabelaEstoque[#All],MATCH(TabelaEstoque[[#Headers],[Medição]],TabelaEstoque[#Headers],0),FALSE)),"")</f>
        <v/>
      </c>
      <c r="E12" s="20"/>
      <c r="F12" s="18"/>
      <c r="G12" s="22"/>
    </row>
    <row r="13" spans="1:8">
      <c r="A13" s="135"/>
      <c r="B13" s="5" t="str">
        <f>IFERROR(IF(TabelaPercas[[#This Row],[SKU]]="","",VLOOKUP(TabelaPercas[[#This Row],[SKU]],TabelaEstoque[#All],MATCH(TabelaEstoque[[#Headers],[Descrição]],TabelaEstoque[#Headers],0),FALSE)),"SKU não localizado")</f>
        <v/>
      </c>
      <c r="C13" s="19" t="str">
        <f>IFERROR(IF(TabelaPercas[[#This Row],[SKU]]="","",VLOOKUP(TabelaPercas[[#This Row],[SKU]],TabelaEstoque[#All],MATCH(TabelaEstoque[[#Headers],[Tipos]],TabelaEstoque[#Headers],0),FALSE)),"")</f>
        <v/>
      </c>
      <c r="D13" s="19" t="str">
        <f>IFERROR(IF(TabelaPercas[[#This Row],[SKU]]="","",VLOOKUP(TabelaPercas[[#This Row],[SKU]],TabelaEstoque[#All],MATCH(TabelaEstoque[[#Headers],[Medição]],TabelaEstoque[#Headers],0),FALSE)),"")</f>
        <v/>
      </c>
      <c r="E13" s="20"/>
      <c r="F13" s="18"/>
      <c r="G13" s="22"/>
    </row>
    <row r="14" spans="1:8">
      <c r="A14" s="135"/>
      <c r="B14" s="5" t="str">
        <f>IFERROR(IF(TabelaPercas[[#This Row],[SKU]]="","",VLOOKUP(TabelaPercas[[#This Row],[SKU]],TabelaEstoque[#All],MATCH(TabelaEstoque[[#Headers],[Descrição]],TabelaEstoque[#Headers],0),FALSE)),"SKU não localizado")</f>
        <v/>
      </c>
      <c r="C14" s="19" t="str">
        <f>IFERROR(IF(TabelaPercas[[#This Row],[SKU]]="","",VLOOKUP(TabelaPercas[[#This Row],[SKU]],TabelaEstoque[#All],MATCH(TabelaEstoque[[#Headers],[Tipos]],TabelaEstoque[#Headers],0),FALSE)),"")</f>
        <v/>
      </c>
      <c r="D14" s="19" t="str">
        <f>IFERROR(IF(TabelaPercas[[#This Row],[SKU]]="","",VLOOKUP(TabelaPercas[[#This Row],[SKU]],TabelaEstoque[#All],MATCH(TabelaEstoque[[#Headers],[Medição]],TabelaEstoque[#Headers],0),FALSE)),"")</f>
        <v/>
      </c>
      <c r="E14" s="20"/>
      <c r="F14" s="18"/>
      <c r="G14" s="22"/>
    </row>
    <row r="15" spans="1:8">
      <c r="A15" s="135"/>
      <c r="B15" s="5" t="str">
        <f>IFERROR(IF(TabelaPercas[[#This Row],[SKU]]="","",VLOOKUP(TabelaPercas[[#This Row],[SKU]],TabelaEstoque[#All],MATCH(TabelaEstoque[[#Headers],[Descrição]],TabelaEstoque[#Headers],0),FALSE)),"SKU não localizado")</f>
        <v/>
      </c>
      <c r="C15" s="19" t="str">
        <f>IFERROR(IF(TabelaPercas[[#This Row],[SKU]]="","",VLOOKUP(TabelaPercas[[#This Row],[SKU]],TabelaEstoque[#All],MATCH(TabelaEstoque[[#Headers],[Tipos]],TabelaEstoque[#Headers],0),FALSE)),"")</f>
        <v/>
      </c>
      <c r="D15" s="19" t="str">
        <f>IFERROR(IF(TabelaPercas[[#This Row],[SKU]]="","",VLOOKUP(TabelaPercas[[#This Row],[SKU]],TabelaEstoque[#All],MATCH(TabelaEstoque[[#Headers],[Medição]],TabelaEstoque[#Headers],0),FALSE)),"")</f>
        <v/>
      </c>
      <c r="E15" s="20"/>
      <c r="F15" s="18"/>
      <c r="G15" s="22"/>
    </row>
    <row r="16" spans="1:8">
      <c r="A16" s="135"/>
      <c r="B16" s="5" t="str">
        <f>IFERROR(IF(TabelaPercas[[#This Row],[SKU]]="","",VLOOKUP(TabelaPercas[[#This Row],[SKU]],TabelaEstoque[#All],MATCH(TabelaEstoque[[#Headers],[Descrição]],TabelaEstoque[#Headers],0),FALSE)),"SKU não localizado")</f>
        <v/>
      </c>
      <c r="C16" s="19" t="str">
        <f>IFERROR(IF(TabelaPercas[[#This Row],[SKU]]="","",VLOOKUP(TabelaPercas[[#This Row],[SKU]],TabelaEstoque[#All],MATCH(TabelaEstoque[[#Headers],[Tipos]],TabelaEstoque[#Headers],0),FALSE)),"")</f>
        <v/>
      </c>
      <c r="D16" s="19" t="str">
        <f>IFERROR(IF(TabelaPercas[[#This Row],[SKU]]="","",VLOOKUP(TabelaPercas[[#This Row],[SKU]],TabelaEstoque[#All],MATCH(TabelaEstoque[[#Headers],[Medição]],TabelaEstoque[#Headers],0),FALSE)),"")</f>
        <v/>
      </c>
      <c r="E16" s="20"/>
      <c r="F16" s="18"/>
      <c r="G16" s="22"/>
    </row>
    <row r="17" spans="1:7">
      <c r="A17" s="135"/>
      <c r="B17" s="5" t="str">
        <f>IFERROR(IF(TabelaPercas[[#This Row],[SKU]]="","",VLOOKUP(TabelaPercas[[#This Row],[SKU]],TabelaEstoque[#All],MATCH(TabelaEstoque[[#Headers],[Descrição]],TabelaEstoque[#Headers],0),FALSE)),"SKU não localizado")</f>
        <v/>
      </c>
      <c r="C17" s="19" t="str">
        <f>IFERROR(IF(TabelaPercas[[#This Row],[SKU]]="","",VLOOKUP(TabelaPercas[[#This Row],[SKU]],TabelaEstoque[#All],MATCH(TabelaEstoque[[#Headers],[Tipos]],TabelaEstoque[#Headers],0),FALSE)),"")</f>
        <v/>
      </c>
      <c r="D17" s="19" t="str">
        <f>IFERROR(IF(TabelaPercas[[#This Row],[SKU]]="","",VLOOKUP(TabelaPercas[[#This Row],[SKU]],TabelaEstoque[#All],MATCH(TabelaEstoque[[#Headers],[Medição]],TabelaEstoque[#Headers],0),FALSE)),"")</f>
        <v/>
      </c>
      <c r="E17" s="20"/>
      <c r="F17" s="18"/>
      <c r="G17" s="22"/>
    </row>
    <row r="18" spans="1:7">
      <c r="A18" s="135"/>
      <c r="B18" s="5" t="str">
        <f>IFERROR(IF(TabelaPercas[[#This Row],[SKU]]="","",VLOOKUP(TabelaPercas[[#This Row],[SKU]],TabelaEstoque[#All],MATCH(TabelaEstoque[[#Headers],[Descrição]],TabelaEstoque[#Headers],0),FALSE)),"SKU não localizado")</f>
        <v/>
      </c>
      <c r="C18" s="19" t="str">
        <f>IFERROR(IF(TabelaPercas[[#This Row],[SKU]]="","",VLOOKUP(TabelaPercas[[#This Row],[SKU]],TabelaEstoque[#All],MATCH(TabelaEstoque[[#Headers],[Tipos]],TabelaEstoque[#Headers],0),FALSE)),"")</f>
        <v/>
      </c>
      <c r="D18" s="19" t="str">
        <f>IFERROR(IF(TabelaPercas[[#This Row],[SKU]]="","",VLOOKUP(TabelaPercas[[#This Row],[SKU]],TabelaEstoque[#All],MATCH(TabelaEstoque[[#Headers],[Medição]],TabelaEstoque[#Headers],0),FALSE)),"")</f>
        <v/>
      </c>
      <c r="E18" s="20"/>
      <c r="F18" s="18"/>
      <c r="G18" s="22"/>
    </row>
    <row r="19" spans="1:7">
      <c r="A19" s="135"/>
      <c r="B19" s="5" t="str">
        <f>IFERROR(IF(TabelaPercas[[#This Row],[SKU]]="","",VLOOKUP(TabelaPercas[[#This Row],[SKU]],TabelaEstoque[#All],MATCH(TabelaEstoque[[#Headers],[Descrição]],TabelaEstoque[#Headers],0),FALSE)),"SKU não localizado")</f>
        <v/>
      </c>
      <c r="C19" s="19" t="str">
        <f>IFERROR(IF(TabelaPercas[[#This Row],[SKU]]="","",VLOOKUP(TabelaPercas[[#This Row],[SKU]],TabelaEstoque[#All],MATCH(TabelaEstoque[[#Headers],[Tipos]],TabelaEstoque[#Headers],0),FALSE)),"")</f>
        <v/>
      </c>
      <c r="D19" s="19" t="str">
        <f>IFERROR(IF(TabelaPercas[[#This Row],[SKU]]="","",VLOOKUP(TabelaPercas[[#This Row],[SKU]],TabelaEstoque[#All],MATCH(TabelaEstoque[[#Headers],[Medição]],TabelaEstoque[#Headers],0),FALSE)),"")</f>
        <v/>
      </c>
      <c r="E19" s="20"/>
      <c r="F19" s="18"/>
      <c r="G19" s="22"/>
    </row>
    <row r="20" spans="1:7">
      <c r="A20" s="135"/>
      <c r="B20" s="5" t="str">
        <f>IFERROR(IF(TabelaPercas[[#This Row],[SKU]]="","",VLOOKUP(TabelaPercas[[#This Row],[SKU]],TabelaEstoque[#All],MATCH(TabelaEstoque[[#Headers],[Descrição]],TabelaEstoque[#Headers],0),FALSE)),"SKU não localizado")</f>
        <v/>
      </c>
      <c r="C20" s="19" t="str">
        <f>IFERROR(IF(TabelaPercas[[#This Row],[SKU]]="","",VLOOKUP(TabelaPercas[[#This Row],[SKU]],TabelaEstoque[#All],MATCH(TabelaEstoque[[#Headers],[Tipos]],TabelaEstoque[#Headers],0),FALSE)),"")</f>
        <v/>
      </c>
      <c r="D20" s="19" t="str">
        <f>IFERROR(IF(TabelaPercas[[#This Row],[SKU]]="","",VLOOKUP(TabelaPercas[[#This Row],[SKU]],TabelaEstoque[#All],MATCH(TabelaEstoque[[#Headers],[Medição]],TabelaEstoque[#Headers],0),FALSE)),"")</f>
        <v/>
      </c>
      <c r="E20" s="20"/>
      <c r="F20" s="18"/>
      <c r="G20" s="22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6"/>
  <dimension ref="A1:G12"/>
  <sheetViews>
    <sheetView showGridLines="0" showRowColHeaders="0" workbookViewId="0">
      <selection sqref="A1:B1"/>
    </sheetView>
  </sheetViews>
  <sheetFormatPr defaultRowHeight="14.4"/>
  <cols>
    <col min="1" max="1" width="9.33203125" customWidth="1"/>
    <col min="2" max="2" width="12.33203125" customWidth="1"/>
    <col min="3" max="3" width="16" customWidth="1"/>
    <col min="4" max="4" width="13" customWidth="1"/>
    <col min="5" max="5" width="23.109375" customWidth="1"/>
    <col min="6" max="6" width="16.44140625" customWidth="1"/>
    <col min="7" max="7" width="75.5546875" customWidth="1"/>
  </cols>
  <sheetData>
    <row r="1" spans="1:7" ht="30" customHeight="1"/>
    <row r="2" spans="1:7" ht="30" customHeight="1">
      <c r="A2" t="s">
        <v>47</v>
      </c>
      <c r="B2" t="s">
        <v>48</v>
      </c>
      <c r="C2" t="s">
        <v>49</v>
      </c>
      <c r="D2" t="s">
        <v>2</v>
      </c>
      <c r="E2" t="s">
        <v>50</v>
      </c>
      <c r="F2" t="s">
        <v>51</v>
      </c>
      <c r="G2" t="s">
        <v>52</v>
      </c>
    </row>
    <row r="3" spans="1:7">
      <c r="A3" s="18">
        <v>1</v>
      </c>
      <c r="B3" s="17" t="s">
        <v>40</v>
      </c>
      <c r="C3" s="17" t="s">
        <v>53</v>
      </c>
      <c r="D3" s="17" t="s">
        <v>28</v>
      </c>
      <c r="E3" s="24" t="s">
        <v>56</v>
      </c>
      <c r="F3" s="17">
        <v>1253456789</v>
      </c>
      <c r="G3" s="17" t="s">
        <v>57</v>
      </c>
    </row>
    <row r="4" spans="1:7">
      <c r="A4" s="18">
        <v>2</v>
      </c>
      <c r="B4" s="17" t="s">
        <v>58</v>
      </c>
      <c r="C4" s="17" t="s">
        <v>40</v>
      </c>
      <c r="D4" s="17" t="s">
        <v>54</v>
      </c>
      <c r="E4" s="24" t="s">
        <v>55</v>
      </c>
      <c r="F4" s="17">
        <v>987654321</v>
      </c>
      <c r="G4" s="17" t="s">
        <v>59</v>
      </c>
    </row>
    <row r="5" spans="1:7">
      <c r="A5" s="18">
        <v>3</v>
      </c>
      <c r="B5" s="17" t="s">
        <v>285</v>
      </c>
      <c r="C5" s="17" t="s">
        <v>286</v>
      </c>
      <c r="D5" s="17" t="s">
        <v>54</v>
      </c>
      <c r="E5" s="17" t="s">
        <v>287</v>
      </c>
      <c r="F5" s="17">
        <v>154852563</v>
      </c>
      <c r="G5" s="17" t="s">
        <v>288</v>
      </c>
    </row>
    <row r="6" spans="1:7">
      <c r="A6" s="18">
        <v>4</v>
      </c>
      <c r="B6" s="17"/>
      <c r="C6" s="17"/>
      <c r="D6" s="17"/>
      <c r="E6" s="17"/>
      <c r="F6" s="17"/>
      <c r="G6" s="17"/>
    </row>
    <row r="7" spans="1:7">
      <c r="A7" s="18"/>
      <c r="B7" s="17"/>
      <c r="C7" s="17"/>
      <c r="D7" s="17"/>
      <c r="E7" s="17"/>
      <c r="F7" s="17"/>
      <c r="G7" s="17"/>
    </row>
    <row r="8" spans="1:7">
      <c r="A8" s="18"/>
      <c r="B8" s="17"/>
      <c r="C8" s="17"/>
      <c r="D8" s="17"/>
      <c r="E8" s="17"/>
      <c r="F8" s="17"/>
      <c r="G8" s="17"/>
    </row>
    <row r="9" spans="1:7">
      <c r="A9" s="18"/>
      <c r="B9" s="17"/>
      <c r="C9" s="17"/>
      <c r="D9" s="17"/>
      <c r="E9" s="17"/>
      <c r="F9" s="17"/>
      <c r="G9" s="17"/>
    </row>
    <row r="10" spans="1:7">
      <c r="A10" s="18"/>
      <c r="B10" s="17"/>
      <c r="C10" s="17"/>
      <c r="D10" s="17"/>
      <c r="E10" s="17"/>
      <c r="F10" s="17"/>
      <c r="G10" s="17"/>
    </row>
    <row r="11" spans="1:7">
      <c r="A11" s="18"/>
      <c r="B11" s="17"/>
      <c r="C11" s="17"/>
      <c r="D11" s="17"/>
      <c r="E11" s="17"/>
      <c r="F11" s="17"/>
      <c r="G11" s="17"/>
    </row>
    <row r="12" spans="1:7">
      <c r="A12" s="18"/>
      <c r="B12" s="17"/>
      <c r="C12" s="17"/>
      <c r="D12" s="17"/>
      <c r="E12" s="17"/>
      <c r="F12" s="17"/>
      <c r="G12" s="17"/>
    </row>
  </sheetData>
  <dataValidations count="1">
    <dataValidation type="list" allowBlank="1" showInputMessage="1" showErrorMessage="1" prompt="Escolha na lista." sqref="D3:D12" xr:uid="{00000000-0002-0000-0800-000000000000}">
      <formula1>"Fornecedor,Cliente"</formula1>
    </dataValidation>
  </dataValidations>
  <hyperlinks>
    <hyperlink ref="E3" r:id="rId1" xr:uid="{00000000-0004-0000-0800-000000000000}"/>
    <hyperlink ref="E4" r:id="rId2" xr:uid="{00000000-0004-0000-0800-000001000000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3"/>
  <drawing r:id="rId4"/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7"/>
  <dimension ref="A1:R12"/>
  <sheetViews>
    <sheetView showGridLines="0" showRowColHeaders="0" workbookViewId="0"/>
  </sheetViews>
  <sheetFormatPr defaultColWidth="9.109375" defaultRowHeight="14.4"/>
  <cols>
    <col min="1" max="1" width="9.109375" style="5"/>
    <col min="2" max="2" width="18.6640625" style="5" bestFit="1" customWidth="1"/>
    <col min="3" max="3" width="8.5546875" style="5" customWidth="1"/>
    <col min="4" max="4" width="14.33203125" style="5" customWidth="1"/>
    <col min="5" max="5" width="9.109375" style="5"/>
    <col min="6" max="6" width="10.44140625" style="5" customWidth="1"/>
    <col min="7" max="7" width="9.109375" style="5"/>
    <col min="8" max="8" width="22.6640625" style="5" customWidth="1"/>
    <col min="9" max="16384" width="9.109375" style="5"/>
  </cols>
  <sheetData>
    <row r="1" spans="1:18" ht="25.8">
      <c r="D1" s="148" t="s">
        <v>29</v>
      </c>
      <c r="E1" s="148"/>
      <c r="F1" s="148"/>
      <c r="G1" s="148"/>
      <c r="H1" s="148"/>
      <c r="I1" s="148"/>
      <c r="J1" s="148"/>
      <c r="K1" s="148"/>
      <c r="L1" s="148"/>
    </row>
    <row r="4" spans="1:18" ht="18">
      <c r="A4" s="25"/>
      <c r="B4" s="25" t="s">
        <v>30</v>
      </c>
      <c r="C4" s="25"/>
      <c r="D4" s="25" t="s">
        <v>31</v>
      </c>
      <c r="E4" s="25"/>
      <c r="F4" s="25" t="s">
        <v>41</v>
      </c>
      <c r="G4" s="25"/>
      <c r="H4" s="25" t="s">
        <v>88</v>
      </c>
      <c r="I4" s="25"/>
      <c r="J4" s="25"/>
      <c r="K4" s="25"/>
      <c r="L4" s="25"/>
      <c r="M4" s="25"/>
      <c r="N4" s="25"/>
      <c r="O4" s="25"/>
      <c r="P4" s="25"/>
      <c r="Q4" s="25"/>
      <c r="R4" s="25"/>
    </row>
    <row r="5" spans="1:18">
      <c r="B5" t="s">
        <v>277</v>
      </c>
      <c r="C5"/>
      <c r="D5" t="s">
        <v>65</v>
      </c>
      <c r="F5" s="5" t="s">
        <v>43</v>
      </c>
      <c r="H5" s="5" t="s">
        <v>86</v>
      </c>
    </row>
    <row r="6" spans="1:18">
      <c r="B6" t="s">
        <v>276</v>
      </c>
      <c r="C6"/>
      <c r="D6" t="s">
        <v>33</v>
      </c>
      <c r="F6" s="5" t="s">
        <v>42</v>
      </c>
      <c r="H6" s="5" t="s">
        <v>89</v>
      </c>
    </row>
    <row r="7" spans="1:18">
      <c r="B7" t="s">
        <v>64</v>
      </c>
      <c r="C7"/>
      <c r="D7" t="s">
        <v>66</v>
      </c>
      <c r="F7" s="5" t="s">
        <v>275</v>
      </c>
      <c r="H7" s="5" t="s">
        <v>90</v>
      </c>
    </row>
    <row r="8" spans="1:18">
      <c r="B8" t="s">
        <v>275</v>
      </c>
      <c r="C8"/>
      <c r="D8" t="s">
        <v>67</v>
      </c>
    </row>
    <row r="9" spans="1:18">
      <c r="D9" t="s">
        <v>68</v>
      </c>
    </row>
    <row r="10" spans="1:18">
      <c r="D10" t="s">
        <v>32</v>
      </c>
    </row>
    <row r="11" spans="1:18">
      <c r="D11" t="s">
        <v>69</v>
      </c>
    </row>
    <row r="12" spans="1:18">
      <c r="D12" t="s">
        <v>34</v>
      </c>
    </row>
  </sheetData>
  <mergeCells count="1">
    <mergeCell ref="D1:L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4"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N41"/>
  <sheetViews>
    <sheetView showGridLines="0" showRowColHeaders="0" topLeftCell="A6" workbookViewId="0"/>
  </sheetViews>
  <sheetFormatPr defaultRowHeight="14.4"/>
  <cols>
    <col min="3" max="3" width="15.5546875" bestFit="1" customWidth="1"/>
    <col min="4" max="4" width="24.44140625" bestFit="1" customWidth="1"/>
    <col min="12" max="12" width="16.6640625" customWidth="1"/>
    <col min="13" max="13" width="1.109375" customWidth="1"/>
    <col min="14" max="14" width="16.6640625" customWidth="1"/>
  </cols>
  <sheetData>
    <row r="1" spans="1:14" ht="25.8">
      <c r="A1" s="58"/>
      <c r="B1" s="89" t="s">
        <v>70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</row>
    <row r="2" spans="1:14" ht="8.25" customHeight="1"/>
    <row r="3" spans="1:14" ht="15.6">
      <c r="B3" s="27" t="s">
        <v>71</v>
      </c>
      <c r="C3" t="s">
        <v>72</v>
      </c>
      <c r="L3" s="152" t="s">
        <v>100</v>
      </c>
      <c r="M3" s="152"/>
      <c r="N3" s="152"/>
    </row>
    <row r="4" spans="1:14">
      <c r="B4" s="27" t="s">
        <v>73</v>
      </c>
      <c r="C4" s="26" t="s">
        <v>270</v>
      </c>
    </row>
    <row r="5" spans="1:14">
      <c r="H5" t="s">
        <v>110</v>
      </c>
      <c r="L5" s="153" t="s">
        <v>101</v>
      </c>
      <c r="N5" s="153" t="s">
        <v>102</v>
      </c>
    </row>
    <row r="6" spans="1:14" ht="21">
      <c r="B6" s="28" t="s">
        <v>76</v>
      </c>
      <c r="L6" s="153"/>
      <c r="N6" s="153"/>
    </row>
    <row r="7" spans="1:14">
      <c r="B7" t="s">
        <v>266</v>
      </c>
      <c r="L7" s="153"/>
      <c r="N7" s="153"/>
    </row>
    <row r="8" spans="1:14" ht="23.4">
      <c r="B8" s="32" t="s">
        <v>78</v>
      </c>
      <c r="L8" s="153"/>
      <c r="N8" s="153"/>
    </row>
    <row r="9" spans="1:14" ht="18">
      <c r="B9" s="151" t="s">
        <v>77</v>
      </c>
      <c r="C9" s="151"/>
      <c r="D9" s="151"/>
      <c r="E9" s="151"/>
      <c r="F9" s="151"/>
      <c r="G9" s="151"/>
      <c r="H9" s="151"/>
      <c r="L9" s="153"/>
      <c r="N9" s="153"/>
    </row>
    <row r="10" spans="1:14" ht="5.25" customHeight="1"/>
    <row r="11" spans="1:14" ht="23.4">
      <c r="B11" s="32" t="s">
        <v>267</v>
      </c>
      <c r="L11" s="154" t="s">
        <v>103</v>
      </c>
      <c r="N11" s="153" t="s">
        <v>104</v>
      </c>
    </row>
    <row r="12" spans="1:14" ht="23.4">
      <c r="B12" s="155" t="s">
        <v>250</v>
      </c>
      <c r="C12" s="155"/>
      <c r="D12" s="155"/>
      <c r="E12" s="155"/>
      <c r="F12" s="155"/>
      <c r="G12" s="155"/>
      <c r="H12" s="155"/>
      <c r="I12" s="155"/>
      <c r="L12" s="154"/>
      <c r="N12" s="153"/>
    </row>
    <row r="13" spans="1:14">
      <c r="B13" t="s">
        <v>268</v>
      </c>
      <c r="L13" s="154"/>
      <c r="N13" s="153"/>
    </row>
    <row r="14" spans="1:14">
      <c r="B14" s="27"/>
      <c r="L14" s="154"/>
      <c r="N14" s="153"/>
    </row>
    <row r="15" spans="1:14">
      <c r="L15" s="154"/>
      <c r="N15" s="153"/>
    </row>
    <row r="16" spans="1:14">
      <c r="B16" s="27" t="s">
        <v>74</v>
      </c>
    </row>
    <row r="17" spans="2:14">
      <c r="B17" t="s">
        <v>75</v>
      </c>
      <c r="L17" s="149" t="s">
        <v>105</v>
      </c>
      <c r="M17" s="149"/>
      <c r="N17" s="149"/>
    </row>
    <row r="18" spans="2:14">
      <c r="B18" s="26" t="s">
        <v>274</v>
      </c>
      <c r="L18" s="150" t="s">
        <v>106</v>
      </c>
      <c r="M18" s="150"/>
      <c r="N18" s="150"/>
    </row>
    <row r="19" spans="2:14" ht="21">
      <c r="F19" s="132" t="s">
        <v>251</v>
      </c>
      <c r="L19" s="150"/>
      <c r="M19" s="150"/>
      <c r="N19" s="150"/>
    </row>
    <row r="20" spans="2:14">
      <c r="C20" s="26"/>
      <c r="D20" s="26"/>
      <c r="H20" s="26"/>
      <c r="I20" s="26"/>
      <c r="J20" s="26"/>
      <c r="L20" s="150"/>
      <c r="M20" s="150"/>
      <c r="N20" s="150"/>
    </row>
    <row r="21" spans="2:14" ht="21">
      <c r="B21" s="27" t="s">
        <v>80</v>
      </c>
      <c r="F21" s="118">
        <v>1</v>
      </c>
      <c r="G21" s="119" t="s">
        <v>137</v>
      </c>
      <c r="L21" s="150"/>
      <c r="M21" s="150"/>
      <c r="N21" s="150"/>
    </row>
    <row r="22" spans="2:14" ht="21">
      <c r="B22" s="31" t="s">
        <v>109</v>
      </c>
      <c r="F22" s="118">
        <v>2</v>
      </c>
      <c r="G22" s="119" t="s">
        <v>252</v>
      </c>
      <c r="L22" s="150"/>
      <c r="M22" s="150"/>
      <c r="N22" s="150"/>
    </row>
    <row r="23" spans="2:14" ht="21">
      <c r="B23" s="26"/>
      <c r="F23" s="118">
        <v>3</v>
      </c>
      <c r="G23" s="119" t="s">
        <v>138</v>
      </c>
      <c r="L23" s="88"/>
      <c r="M23" s="88"/>
      <c r="N23" s="88"/>
    </row>
    <row r="24" spans="2:14" ht="21">
      <c r="B24" s="27" t="s">
        <v>280</v>
      </c>
      <c r="F24" s="118">
        <v>4</v>
      </c>
      <c r="G24" s="119" t="s">
        <v>139</v>
      </c>
      <c r="L24" s="85"/>
      <c r="M24" s="85"/>
      <c r="N24" s="85"/>
    </row>
    <row r="25" spans="2:14" ht="21">
      <c r="C25" t="s">
        <v>279</v>
      </c>
      <c r="F25" s="118">
        <v>5</v>
      </c>
      <c r="G25" s="119" t="s">
        <v>140</v>
      </c>
      <c r="L25" s="85"/>
      <c r="M25" s="85"/>
      <c r="N25" s="85"/>
    </row>
    <row r="26" spans="2:14" ht="21">
      <c r="F26" s="118">
        <v>6</v>
      </c>
      <c r="G26" s="119" t="s">
        <v>141</v>
      </c>
    </row>
    <row r="27" spans="2:14" ht="21">
      <c r="F27" s="118">
        <v>7</v>
      </c>
      <c r="G27" s="119" t="s">
        <v>142</v>
      </c>
    </row>
    <row r="28" spans="2:14" ht="21">
      <c r="F28" s="118">
        <v>8</v>
      </c>
      <c r="G28" s="119" t="s">
        <v>143</v>
      </c>
    </row>
    <row r="29" spans="2:14" ht="21">
      <c r="F29" s="118">
        <v>9</v>
      </c>
      <c r="G29" s="119" t="s">
        <v>144</v>
      </c>
    </row>
    <row r="30" spans="2:14" s="111" customFormat="1" ht="21">
      <c r="F30" s="118">
        <v>10</v>
      </c>
      <c r="G30" s="119" t="s">
        <v>145</v>
      </c>
    </row>
    <row r="31" spans="2:14" ht="21">
      <c r="F31" s="118">
        <v>11</v>
      </c>
      <c r="G31" s="119" t="s">
        <v>146</v>
      </c>
    </row>
    <row r="32" spans="2:14" ht="21">
      <c r="F32" s="118">
        <v>12</v>
      </c>
      <c r="G32" s="119" t="s">
        <v>147</v>
      </c>
    </row>
    <row r="33" spans="7:8">
      <c r="H33" t="s">
        <v>271</v>
      </c>
    </row>
    <row r="34" spans="7:8" s="111" customFormat="1"/>
    <row r="37" spans="7:8" s="111" customFormat="1"/>
    <row r="38" spans="7:8">
      <c r="G38" s="26"/>
    </row>
    <row r="39" spans="7:8">
      <c r="G39" s="26"/>
    </row>
    <row r="41" spans="7:8" s="111" customFormat="1"/>
  </sheetData>
  <mergeCells count="9">
    <mergeCell ref="L17:N17"/>
    <mergeCell ref="L18:N22"/>
    <mergeCell ref="B9:H9"/>
    <mergeCell ref="L3:N3"/>
    <mergeCell ref="L5:L9"/>
    <mergeCell ref="N5:N9"/>
    <mergeCell ref="L11:L15"/>
    <mergeCell ref="N11:N15"/>
    <mergeCell ref="B12:I12"/>
  </mergeCells>
  <hyperlinks>
    <hyperlink ref="C4" r:id="rId1" xr:uid="{00000000-0004-0000-0A00-000000000000}"/>
    <hyperlink ref="B9" r:id="rId2" xr:uid="{00000000-0004-0000-0A00-000001000000}"/>
    <hyperlink ref="B12:F12" r:id="rId3" display="Versão completa no site clique aqui." xr:uid="{00000000-0004-0000-0A00-000002000000}"/>
    <hyperlink ref="B12:I12" r:id="rId4" display="Versão completa da Planilha de controle de estoque clique aqui." xr:uid="{00000000-0004-0000-0A00-000003000000}"/>
    <hyperlink ref="B9:H9" r:id="rId5" display="http://inovar.net/curso-planilha-de-controle-de-estoques" xr:uid="{00000000-0004-0000-0A00-000004000000}"/>
    <hyperlink ref="B18" r:id="rId6" xr:uid="{00000000-0004-0000-0A00-000005000000}"/>
  </hyperlinks>
  <pageMargins left="0.511811024" right="0.511811024" top="0.78740157499999996" bottom="0.78740157499999996" header="0.31496062000000002" footer="0.31496062000000002"/>
  <pageSetup paperSize="9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10" name="Button 1">
              <controlPr defaultSize="0" print="0" autoFill="0" autoPict="0" macro="[0]!MudarMenu">
                <anchor moveWithCells="1" sizeWithCells="1">
                  <from>
                    <xdr:col>1</xdr:col>
                    <xdr:colOff>480060</xdr:colOff>
                    <xdr:row>25</xdr:row>
                    <xdr:rowOff>160020</xdr:rowOff>
                  </from>
                  <to>
                    <xdr:col>3</xdr:col>
                    <xdr:colOff>899160</xdr:colOff>
                    <xdr:row>27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6"/>
  <dimension ref="C3:S28"/>
  <sheetViews>
    <sheetView showGridLines="0" showRowColHeaders="0" zoomScaleNormal="100" workbookViewId="0"/>
  </sheetViews>
  <sheetFormatPr defaultRowHeight="14.4"/>
  <cols>
    <col min="14" max="14" width="1.109375" customWidth="1"/>
    <col min="15" max="15" width="16.6640625" customWidth="1"/>
    <col min="16" max="16" width="1.109375" customWidth="1"/>
    <col min="17" max="17" width="16.6640625" customWidth="1"/>
  </cols>
  <sheetData>
    <row r="3" spans="3:17" ht="15.6">
      <c r="O3" s="152" t="s">
        <v>100</v>
      </c>
      <c r="P3" s="152"/>
      <c r="Q3" s="152"/>
    </row>
    <row r="5" spans="3:17">
      <c r="C5" t="s">
        <v>95</v>
      </c>
      <c r="O5" s="153" t="s">
        <v>101</v>
      </c>
      <c r="Q5" s="153" t="s">
        <v>102</v>
      </c>
    </row>
    <row r="6" spans="3:17">
      <c r="O6" s="153"/>
      <c r="Q6" s="153"/>
    </row>
    <row r="7" spans="3:17">
      <c r="O7" s="153"/>
      <c r="Q7" s="153"/>
    </row>
    <row r="8" spans="3:17">
      <c r="O8" s="153"/>
      <c r="Q8" s="153"/>
    </row>
    <row r="9" spans="3:17">
      <c r="O9" s="153"/>
      <c r="Q9" s="153"/>
    </row>
    <row r="10" spans="3:17" ht="6.75" customHeight="1"/>
    <row r="11" spans="3:17">
      <c r="O11" s="154" t="s">
        <v>103</v>
      </c>
      <c r="Q11" s="153" t="s">
        <v>104</v>
      </c>
    </row>
    <row r="12" spans="3:17">
      <c r="O12" s="154"/>
      <c r="Q12" s="153"/>
    </row>
    <row r="13" spans="3:17">
      <c r="O13" s="154"/>
      <c r="Q13" s="153"/>
    </row>
    <row r="14" spans="3:17">
      <c r="O14" s="154"/>
      <c r="Q14" s="153"/>
    </row>
    <row r="15" spans="3:17">
      <c r="O15" s="154"/>
      <c r="Q15" s="153"/>
    </row>
    <row r="17" spans="3:19">
      <c r="O17" s="149" t="s">
        <v>105</v>
      </c>
      <c r="P17" s="149"/>
      <c r="Q17" s="149"/>
    </row>
    <row r="18" spans="3:19" ht="38.25" customHeight="1">
      <c r="O18" s="150" t="s">
        <v>106</v>
      </c>
      <c r="P18" s="150"/>
      <c r="Q18" s="150"/>
      <c r="S18" s="84"/>
    </row>
    <row r="19" spans="3:19" ht="15" customHeight="1">
      <c r="O19" s="150"/>
      <c r="P19" s="150"/>
      <c r="Q19" s="150"/>
      <c r="S19" s="84"/>
    </row>
    <row r="20" spans="3:19">
      <c r="C20">
        <v>1</v>
      </c>
      <c r="D20" t="s">
        <v>96</v>
      </c>
      <c r="O20" s="150"/>
      <c r="P20" s="150"/>
      <c r="Q20" s="150"/>
      <c r="S20" s="84"/>
    </row>
    <row r="21" spans="3:19">
      <c r="C21">
        <v>2</v>
      </c>
      <c r="D21" t="s">
        <v>97</v>
      </c>
      <c r="O21" s="150"/>
      <c r="P21" s="150"/>
      <c r="Q21" s="150"/>
      <c r="S21" s="84"/>
    </row>
    <row r="22" spans="3:19">
      <c r="E22" t="s">
        <v>269</v>
      </c>
      <c r="O22" s="150"/>
      <c r="P22" s="150"/>
      <c r="Q22" s="150"/>
      <c r="S22" s="84"/>
    </row>
    <row r="23" spans="3:19">
      <c r="O23" s="85"/>
      <c r="P23" s="85"/>
      <c r="Q23" s="85"/>
    </row>
    <row r="24" spans="3:19">
      <c r="O24" s="85"/>
      <c r="P24" s="85"/>
      <c r="Q24" s="85"/>
    </row>
    <row r="25" spans="3:19">
      <c r="O25" s="85"/>
      <c r="P25" s="85"/>
      <c r="Q25" s="85"/>
      <c r="S25" s="86"/>
    </row>
    <row r="26" spans="3:19">
      <c r="O26" s="85"/>
      <c r="P26" s="85"/>
      <c r="Q26" s="85"/>
      <c r="S26" s="87"/>
    </row>
    <row r="27" spans="3:19">
      <c r="O27" s="84"/>
      <c r="S27" s="84"/>
    </row>
    <row r="28" spans="3:19">
      <c r="O28" s="84"/>
      <c r="P28" s="84"/>
      <c r="Q28" s="84"/>
      <c r="R28" s="84"/>
      <c r="S28" s="84"/>
    </row>
  </sheetData>
  <mergeCells count="7">
    <mergeCell ref="O18:Q22"/>
    <mergeCell ref="O3:Q3"/>
    <mergeCell ref="O5:O9"/>
    <mergeCell ref="Q5:Q9"/>
    <mergeCell ref="O11:O15"/>
    <mergeCell ref="Q11:Q15"/>
    <mergeCell ref="O17:Q17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8"/>
  <dimension ref="A1:E104"/>
  <sheetViews>
    <sheetView showGridLines="0" showRowColHeaders="0" workbookViewId="0">
      <pane ySplit="3" topLeftCell="A4" activePane="bottomLeft" state="frozen"/>
      <selection activeCell="I5" sqref="I5"/>
      <selection pane="bottomLeft" activeCell="C22" sqref="C22"/>
    </sheetView>
  </sheetViews>
  <sheetFormatPr defaultColWidth="9.109375" defaultRowHeight="14.4"/>
  <cols>
    <col min="1" max="1" width="12" style="1" customWidth="1"/>
    <col min="2" max="2" width="11.88671875" style="1" bestFit="1" customWidth="1"/>
    <col min="3" max="3" width="110.88671875" style="1" customWidth="1"/>
    <col min="4" max="4" width="9.109375" style="1"/>
    <col min="5" max="5" width="9.109375" style="125"/>
    <col min="6" max="16384" width="9.109375" style="1"/>
  </cols>
  <sheetData>
    <row r="1" spans="1:5" ht="42" customHeight="1">
      <c r="A1" s="127" t="s">
        <v>17</v>
      </c>
      <c r="B1" s="128"/>
      <c r="C1" s="129" t="str">
        <f>VLOOKUP(LARGE(Tabela1[Data],1),A4:C104,2,FALSE)</f>
        <v>1.2.2</v>
      </c>
    </row>
    <row r="2" spans="1:5">
      <c r="C2" s="120"/>
    </row>
    <row r="3" spans="1:5" ht="28.5" customHeight="1">
      <c r="A3" s="130" t="s">
        <v>15</v>
      </c>
      <c r="B3" s="130" t="s">
        <v>18</v>
      </c>
      <c r="C3" s="130" t="s">
        <v>19</v>
      </c>
    </row>
    <row r="4" spans="1:5" ht="21" customHeight="1">
      <c r="A4" s="121">
        <v>41274</v>
      </c>
      <c r="B4" s="2" t="str">
        <f>IF(Tabela1[[#This Row],[Melhoria]]="","",E4)</f>
        <v>1.0.0</v>
      </c>
      <c r="C4" s="122" t="s">
        <v>20</v>
      </c>
      <c r="E4" s="125" t="s">
        <v>148</v>
      </c>
    </row>
    <row r="5" spans="1:5" ht="21" customHeight="1">
      <c r="A5" s="121">
        <v>41538</v>
      </c>
      <c r="B5" s="2" t="str">
        <f>IF(Tabela1[[#This Row],[Melhoria]]="","",E5)</f>
        <v>1.0.1</v>
      </c>
      <c r="C5" s="123" t="s">
        <v>21</v>
      </c>
      <c r="E5" s="125" t="s">
        <v>149</v>
      </c>
    </row>
    <row r="6" spans="1:5" ht="21" customHeight="1">
      <c r="A6" s="121">
        <v>41538</v>
      </c>
      <c r="B6" s="2" t="str">
        <f>IF(Tabela1[[#This Row],[Melhoria]]="","",E6)</f>
        <v>1.0.2</v>
      </c>
      <c r="C6" s="123" t="s">
        <v>22</v>
      </c>
      <c r="E6" s="125" t="s">
        <v>150</v>
      </c>
    </row>
    <row r="7" spans="1:5" ht="21" customHeight="1">
      <c r="A7" s="121">
        <v>41538</v>
      </c>
      <c r="B7" s="2" t="str">
        <f>IF(Tabela1[[#This Row],[Melhoria]]="","",E7)</f>
        <v>1.0.3</v>
      </c>
      <c r="C7" s="123" t="s">
        <v>23</v>
      </c>
      <c r="E7" s="125" t="s">
        <v>151</v>
      </c>
    </row>
    <row r="8" spans="1:5" ht="21" customHeight="1">
      <c r="A8" s="121">
        <v>41708</v>
      </c>
      <c r="B8" s="2" t="str">
        <f>IF(Tabela1[[#This Row],[Melhoria]]="","",E8)</f>
        <v>1.0.4</v>
      </c>
      <c r="C8" s="123" t="s">
        <v>24</v>
      </c>
      <c r="E8" s="126" t="s">
        <v>152</v>
      </c>
    </row>
    <row r="9" spans="1:5" ht="21" customHeight="1">
      <c r="A9" s="121">
        <v>41810</v>
      </c>
      <c r="B9" s="2" t="str">
        <f>IF(Tabela1[[#This Row],[Melhoria]]="","",E9)</f>
        <v>1.0.5</v>
      </c>
      <c r="C9" s="123" t="s">
        <v>25</v>
      </c>
      <c r="E9" s="126" t="s">
        <v>153</v>
      </c>
    </row>
    <row r="10" spans="1:5" ht="21" customHeight="1">
      <c r="A10" s="121">
        <v>41855</v>
      </c>
      <c r="B10" s="2" t="str">
        <f>IF(Tabela1[[#This Row],[Melhoria]]="","",E10)</f>
        <v>1.0.6</v>
      </c>
      <c r="C10" s="123" t="s">
        <v>26</v>
      </c>
      <c r="E10" s="126" t="s">
        <v>154</v>
      </c>
    </row>
    <row r="11" spans="1:5" ht="21" customHeight="1">
      <c r="A11" s="121">
        <v>41855</v>
      </c>
      <c r="B11" s="2" t="str">
        <f>IF(Tabela1[[#This Row],[Melhoria]]="","",E11)</f>
        <v>1.0.7</v>
      </c>
      <c r="C11" s="123" t="s">
        <v>27</v>
      </c>
      <c r="E11" s="126" t="s">
        <v>155</v>
      </c>
    </row>
    <row r="12" spans="1:5" ht="21" customHeight="1">
      <c r="A12" s="121">
        <v>42135</v>
      </c>
      <c r="B12" s="2" t="str">
        <f>IF(Tabela1[[#This Row],[Melhoria]]="","",E12)</f>
        <v>1.0.8</v>
      </c>
      <c r="C12" s="123" t="s">
        <v>45</v>
      </c>
      <c r="E12" s="126" t="s">
        <v>156</v>
      </c>
    </row>
    <row r="13" spans="1:5" ht="21" customHeight="1">
      <c r="A13" s="121">
        <v>42135</v>
      </c>
      <c r="B13" s="2" t="str">
        <f>IF(Tabela1[[#This Row],[Melhoria]]="","",E13)</f>
        <v>1.0.9</v>
      </c>
      <c r="C13" s="123" t="s">
        <v>46</v>
      </c>
      <c r="E13" s="126" t="s">
        <v>157</v>
      </c>
    </row>
    <row r="14" spans="1:5" ht="21" customHeight="1">
      <c r="A14" s="121">
        <v>42138</v>
      </c>
      <c r="B14" s="2" t="str">
        <f>IF(Tabela1[[#This Row],[Melhoria]]="","",E14)</f>
        <v>1.1.0</v>
      </c>
      <c r="C14" s="123" t="s">
        <v>63</v>
      </c>
      <c r="E14" s="125" t="s">
        <v>158</v>
      </c>
    </row>
    <row r="15" spans="1:5" ht="21" customHeight="1">
      <c r="A15" s="121">
        <v>42139</v>
      </c>
      <c r="B15" s="2" t="str">
        <f>IF(Tabela1[[#This Row],[Melhoria]]="","",E15)</f>
        <v>1.1.1</v>
      </c>
      <c r="C15" s="123" t="s">
        <v>82</v>
      </c>
      <c r="E15" s="125" t="s">
        <v>159</v>
      </c>
    </row>
    <row r="16" spans="1:5" ht="21" customHeight="1">
      <c r="A16" s="121">
        <v>42139</v>
      </c>
      <c r="B16" s="2" t="str">
        <f>IF(Tabela1[[#This Row],[Melhoria]]="","",E16)</f>
        <v>1.1.2</v>
      </c>
      <c r="C16" s="123" t="s">
        <v>84</v>
      </c>
      <c r="E16" s="125" t="s">
        <v>160</v>
      </c>
    </row>
    <row r="17" spans="1:5" ht="21" customHeight="1">
      <c r="A17" s="121">
        <v>42148</v>
      </c>
      <c r="B17" s="2" t="str">
        <f>IF(Tabela1[[#This Row],[Melhoria]]="","",E17)</f>
        <v>1.1.3</v>
      </c>
      <c r="C17" s="123" t="s">
        <v>87</v>
      </c>
      <c r="E17" s="125" t="s">
        <v>161</v>
      </c>
    </row>
    <row r="18" spans="1:5" ht="21" customHeight="1">
      <c r="A18" s="121">
        <v>42148</v>
      </c>
      <c r="B18" s="2" t="str">
        <f>IF(Tabela1[[#This Row],[Melhoria]]="","",E18)</f>
        <v>1.1.4</v>
      </c>
      <c r="C18" s="123" t="s">
        <v>91</v>
      </c>
      <c r="E18" s="125" t="s">
        <v>162</v>
      </c>
    </row>
    <row r="19" spans="1:5" ht="21" customHeight="1">
      <c r="A19" s="121">
        <v>42148</v>
      </c>
      <c r="B19" s="2" t="str">
        <f>IF(Tabela1[[#This Row],[Melhoria]]="","",E19)</f>
        <v>1.1.5</v>
      </c>
      <c r="C19" s="123" t="s">
        <v>93</v>
      </c>
      <c r="E19" s="125" t="s">
        <v>163</v>
      </c>
    </row>
    <row r="20" spans="1:5" ht="21" customHeight="1">
      <c r="A20" s="121">
        <v>42149</v>
      </c>
      <c r="B20" s="2" t="str">
        <f>IF(Tabela1[[#This Row],[Melhoria]]="","",E20)</f>
        <v>1.1.6</v>
      </c>
      <c r="C20" s="123" t="s">
        <v>94</v>
      </c>
      <c r="E20" s="125" t="s">
        <v>164</v>
      </c>
    </row>
    <row r="21" spans="1:5" ht="21" customHeight="1">
      <c r="A21" s="121">
        <v>42150</v>
      </c>
      <c r="B21" s="2" t="str">
        <f>IF(Tabela1[[#This Row],[Melhoria]]="","",E21)</f>
        <v>1.1.7</v>
      </c>
      <c r="C21" s="123" t="s">
        <v>99</v>
      </c>
      <c r="E21" s="125" t="s">
        <v>165</v>
      </c>
    </row>
    <row r="22" spans="1:5" ht="21" customHeight="1">
      <c r="A22" s="121">
        <v>42151</v>
      </c>
      <c r="B22" s="2" t="str">
        <f>IF(Tabela1[[#This Row],[Melhoria]]="","",E22)</f>
        <v>1.1.8</v>
      </c>
      <c r="C22" s="123" t="s">
        <v>98</v>
      </c>
      <c r="E22" s="125" t="s">
        <v>166</v>
      </c>
    </row>
    <row r="23" spans="1:5" ht="21" customHeight="1">
      <c r="A23" s="121">
        <v>42155</v>
      </c>
      <c r="B23" s="2" t="str">
        <f>IF(Tabela1[[#This Row],[Melhoria]]="","",E23)</f>
        <v>1.1.9</v>
      </c>
      <c r="C23" s="123" t="s">
        <v>130</v>
      </c>
      <c r="E23" s="125" t="s">
        <v>167</v>
      </c>
    </row>
    <row r="24" spans="1:5" ht="21" customHeight="1">
      <c r="A24" s="121">
        <v>42156</v>
      </c>
      <c r="B24" s="2" t="str">
        <f>IF(Tabela1[[#This Row],[Melhoria]]="","",E24)</f>
        <v>1.2.0</v>
      </c>
      <c r="C24" s="123" t="s">
        <v>249</v>
      </c>
      <c r="E24" s="125" t="s">
        <v>168</v>
      </c>
    </row>
    <row r="25" spans="1:5" ht="21" customHeight="1">
      <c r="A25" s="121">
        <v>42169</v>
      </c>
      <c r="B25" s="2" t="str">
        <f>IF(Tabela1[[#This Row],[Melhoria]]="","",E25)</f>
        <v>1.2.1</v>
      </c>
      <c r="C25" s="123" t="s">
        <v>253</v>
      </c>
      <c r="E25" s="125" t="s">
        <v>169</v>
      </c>
    </row>
    <row r="26" spans="1:5" ht="21" customHeight="1">
      <c r="A26" s="121">
        <v>42282</v>
      </c>
      <c r="B26" s="2" t="str">
        <f>IF(Tabela1[[#This Row],[Melhoria]]="","",E26)</f>
        <v>1.2.2</v>
      </c>
      <c r="C26" s="123" t="s">
        <v>272</v>
      </c>
      <c r="E26" s="125" t="s">
        <v>170</v>
      </c>
    </row>
    <row r="27" spans="1:5" ht="21" customHeight="1">
      <c r="A27" s="121">
        <v>42282</v>
      </c>
      <c r="B27" s="2" t="str">
        <f>IF(Tabela1[[#This Row],[Melhoria]]="","",E27)</f>
        <v>1.2.3</v>
      </c>
      <c r="C27" s="123" t="s">
        <v>278</v>
      </c>
      <c r="E27" s="125" t="s">
        <v>171</v>
      </c>
    </row>
    <row r="28" spans="1:5" ht="21" customHeight="1">
      <c r="A28" s="121">
        <v>42282</v>
      </c>
      <c r="B28" s="2" t="str">
        <f>IF(Tabela1[[#This Row],[Melhoria]]="","",E28)</f>
        <v>1.2.4</v>
      </c>
      <c r="C28" s="123" t="s">
        <v>281</v>
      </c>
      <c r="E28" s="125" t="s">
        <v>172</v>
      </c>
    </row>
    <row r="29" spans="1:5" ht="21" customHeight="1">
      <c r="A29" s="121"/>
      <c r="B29" s="2" t="str">
        <f>IF(Tabela1[[#This Row],[Melhoria]]="","",E29)</f>
        <v/>
      </c>
      <c r="C29" s="122"/>
      <c r="E29" s="125" t="s">
        <v>173</v>
      </c>
    </row>
    <row r="30" spans="1:5" ht="21" customHeight="1">
      <c r="A30" s="121"/>
      <c r="B30" s="2" t="str">
        <f>IF(Tabela1[[#This Row],[Melhoria]]="","",E30)</f>
        <v/>
      </c>
      <c r="C30" s="122"/>
      <c r="E30" s="125" t="s">
        <v>174</v>
      </c>
    </row>
    <row r="31" spans="1:5" ht="21" customHeight="1">
      <c r="A31" s="121"/>
      <c r="B31" s="2" t="str">
        <f>IF(Tabela1[[#This Row],[Melhoria]]="","",E31)</f>
        <v/>
      </c>
      <c r="C31" s="122"/>
      <c r="E31" s="125" t="s">
        <v>175</v>
      </c>
    </row>
    <row r="32" spans="1:5" ht="21" customHeight="1">
      <c r="A32" s="121"/>
      <c r="B32" s="2" t="str">
        <f>IF(Tabela1[[#This Row],[Melhoria]]="","",E32)</f>
        <v/>
      </c>
      <c r="C32" s="122"/>
      <c r="E32" s="125" t="s">
        <v>176</v>
      </c>
    </row>
    <row r="33" spans="1:5" ht="21" customHeight="1">
      <c r="A33" s="121"/>
      <c r="B33" s="2" t="str">
        <f>IF(Tabela1[[#This Row],[Melhoria]]="","",E33)</f>
        <v/>
      </c>
      <c r="C33" s="122"/>
      <c r="E33" s="125" t="s">
        <v>177</v>
      </c>
    </row>
    <row r="34" spans="1:5" ht="21" customHeight="1">
      <c r="A34" s="124"/>
      <c r="B34" s="2" t="str">
        <f>IF(Tabela1[[#This Row],[Melhoria]]="","",E34)</f>
        <v/>
      </c>
      <c r="E34" s="125" t="s">
        <v>178</v>
      </c>
    </row>
    <row r="35" spans="1:5" ht="21" customHeight="1">
      <c r="A35" s="124"/>
      <c r="B35" s="2" t="str">
        <f>IF(Tabela1[[#This Row],[Melhoria]]="","",E35)</f>
        <v/>
      </c>
      <c r="E35" s="125" t="s">
        <v>179</v>
      </c>
    </row>
    <row r="36" spans="1:5" ht="21" customHeight="1">
      <c r="A36" s="124"/>
      <c r="B36" s="2" t="str">
        <f>IF(Tabela1[[#This Row],[Melhoria]]="","",E36)</f>
        <v/>
      </c>
      <c r="E36" s="125" t="s">
        <v>180</v>
      </c>
    </row>
    <row r="37" spans="1:5" ht="21" customHeight="1">
      <c r="A37" s="124"/>
      <c r="B37" s="2" t="str">
        <f>IF(Tabela1[[#This Row],[Melhoria]]="","",E37)</f>
        <v/>
      </c>
      <c r="E37" s="125" t="s">
        <v>181</v>
      </c>
    </row>
    <row r="38" spans="1:5" ht="21" customHeight="1">
      <c r="A38" s="124"/>
      <c r="B38" s="2" t="str">
        <f>IF(Tabela1[[#This Row],[Melhoria]]="","",E38)</f>
        <v/>
      </c>
      <c r="E38" s="125" t="s">
        <v>182</v>
      </c>
    </row>
    <row r="39" spans="1:5" ht="21" customHeight="1">
      <c r="A39" s="124"/>
      <c r="B39" s="2" t="str">
        <f>IF(Tabela1[[#This Row],[Melhoria]]="","",E39)</f>
        <v/>
      </c>
      <c r="E39" s="125" t="s">
        <v>183</v>
      </c>
    </row>
    <row r="40" spans="1:5" ht="21" customHeight="1">
      <c r="A40" s="124"/>
      <c r="B40" s="2" t="str">
        <f>IF(Tabela1[[#This Row],[Melhoria]]="","",E40)</f>
        <v/>
      </c>
      <c r="E40" s="125" t="s">
        <v>184</v>
      </c>
    </row>
    <row r="41" spans="1:5" ht="21" customHeight="1">
      <c r="A41" s="124"/>
      <c r="B41" s="2" t="str">
        <f>IF(Tabela1[[#This Row],[Melhoria]]="","",E41)</f>
        <v/>
      </c>
      <c r="E41" s="125" t="s">
        <v>185</v>
      </c>
    </row>
    <row r="42" spans="1:5" ht="21" customHeight="1">
      <c r="A42" s="124"/>
      <c r="B42" s="2" t="str">
        <f>IF(Tabela1[[#This Row],[Melhoria]]="","",E42)</f>
        <v/>
      </c>
      <c r="E42" s="125" t="s">
        <v>186</v>
      </c>
    </row>
    <row r="43" spans="1:5" ht="21" customHeight="1">
      <c r="A43" s="124"/>
      <c r="B43" s="2" t="str">
        <f>IF(Tabela1[[#This Row],[Melhoria]]="","",E43)</f>
        <v/>
      </c>
      <c r="E43" s="125" t="s">
        <v>187</v>
      </c>
    </row>
    <row r="44" spans="1:5" ht="21" customHeight="1">
      <c r="A44" s="124"/>
      <c r="B44" s="2" t="str">
        <f>IF(Tabela1[[#This Row],[Melhoria]]="","",E44)</f>
        <v/>
      </c>
      <c r="E44" s="125" t="s">
        <v>188</v>
      </c>
    </row>
    <row r="45" spans="1:5" ht="21" customHeight="1">
      <c r="A45" s="124"/>
      <c r="B45" s="2" t="str">
        <f>IF(Tabela1[[#This Row],[Melhoria]]="","",E45)</f>
        <v/>
      </c>
      <c r="E45" s="125" t="s">
        <v>189</v>
      </c>
    </row>
    <row r="46" spans="1:5" ht="21" customHeight="1">
      <c r="A46" s="124"/>
      <c r="B46" s="2" t="str">
        <f>IF(Tabela1[[#This Row],[Melhoria]]="","",E46)</f>
        <v/>
      </c>
      <c r="E46" s="125" t="s">
        <v>190</v>
      </c>
    </row>
    <row r="47" spans="1:5" ht="21" customHeight="1">
      <c r="A47" s="124"/>
      <c r="B47" s="2" t="str">
        <f>IF(Tabela1[[#This Row],[Melhoria]]="","",E47)</f>
        <v/>
      </c>
      <c r="E47" s="125" t="s">
        <v>191</v>
      </c>
    </row>
    <row r="48" spans="1:5" ht="21" customHeight="1">
      <c r="A48" s="124"/>
      <c r="B48" s="2" t="str">
        <f>IF(Tabela1[[#This Row],[Melhoria]]="","",E48)</f>
        <v/>
      </c>
      <c r="E48" s="125" t="s">
        <v>192</v>
      </c>
    </row>
    <row r="49" spans="1:5" ht="21" customHeight="1">
      <c r="A49" s="124"/>
      <c r="B49" s="2" t="str">
        <f>IF(Tabela1[[#This Row],[Melhoria]]="","",E49)</f>
        <v/>
      </c>
      <c r="E49" s="125" t="s">
        <v>193</v>
      </c>
    </row>
    <row r="50" spans="1:5" ht="21" customHeight="1">
      <c r="A50" s="124"/>
      <c r="B50" s="2" t="str">
        <f>IF(Tabela1[[#This Row],[Melhoria]]="","",E50)</f>
        <v/>
      </c>
      <c r="E50" s="125" t="s">
        <v>194</v>
      </c>
    </row>
    <row r="51" spans="1:5" ht="21" customHeight="1">
      <c r="A51" s="124"/>
      <c r="B51" s="2" t="str">
        <f>IF(Tabela1[[#This Row],[Melhoria]]="","",E51)</f>
        <v/>
      </c>
      <c r="E51" s="125" t="s">
        <v>195</v>
      </c>
    </row>
    <row r="52" spans="1:5" ht="21" customHeight="1">
      <c r="A52" s="124"/>
      <c r="B52" s="2" t="str">
        <f>IF(Tabela1[[#This Row],[Melhoria]]="","",E52)</f>
        <v/>
      </c>
      <c r="E52" s="125" t="s">
        <v>196</v>
      </c>
    </row>
    <row r="53" spans="1:5" ht="21" customHeight="1">
      <c r="A53" s="124"/>
      <c r="B53" s="2" t="str">
        <f>IF(Tabela1[[#This Row],[Melhoria]]="","",E53)</f>
        <v/>
      </c>
      <c r="E53" s="125" t="s">
        <v>197</v>
      </c>
    </row>
    <row r="54" spans="1:5" ht="21" customHeight="1">
      <c r="A54" s="124"/>
      <c r="B54" s="2" t="str">
        <f>IF(Tabela1[[#This Row],[Melhoria]]="","",E54)</f>
        <v/>
      </c>
      <c r="E54" s="125" t="s">
        <v>198</v>
      </c>
    </row>
    <row r="55" spans="1:5" ht="21" customHeight="1">
      <c r="A55" s="124"/>
      <c r="B55" s="2" t="str">
        <f>IF(Tabela1[[#This Row],[Melhoria]]="","",E55)</f>
        <v/>
      </c>
      <c r="E55" s="125" t="s">
        <v>199</v>
      </c>
    </row>
    <row r="56" spans="1:5" ht="21" customHeight="1">
      <c r="A56" s="124"/>
      <c r="B56" s="2" t="str">
        <f>IF(Tabela1[[#This Row],[Melhoria]]="","",E56)</f>
        <v/>
      </c>
      <c r="E56" s="125" t="s">
        <v>200</v>
      </c>
    </row>
    <row r="57" spans="1:5" ht="21" customHeight="1">
      <c r="A57" s="124"/>
      <c r="B57" s="2" t="str">
        <f>IF(Tabela1[[#This Row],[Melhoria]]="","",E57)</f>
        <v/>
      </c>
      <c r="E57" s="125" t="s">
        <v>201</v>
      </c>
    </row>
    <row r="58" spans="1:5" ht="21" customHeight="1">
      <c r="A58" s="124"/>
      <c r="B58" s="2" t="str">
        <f>IF(Tabela1[[#This Row],[Melhoria]]="","",E58)</f>
        <v/>
      </c>
      <c r="E58" s="125" t="s">
        <v>202</v>
      </c>
    </row>
    <row r="59" spans="1:5" ht="21" customHeight="1">
      <c r="A59" s="124"/>
      <c r="B59" s="2" t="str">
        <f>IF(Tabela1[[#This Row],[Melhoria]]="","",E59)</f>
        <v/>
      </c>
      <c r="E59" s="125" t="s">
        <v>203</v>
      </c>
    </row>
    <row r="60" spans="1:5" ht="21" customHeight="1">
      <c r="A60" s="124"/>
      <c r="B60" s="2" t="str">
        <f>IF(Tabela1[[#This Row],[Melhoria]]="","",E60)</f>
        <v/>
      </c>
      <c r="E60" s="125" t="s">
        <v>204</v>
      </c>
    </row>
    <row r="61" spans="1:5" ht="21" customHeight="1">
      <c r="A61" s="124"/>
      <c r="B61" s="2" t="str">
        <f>IF(Tabela1[[#This Row],[Melhoria]]="","",E61)</f>
        <v/>
      </c>
      <c r="E61" s="125" t="s">
        <v>205</v>
      </c>
    </row>
    <row r="62" spans="1:5" ht="21" customHeight="1">
      <c r="A62" s="124"/>
      <c r="B62" s="2" t="str">
        <f>IF(Tabela1[[#This Row],[Melhoria]]="","",E62)</f>
        <v/>
      </c>
      <c r="E62" s="125" t="s">
        <v>206</v>
      </c>
    </row>
    <row r="63" spans="1:5" ht="21" customHeight="1">
      <c r="A63" s="124"/>
      <c r="B63" s="2" t="str">
        <f>IF(Tabela1[[#This Row],[Melhoria]]="","",E63)</f>
        <v/>
      </c>
      <c r="E63" s="125" t="s">
        <v>207</v>
      </c>
    </row>
    <row r="64" spans="1:5" ht="21" customHeight="1">
      <c r="A64" s="124"/>
      <c r="B64" s="2" t="str">
        <f>IF(Tabela1[[#This Row],[Melhoria]]="","",E64)</f>
        <v/>
      </c>
      <c r="E64" s="125" t="s">
        <v>208</v>
      </c>
    </row>
    <row r="65" spans="1:5" ht="21" customHeight="1">
      <c r="A65" s="124"/>
      <c r="B65" s="2" t="str">
        <f>IF(Tabela1[[#This Row],[Melhoria]]="","",E65)</f>
        <v/>
      </c>
      <c r="E65" s="125" t="s">
        <v>209</v>
      </c>
    </row>
    <row r="66" spans="1:5" ht="21" customHeight="1">
      <c r="A66" s="124"/>
      <c r="B66" s="2" t="str">
        <f>IF(Tabela1[[#This Row],[Melhoria]]="","",E66)</f>
        <v/>
      </c>
      <c r="E66" s="125" t="s">
        <v>210</v>
      </c>
    </row>
    <row r="67" spans="1:5" ht="21" customHeight="1">
      <c r="A67" s="124"/>
      <c r="B67" s="2" t="str">
        <f>IF(Tabela1[[#This Row],[Melhoria]]="","",E67)</f>
        <v/>
      </c>
      <c r="E67" s="125" t="s">
        <v>211</v>
      </c>
    </row>
    <row r="68" spans="1:5" ht="21" customHeight="1">
      <c r="A68" s="124"/>
      <c r="B68" s="2" t="str">
        <f>IF(Tabela1[[#This Row],[Melhoria]]="","",E68)</f>
        <v/>
      </c>
      <c r="E68" s="125" t="s">
        <v>212</v>
      </c>
    </row>
    <row r="69" spans="1:5" ht="21" customHeight="1">
      <c r="A69" s="124"/>
      <c r="B69" s="2" t="str">
        <f>IF(Tabela1[[#This Row],[Melhoria]]="","",E69)</f>
        <v/>
      </c>
      <c r="E69" s="125" t="s">
        <v>213</v>
      </c>
    </row>
    <row r="70" spans="1:5" ht="21" customHeight="1">
      <c r="A70" s="124"/>
      <c r="B70" s="2" t="str">
        <f>IF(Tabela1[[#This Row],[Melhoria]]="","",E70)</f>
        <v/>
      </c>
      <c r="E70" s="125" t="s">
        <v>214</v>
      </c>
    </row>
    <row r="71" spans="1:5" ht="21" customHeight="1">
      <c r="A71" s="124"/>
      <c r="B71" s="2" t="str">
        <f>IF(Tabela1[[#This Row],[Melhoria]]="","",E71)</f>
        <v/>
      </c>
      <c r="E71" s="125" t="s">
        <v>215</v>
      </c>
    </row>
    <row r="72" spans="1:5" ht="21" customHeight="1">
      <c r="A72" s="124"/>
      <c r="B72" s="2" t="str">
        <f>IF(Tabela1[[#This Row],[Melhoria]]="","",E72)</f>
        <v/>
      </c>
      <c r="E72" s="125" t="s">
        <v>216</v>
      </c>
    </row>
    <row r="73" spans="1:5" ht="21" customHeight="1">
      <c r="A73" s="124"/>
      <c r="B73" s="2" t="str">
        <f>IF(Tabela1[[#This Row],[Melhoria]]="","",E73)</f>
        <v/>
      </c>
      <c r="E73" s="125" t="s">
        <v>217</v>
      </c>
    </row>
    <row r="74" spans="1:5" ht="21" customHeight="1">
      <c r="A74" s="124"/>
      <c r="B74" s="2" t="str">
        <f>IF(Tabela1[[#This Row],[Melhoria]]="","",E74)</f>
        <v/>
      </c>
      <c r="E74" s="125" t="s">
        <v>218</v>
      </c>
    </row>
    <row r="75" spans="1:5" ht="21" customHeight="1">
      <c r="A75" s="124"/>
      <c r="B75" s="2" t="str">
        <f>IF(Tabela1[[#This Row],[Melhoria]]="","",E75)</f>
        <v/>
      </c>
      <c r="E75" s="125" t="s">
        <v>219</v>
      </c>
    </row>
    <row r="76" spans="1:5" ht="21" customHeight="1">
      <c r="A76" s="124"/>
      <c r="B76" s="2" t="str">
        <f>IF(Tabela1[[#This Row],[Melhoria]]="","",E76)</f>
        <v/>
      </c>
      <c r="E76" s="125" t="s">
        <v>220</v>
      </c>
    </row>
    <row r="77" spans="1:5" ht="21" customHeight="1">
      <c r="A77" s="124"/>
      <c r="B77" s="2" t="str">
        <f>IF(Tabela1[[#This Row],[Melhoria]]="","",E77)</f>
        <v/>
      </c>
      <c r="E77" s="125" t="s">
        <v>221</v>
      </c>
    </row>
    <row r="78" spans="1:5" ht="21" customHeight="1">
      <c r="A78" s="124"/>
      <c r="B78" s="2" t="str">
        <f>IF(Tabela1[[#This Row],[Melhoria]]="","",E78)</f>
        <v/>
      </c>
      <c r="E78" s="125" t="s">
        <v>222</v>
      </c>
    </row>
    <row r="79" spans="1:5" ht="21" customHeight="1">
      <c r="A79" s="124"/>
      <c r="B79" s="2" t="str">
        <f>IF(Tabela1[[#This Row],[Melhoria]]="","",E79)</f>
        <v/>
      </c>
      <c r="E79" s="125" t="s">
        <v>223</v>
      </c>
    </row>
    <row r="80" spans="1:5" ht="21" customHeight="1">
      <c r="A80" s="124"/>
      <c r="B80" s="2" t="str">
        <f>IF(Tabela1[[#This Row],[Melhoria]]="","",E80)</f>
        <v/>
      </c>
      <c r="E80" s="125" t="s">
        <v>224</v>
      </c>
    </row>
    <row r="81" spans="1:5" ht="21" customHeight="1">
      <c r="A81" s="124"/>
      <c r="B81" s="2" t="str">
        <f>IF(Tabela1[[#This Row],[Melhoria]]="","",E81)</f>
        <v/>
      </c>
      <c r="E81" s="125" t="s">
        <v>225</v>
      </c>
    </row>
    <row r="82" spans="1:5" ht="21" customHeight="1">
      <c r="A82" s="124"/>
      <c r="B82" s="2" t="str">
        <f>IF(Tabela1[[#This Row],[Melhoria]]="","",E82)</f>
        <v/>
      </c>
      <c r="E82" s="125" t="s">
        <v>226</v>
      </c>
    </row>
    <row r="83" spans="1:5" ht="21" customHeight="1">
      <c r="A83" s="124"/>
      <c r="B83" s="2" t="str">
        <f>IF(Tabela1[[#This Row],[Melhoria]]="","",E83)</f>
        <v/>
      </c>
      <c r="E83" s="125" t="s">
        <v>227</v>
      </c>
    </row>
    <row r="84" spans="1:5" ht="21" customHeight="1">
      <c r="A84" s="124"/>
      <c r="B84" s="2" t="str">
        <f>IF(Tabela1[[#This Row],[Melhoria]]="","",E84)</f>
        <v/>
      </c>
      <c r="E84" s="125" t="s">
        <v>228</v>
      </c>
    </row>
    <row r="85" spans="1:5" ht="21" customHeight="1">
      <c r="A85" s="124"/>
      <c r="B85" s="2" t="str">
        <f>IF(Tabela1[[#This Row],[Melhoria]]="","",E85)</f>
        <v/>
      </c>
      <c r="E85" s="125" t="s">
        <v>229</v>
      </c>
    </row>
    <row r="86" spans="1:5" ht="21" customHeight="1">
      <c r="A86" s="124"/>
      <c r="B86" s="2" t="str">
        <f>IF(Tabela1[[#This Row],[Melhoria]]="","",E86)</f>
        <v/>
      </c>
      <c r="E86" s="125" t="s">
        <v>230</v>
      </c>
    </row>
    <row r="87" spans="1:5" ht="21" customHeight="1">
      <c r="A87" s="124"/>
      <c r="B87" s="2" t="str">
        <f>IF(Tabela1[[#This Row],[Melhoria]]="","",E87)</f>
        <v/>
      </c>
      <c r="E87" s="125" t="s">
        <v>231</v>
      </c>
    </row>
    <row r="88" spans="1:5" ht="21" customHeight="1">
      <c r="A88" s="124"/>
      <c r="B88" s="2" t="str">
        <f>IF(Tabela1[[#This Row],[Melhoria]]="","",E88)</f>
        <v/>
      </c>
      <c r="E88" s="125" t="s">
        <v>232</v>
      </c>
    </row>
    <row r="89" spans="1:5" ht="21" customHeight="1">
      <c r="A89" s="124"/>
      <c r="B89" s="2" t="str">
        <f>IF(Tabela1[[#This Row],[Melhoria]]="","",E89)</f>
        <v/>
      </c>
      <c r="E89" s="125" t="s">
        <v>233</v>
      </c>
    </row>
    <row r="90" spans="1:5" ht="21" customHeight="1">
      <c r="A90" s="124"/>
      <c r="B90" s="2" t="str">
        <f>IF(Tabela1[[#This Row],[Melhoria]]="","",E90)</f>
        <v/>
      </c>
      <c r="E90" s="125" t="s">
        <v>234</v>
      </c>
    </row>
    <row r="91" spans="1:5" ht="21" customHeight="1">
      <c r="A91" s="124"/>
      <c r="B91" s="2" t="str">
        <f>IF(Tabela1[[#This Row],[Melhoria]]="","",E91)</f>
        <v/>
      </c>
      <c r="E91" s="125" t="s">
        <v>235</v>
      </c>
    </row>
    <row r="92" spans="1:5" ht="21" customHeight="1">
      <c r="A92" s="124"/>
      <c r="B92" s="2" t="str">
        <f>IF(Tabela1[[#This Row],[Melhoria]]="","",E92)</f>
        <v/>
      </c>
      <c r="E92" s="125" t="s">
        <v>236</v>
      </c>
    </row>
    <row r="93" spans="1:5" ht="21" customHeight="1">
      <c r="A93" s="124"/>
      <c r="B93" s="2" t="str">
        <f>IF(Tabela1[[#This Row],[Melhoria]]="","",E93)</f>
        <v/>
      </c>
      <c r="E93" s="125" t="s">
        <v>237</v>
      </c>
    </row>
    <row r="94" spans="1:5" ht="21" customHeight="1">
      <c r="A94" s="124"/>
      <c r="B94" s="2" t="str">
        <f>IF(Tabela1[[#This Row],[Melhoria]]="","",E94)</f>
        <v/>
      </c>
      <c r="E94" s="125" t="s">
        <v>238</v>
      </c>
    </row>
    <row r="95" spans="1:5" ht="21" customHeight="1">
      <c r="A95" s="124"/>
      <c r="B95" s="2" t="str">
        <f>IF(Tabela1[[#This Row],[Melhoria]]="","",E95)</f>
        <v/>
      </c>
      <c r="E95" s="125" t="s">
        <v>239</v>
      </c>
    </row>
    <row r="96" spans="1:5" ht="21" customHeight="1">
      <c r="A96" s="124"/>
      <c r="B96" s="2" t="str">
        <f>IF(Tabela1[[#This Row],[Melhoria]]="","",E96)</f>
        <v/>
      </c>
      <c r="E96" s="125" t="s">
        <v>240</v>
      </c>
    </row>
    <row r="97" spans="1:5" ht="21" customHeight="1">
      <c r="A97" s="124"/>
      <c r="B97" s="2" t="str">
        <f>IF(Tabela1[[#This Row],[Melhoria]]="","",E97)</f>
        <v/>
      </c>
      <c r="E97" s="125" t="s">
        <v>241</v>
      </c>
    </row>
    <row r="98" spans="1:5" ht="21" customHeight="1">
      <c r="A98" s="124"/>
      <c r="B98" s="2" t="str">
        <f>IF(Tabela1[[#This Row],[Melhoria]]="","",E98)</f>
        <v/>
      </c>
      <c r="E98" s="125" t="s">
        <v>242</v>
      </c>
    </row>
    <row r="99" spans="1:5" ht="21" customHeight="1">
      <c r="A99" s="124"/>
      <c r="B99" s="2" t="str">
        <f>IF(Tabela1[[#This Row],[Melhoria]]="","",E99)</f>
        <v/>
      </c>
      <c r="E99" s="125" t="s">
        <v>243</v>
      </c>
    </row>
    <row r="100" spans="1:5" ht="21" customHeight="1">
      <c r="A100" s="124"/>
      <c r="B100" s="2" t="str">
        <f>IF(Tabela1[[#This Row],[Melhoria]]="","",E100)</f>
        <v/>
      </c>
      <c r="E100" s="125" t="s">
        <v>244</v>
      </c>
    </row>
    <row r="101" spans="1:5" ht="21" customHeight="1">
      <c r="A101" s="124"/>
      <c r="B101" s="2" t="str">
        <f>IF(Tabela1[[#This Row],[Melhoria]]="","",E101)</f>
        <v/>
      </c>
      <c r="E101" s="125" t="s">
        <v>245</v>
      </c>
    </row>
    <row r="102" spans="1:5" ht="21" customHeight="1">
      <c r="A102" s="124"/>
      <c r="B102" s="2" t="str">
        <f>IF(Tabela1[[#This Row],[Melhoria]]="","",E102)</f>
        <v/>
      </c>
      <c r="E102" s="125" t="s">
        <v>246</v>
      </c>
    </row>
    <row r="103" spans="1:5" ht="21" customHeight="1">
      <c r="A103" s="124"/>
      <c r="B103" s="2" t="str">
        <f>IF(Tabela1[[#This Row],[Melhoria]]="","",E103)</f>
        <v/>
      </c>
      <c r="E103" s="125" t="s">
        <v>247</v>
      </c>
    </row>
    <row r="104" spans="1:5" ht="21" customHeight="1">
      <c r="A104" s="124"/>
      <c r="B104" s="2" t="str">
        <f>IF(Tabela1[[#This Row],[Melhoria]]="","",E104)</f>
        <v/>
      </c>
      <c r="E104" s="125" t="s">
        <v>248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9</vt:i4>
      </vt:variant>
    </vt:vector>
  </HeadingPairs>
  <TitlesOfParts>
    <vt:vector size="22" baseType="lpstr">
      <vt:lpstr>Menu2</vt:lpstr>
      <vt:lpstr>Menu</vt:lpstr>
      <vt:lpstr>Consultas</vt:lpstr>
      <vt:lpstr>Pesquisa</vt:lpstr>
      <vt:lpstr>Estoque</vt:lpstr>
      <vt:lpstr>Entradas</vt:lpstr>
      <vt:lpstr>Saídas</vt:lpstr>
      <vt:lpstr>Perdas</vt:lpstr>
      <vt:lpstr>F e C</vt:lpstr>
      <vt:lpstr>Ajustes</vt:lpstr>
      <vt:lpstr>Ajuda</vt:lpstr>
      <vt:lpstr>Aviso</vt:lpstr>
      <vt:lpstr>Versão</vt:lpstr>
      <vt:lpstr>Pesquisa!Area_de_extracao</vt:lpstr>
      <vt:lpstr>CodigoFC</vt:lpstr>
      <vt:lpstr>colunadescrição</vt:lpstr>
      <vt:lpstr>Pesquisa!Criterios</vt:lpstr>
      <vt:lpstr>Medicao</vt:lpstr>
      <vt:lpstr>NomeRessuprimento</vt:lpstr>
      <vt:lpstr>setores</vt:lpstr>
      <vt:lpstr>SKU</vt:lpstr>
      <vt:lpstr>Tipo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Faustino</dc:creator>
  <cp:lastModifiedBy>Vicente Faustino</cp:lastModifiedBy>
  <dcterms:created xsi:type="dcterms:W3CDTF">2015-10-05T20:13:29Z</dcterms:created>
  <dcterms:modified xsi:type="dcterms:W3CDTF">2025-09-14T15:56:13Z</dcterms:modified>
</cp:coreProperties>
</file>