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8e70af3d60e3e5/Desktop/Excel/"/>
    </mc:Choice>
  </mc:AlternateContent>
  <xr:revisionPtr revIDLastSave="0" documentId="8_{2E57C732-233C-4349-8721-14AADB196BF8}" xr6:coauthVersionLast="47" xr6:coauthVersionMax="47" xr10:uidLastSave="{00000000-0000-0000-0000-000000000000}"/>
  <bookViews>
    <workbookView xWindow="-108" yWindow="-108" windowWidth="23256" windowHeight="12456" tabRatio="0" firstSheet="2" activeTab="2" xr2:uid="{DB859DE8-7419-4092-ABCA-44E7870564FF}"/>
  </bookViews>
  <sheets>
    <sheet name="Planilha1" sheetId="1" r:id="rId1"/>
    <sheet name="Início" sheetId="2" r:id="rId2"/>
    <sheet name="Cadastros Gerais" sheetId="3" r:id="rId3"/>
    <sheet name="Produtos" sheetId="4" r:id="rId4"/>
    <sheet name="Entrada e Saída" sheetId="5" r:id="rId5"/>
    <sheet name="Registro de Inventário" sheetId="6" r:id="rId6"/>
    <sheet name="Consulta de Estoque" sheetId="7" r:id="rId7"/>
  </sheets>
  <functionGroups builtInGroupCount="19"/>
  <definedNames>
    <definedName name="DadosExternos_1" localSheetId="6" hidden="1">'Consulta de Estoque'!$F$15:$K$19</definedName>
    <definedName name="lConsultaEstoque">'Consulta de Estoque'!$G$6</definedName>
    <definedName name="logo">Início!$G$5:$J$7</definedName>
    <definedName name="lOperacaoFiscal">tCadastrosGerais[Operação Fiscal]</definedName>
    <definedName name="lProdutos">tProdutos[Código]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9" i="7" l="1"/>
  <c r="L18" i="7" s="1"/>
  <c r="L17" i="7" s="1"/>
  <c r="L16" i="7" s="1"/>
  <c r="M19" i="7"/>
  <c r="M18" i="7" s="1"/>
  <c r="K7" i="4"/>
  <c r="K8" i="4"/>
  <c r="K9" i="4"/>
  <c r="I9" i="7"/>
  <c r="F10" i="6"/>
  <c r="F11" i="6"/>
  <c r="F12" i="6"/>
  <c r="F13" i="6"/>
  <c r="F14" i="6"/>
  <c r="F9" i="6"/>
  <c r="F8" i="6"/>
  <c r="G12" i="7"/>
  <c r="G11" i="7"/>
  <c r="G10" i="7"/>
  <c r="G9" i="7"/>
  <c r="F7" i="6"/>
  <c r="G16" i="5"/>
  <c r="G12" i="5"/>
  <c r="G10" i="5"/>
  <c r="G9" i="5"/>
  <c r="G8" i="5"/>
  <c r="G7" i="5"/>
  <c r="F8" i="4"/>
  <c r="F9" i="4"/>
  <c r="F7" i="4"/>
  <c r="N19" i="7" l="1"/>
  <c r="N18" i="7"/>
  <c r="M17" i="7"/>
  <c r="I10" i="7"/>
  <c r="M16" i="7" l="1"/>
  <c r="N16" i="7" s="1"/>
  <c r="I12" i="7" s="1"/>
  <c r="N17" i="7"/>
  <c r="I11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18488D-40B2-4D98-8823-1035919F6311}" keepAlive="1" name="Consulta - tRegistrodeInventario" description="Conexão com a consulta 'tRegistrodeInventario' na pasta de trabalho." type="5" refreshedVersion="8" background="1" saveData="1">
    <dbPr connection="Provider=Microsoft.Mashup.OleDb.1;Data Source=$Workbook$;Location=tRegistrodeInventario;Extended Properties=&quot;&quot;" command="SELECT * FROM [tRegistrodeInventario]"/>
  </connection>
</connections>
</file>

<file path=xl/sharedStrings.xml><?xml version="1.0" encoding="utf-8"?>
<sst xmlns="http://schemas.openxmlformats.org/spreadsheetml/2006/main" count="96" uniqueCount="40">
  <si>
    <t>Operação Fiscal</t>
  </si>
  <si>
    <t>Tipo de Movimentação</t>
  </si>
  <si>
    <t>Entrada fornecedor</t>
  </si>
  <si>
    <t>Venda de mercadorias</t>
  </si>
  <si>
    <t>Entrada</t>
  </si>
  <si>
    <t>Saída</t>
  </si>
  <si>
    <t>Código</t>
  </si>
  <si>
    <t>Produto</t>
  </si>
  <si>
    <t>Dimensões</t>
  </si>
  <si>
    <t>Fornecedor Principal</t>
  </si>
  <si>
    <t>Detalhes</t>
  </si>
  <si>
    <t>Raquete de tênis Wilson</t>
  </si>
  <si>
    <t>Wilson</t>
  </si>
  <si>
    <t>Azul</t>
  </si>
  <si>
    <t>Tênis de corrida Mizuno</t>
  </si>
  <si>
    <t>Mizuno</t>
  </si>
  <si>
    <t>Vermelho</t>
  </si>
  <si>
    <t>Toca de natação Speedo</t>
  </si>
  <si>
    <t>Speedo</t>
  </si>
  <si>
    <t>Preto</t>
  </si>
  <si>
    <t>Estoque Atual</t>
  </si>
  <si>
    <t>Tipo Movimentação</t>
  </si>
  <si>
    <t>Data</t>
  </si>
  <si>
    <t>Quantidade</t>
  </si>
  <si>
    <t>Valor Unitário</t>
  </si>
  <si>
    <t>Valor Total</t>
  </si>
  <si>
    <t>Série</t>
  </si>
  <si>
    <t>Nota Fiscal</t>
  </si>
  <si>
    <t>Fornecedor/Cliente</t>
  </si>
  <si>
    <t>Complemento</t>
  </si>
  <si>
    <t>ID</t>
  </si>
  <si>
    <t>Qtde.</t>
  </si>
  <si>
    <t>Entrada de Fornecedor</t>
  </si>
  <si>
    <t>Resumo</t>
  </si>
  <si>
    <t>Valor</t>
  </si>
  <si>
    <t>Custo Médio</t>
  </si>
  <si>
    <t>Qtd. Total</t>
  </si>
  <si>
    <t>Valor Estoque</t>
  </si>
  <si>
    <t>Joaquim</t>
  </si>
  <si>
    <t>Entrega atrasada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</si>
</sst>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;;;@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entury Gothic"/>
      <family val="2"/>
    </font>
    <font>
      <sz val="14"/>
      <color theme="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rgb="FF2E3740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 style="medium">
        <color rgb="FFAEAAAA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0" borderId="0" xfId="0" applyFont="1"/>
    <xf numFmtId="0" fontId="2" fillId="0" borderId="0" xfId="0" applyFont="1" applyAlignment="1">
      <alignment vertical="center"/>
    </xf>
    <xf numFmtId="0" fontId="3" fillId="3" borderId="2" xfId="0" applyFont="1" applyFill="1" applyBorder="1"/>
    <xf numFmtId="164" fontId="2" fillId="0" borderId="2" xfId="0" applyNumberFormat="1" applyFont="1" applyBorder="1"/>
    <xf numFmtId="0" fontId="2" fillId="0" borderId="2" xfId="0" applyFont="1" applyBorder="1"/>
    <xf numFmtId="44" fontId="2" fillId="0" borderId="2" xfId="1" applyFont="1" applyBorder="1"/>
    <xf numFmtId="0" fontId="2" fillId="4" borderId="2" xfId="0" applyFont="1" applyFill="1" applyBorder="1" applyProtection="1">
      <protection locked="0"/>
    </xf>
    <xf numFmtId="14" fontId="2" fillId="4" borderId="2" xfId="0" applyNumberFormat="1" applyFont="1" applyFill="1" applyBorder="1" applyProtection="1">
      <protection locked="0"/>
    </xf>
    <xf numFmtId="44" fontId="2" fillId="4" borderId="2" xfId="1" applyFont="1" applyFill="1" applyBorder="1" applyProtection="1">
      <protection locked="0"/>
    </xf>
    <xf numFmtId="0" fontId="4" fillId="0" borderId="0" xfId="0" applyFont="1"/>
    <xf numFmtId="14" fontId="4" fillId="0" borderId="0" xfId="0" applyNumberFormat="1" applyFont="1"/>
    <xf numFmtId="0" fontId="5" fillId="0" borderId="0" xfId="0" applyFont="1"/>
    <xf numFmtId="0" fontId="5" fillId="4" borderId="0" xfId="0" applyFont="1" applyFill="1" applyAlignment="1">
      <alignment horizontal="centerContinuous"/>
    </xf>
    <xf numFmtId="0" fontId="6" fillId="6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164" fontId="5" fillId="0" borderId="2" xfId="0" applyNumberFormat="1" applyFont="1" applyBorder="1"/>
    <xf numFmtId="165" fontId="4" fillId="0" borderId="0" xfId="1" applyNumberFormat="1" applyFont="1"/>
    <xf numFmtId="14" fontId="5" fillId="0" borderId="0" xfId="0" applyNumberFormat="1" applyFont="1"/>
    <xf numFmtId="44" fontId="5" fillId="0" borderId="0" xfId="1" applyFont="1"/>
    <xf numFmtId="44" fontId="5" fillId="0" borderId="0" xfId="0" applyNumberFormat="1" applyFont="1"/>
    <xf numFmtId="14" fontId="5" fillId="0" borderId="2" xfId="0" applyNumberFormat="1" applyFont="1" applyBorder="1"/>
    <xf numFmtId="44" fontId="5" fillId="0" borderId="2" xfId="1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0" borderId="0" xfId="0" applyNumberFormat="1" applyFont="1"/>
  </cellXfs>
  <cellStyles count="2">
    <cellStyle name="Moeda" xfId="1" builtinId="4"/>
    <cellStyle name="Normal" xfId="0" builtinId="0"/>
  </cellStyles>
  <dxfs count="38"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ill>
        <patternFill>
          <bgColor theme="1" tint="0.34998626667073579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EF543EFF-64AD-47BA-9AB2-A0AE3769F5DF}"/>
  </tableStyles>
  <colors>
    <mruColors>
      <color rgb="FF27A9E3"/>
      <color rgb="FFAEAAAA"/>
      <color rgb="FF2E37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Entrada e Sa&#237;da'!E1"/><Relationship Id="rId13" Type="http://schemas.openxmlformats.org/officeDocument/2006/relationships/image" Target="../media/image5.png"/><Relationship Id="rId3" Type="http://schemas.openxmlformats.org/officeDocument/2006/relationships/image" Target="../media/image7.emf"/><Relationship Id="rId7" Type="http://schemas.openxmlformats.org/officeDocument/2006/relationships/image" Target="../media/image2.png"/><Relationship Id="rId12" Type="http://schemas.openxmlformats.org/officeDocument/2006/relationships/hyperlink" Target="#'Consulta de Estoque'!E1"/><Relationship Id="rId2" Type="http://schemas.openxmlformats.org/officeDocument/2006/relationships/image" Target="../media/image6.png"/><Relationship Id="rId1" Type="http://schemas.openxmlformats.org/officeDocument/2006/relationships/hyperlink" Target="#In&#237;cio!E1"/><Relationship Id="rId6" Type="http://schemas.openxmlformats.org/officeDocument/2006/relationships/hyperlink" Target="#Produtos!E1"/><Relationship Id="rId11" Type="http://schemas.openxmlformats.org/officeDocument/2006/relationships/image" Target="../media/image4.png"/><Relationship Id="rId5" Type="http://schemas.openxmlformats.org/officeDocument/2006/relationships/image" Target="../media/image1.png"/><Relationship Id="rId10" Type="http://schemas.openxmlformats.org/officeDocument/2006/relationships/hyperlink" Target="#'Registro de Invent&#225;rio'!E1"/><Relationship Id="rId4" Type="http://schemas.openxmlformats.org/officeDocument/2006/relationships/hyperlink" Target="#'Cadastros Gerais'!E1"/><Relationship Id="rId9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Registro de Invent&#225;rio'!E1"/><Relationship Id="rId13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hyperlink" Target="#In&#237;cio!E1"/><Relationship Id="rId2" Type="http://schemas.openxmlformats.org/officeDocument/2006/relationships/hyperlink" Target="#'Cadastros Gerais'!E1"/><Relationship Id="rId1" Type="http://schemas.openxmlformats.org/officeDocument/2006/relationships/image" Target="../media/image7.emf"/><Relationship Id="rId6" Type="http://schemas.openxmlformats.org/officeDocument/2006/relationships/hyperlink" Target="#'Entrada e Sa&#237;da'!E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hyperlink" Target="#'Consulta de Estoque'!E1"/><Relationship Id="rId4" Type="http://schemas.openxmlformats.org/officeDocument/2006/relationships/hyperlink" Target="#Produtos!E1"/><Relationship Id="rId9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Registro de Invent&#225;rio'!E1"/><Relationship Id="rId13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hyperlink" Target="#In&#237;cio!E1"/><Relationship Id="rId2" Type="http://schemas.openxmlformats.org/officeDocument/2006/relationships/hyperlink" Target="#'Cadastros Gerais'!E1"/><Relationship Id="rId1" Type="http://schemas.openxmlformats.org/officeDocument/2006/relationships/image" Target="../media/image7.emf"/><Relationship Id="rId6" Type="http://schemas.openxmlformats.org/officeDocument/2006/relationships/hyperlink" Target="#'Entrada e Sa&#237;da'!E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hyperlink" Target="#'Consulta de Estoque'!E1"/><Relationship Id="rId4" Type="http://schemas.openxmlformats.org/officeDocument/2006/relationships/hyperlink" Target="#Produtos!E1"/><Relationship Id="rId9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Registro de Invent&#225;rio'!E1"/><Relationship Id="rId13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hyperlink" Target="#In&#237;cio!E1"/><Relationship Id="rId2" Type="http://schemas.openxmlformats.org/officeDocument/2006/relationships/hyperlink" Target="#'Cadastros Gerais'!E1"/><Relationship Id="rId1" Type="http://schemas.openxmlformats.org/officeDocument/2006/relationships/image" Target="../media/image7.emf"/><Relationship Id="rId6" Type="http://schemas.openxmlformats.org/officeDocument/2006/relationships/hyperlink" Target="#'Entrada e Sa&#237;da'!E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hyperlink" Target="#'Consulta de Estoque'!E1"/><Relationship Id="rId4" Type="http://schemas.openxmlformats.org/officeDocument/2006/relationships/hyperlink" Target="#Produtos!E1"/><Relationship Id="rId9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Registro de Invent&#225;rio'!E1"/><Relationship Id="rId13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hyperlink" Target="#In&#237;cio!E1"/><Relationship Id="rId2" Type="http://schemas.openxmlformats.org/officeDocument/2006/relationships/hyperlink" Target="#'Cadastros Gerais'!E1"/><Relationship Id="rId1" Type="http://schemas.openxmlformats.org/officeDocument/2006/relationships/image" Target="../media/image7.emf"/><Relationship Id="rId6" Type="http://schemas.openxmlformats.org/officeDocument/2006/relationships/hyperlink" Target="#'Entrada e Sa&#237;da'!E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hyperlink" Target="#'Consulta de Estoque'!E1"/><Relationship Id="rId4" Type="http://schemas.openxmlformats.org/officeDocument/2006/relationships/hyperlink" Target="#Produtos!E1"/><Relationship Id="rId9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Registro de Invent&#225;rio'!E1"/><Relationship Id="rId13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hyperlink" Target="#In&#237;cio!E1"/><Relationship Id="rId2" Type="http://schemas.openxmlformats.org/officeDocument/2006/relationships/hyperlink" Target="#'Cadastros Gerais'!E1"/><Relationship Id="rId1" Type="http://schemas.openxmlformats.org/officeDocument/2006/relationships/image" Target="../media/image7.emf"/><Relationship Id="rId6" Type="http://schemas.openxmlformats.org/officeDocument/2006/relationships/hyperlink" Target="#'Entrada e Sa&#237;da'!E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hyperlink" Target="#'Consulta de Estoque'!E1"/><Relationship Id="rId4" Type="http://schemas.openxmlformats.org/officeDocument/2006/relationships/hyperlink" Target="#Produtos!E1"/><Relationship Id="rId9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4</xdr:row>
      <xdr:rowOff>47624</xdr:rowOff>
    </xdr:from>
    <xdr:to>
      <xdr:col>4</xdr:col>
      <xdr:colOff>1</xdr:colOff>
      <xdr:row>7</xdr:row>
      <xdr:rowOff>57149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A76E68FD-53FF-442D-9382-DE7117ED19F5}"/>
            </a:ext>
          </a:extLst>
        </xdr:cNvPr>
        <xdr:cNvGrpSpPr/>
      </xdr:nvGrpSpPr>
      <xdr:grpSpPr>
        <a:xfrm>
          <a:off x="1" y="774455"/>
          <a:ext cx="2438400" cy="554648"/>
          <a:chOff x="1" y="809624"/>
          <a:chExt cx="2444151" cy="581025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DC6523BE-9648-4A1B-BB56-313CD741D957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BCCD5E2-AB05-443C-829C-600BC443BF07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4ECD6FDD-F72A-4259-98A7-D5555D2F4C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57149</xdr:rowOff>
    </xdr:from>
    <xdr:to>
      <xdr:col>4</xdr:col>
      <xdr:colOff>1</xdr:colOff>
      <xdr:row>10</xdr:row>
      <xdr:rowOff>66674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8B918735-41BA-47FD-A32A-22F25E6C83D6}"/>
            </a:ext>
          </a:extLst>
        </xdr:cNvPr>
        <xdr:cNvGrpSpPr/>
      </xdr:nvGrpSpPr>
      <xdr:grpSpPr>
        <a:xfrm>
          <a:off x="1" y="1329103"/>
          <a:ext cx="2438400" cy="554648"/>
          <a:chOff x="1" y="1390649"/>
          <a:chExt cx="2432538" cy="581025"/>
        </a:xfrm>
      </xdr:grpSpPr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58504C7C-1CEE-407A-92F2-3F8B94843785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EC1E640-EB6F-4845-91DD-8AE7A4D16D8D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273CDAC-49AD-4050-9307-D0353D2FFE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10</xdr:row>
      <xdr:rowOff>57149</xdr:rowOff>
    </xdr:from>
    <xdr:to>
      <xdr:col>4</xdr:col>
      <xdr:colOff>1</xdr:colOff>
      <xdr:row>13</xdr:row>
      <xdr:rowOff>66674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A70D0EDD-3A30-4CB8-8A92-C7E2AE294E79}"/>
            </a:ext>
          </a:extLst>
        </xdr:cNvPr>
        <xdr:cNvGrpSpPr/>
      </xdr:nvGrpSpPr>
      <xdr:grpSpPr>
        <a:xfrm>
          <a:off x="1" y="1874226"/>
          <a:ext cx="2438400" cy="554648"/>
          <a:chOff x="1" y="1962149"/>
          <a:chExt cx="2446421" cy="581025"/>
        </a:xfrm>
      </xdr:grpSpPr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12B842F4-E227-4B52-91D7-6162A56EE5BF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62562DC-24C7-4591-A496-B1806717FC95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0AE6888-7F99-421D-BB00-CEBFEA3C1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13</xdr:row>
      <xdr:rowOff>66674</xdr:rowOff>
    </xdr:from>
    <xdr:to>
      <xdr:col>4</xdr:col>
      <xdr:colOff>1</xdr:colOff>
      <xdr:row>16</xdr:row>
      <xdr:rowOff>76199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7BF2D00-8B05-467F-87FF-32BC579B1B5D}"/>
            </a:ext>
          </a:extLst>
        </xdr:cNvPr>
        <xdr:cNvGrpSpPr/>
      </xdr:nvGrpSpPr>
      <xdr:grpSpPr>
        <a:xfrm>
          <a:off x="1" y="2428874"/>
          <a:ext cx="2438400" cy="554648"/>
          <a:chOff x="1" y="2543174"/>
          <a:chExt cx="2446421" cy="581025"/>
        </a:xfrm>
      </xdr:grpSpPr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6A709D4-6B6F-4FF5-ACA9-141F0CF8E02F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A4CDB465-CC52-4F92-A2AB-B7073E4E742E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2217D4FD-D32F-43FF-96DB-C46A6E0744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76199</xdr:rowOff>
    </xdr:from>
    <xdr:to>
      <xdr:col>4</xdr:col>
      <xdr:colOff>1</xdr:colOff>
      <xdr:row>19</xdr:row>
      <xdr:rowOff>85724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C50E4EC6-B535-44E0-A8C1-43E6C99187CB}"/>
            </a:ext>
          </a:extLst>
        </xdr:cNvPr>
        <xdr:cNvGrpSpPr/>
      </xdr:nvGrpSpPr>
      <xdr:grpSpPr>
        <a:xfrm>
          <a:off x="1" y="2983522"/>
          <a:ext cx="2438400" cy="554648"/>
          <a:chOff x="1" y="3124199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28B61942-A838-4F67-93DF-4BBF6442F8FE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D5DC2783-751E-4B5A-9282-E444E510819C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25E71E03-D522-4A25-8AB9-42CEC5B9EF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19</xdr:row>
      <xdr:rowOff>85724</xdr:rowOff>
    </xdr:from>
    <xdr:to>
      <xdr:col>4</xdr:col>
      <xdr:colOff>1</xdr:colOff>
      <xdr:row>22</xdr:row>
      <xdr:rowOff>95249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67BFB15A-0639-4123-9DDF-863D1F0DCE4E}"/>
            </a:ext>
          </a:extLst>
        </xdr:cNvPr>
        <xdr:cNvGrpSpPr/>
      </xdr:nvGrpSpPr>
      <xdr:grpSpPr>
        <a:xfrm>
          <a:off x="1" y="3538170"/>
          <a:ext cx="2438400" cy="554648"/>
          <a:chOff x="1" y="3705224"/>
          <a:chExt cx="2446421" cy="581025"/>
        </a:xfrm>
      </xdr:grpSpPr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5AA6650-8F1C-4A87-8EB5-29FBD7EB35CF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787E63C8-F238-4BA3-BA25-0681C5B6BA15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54156332-F0B2-48F0-9C2B-F52D69E694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</xdr:colOff>
      <xdr:row>20</xdr:row>
      <xdr:rowOff>189138</xdr:rowOff>
    </xdr:from>
    <xdr:to>
      <xdr:col>4</xdr:col>
      <xdr:colOff>1</xdr:colOff>
      <xdr:row>24</xdr:row>
      <xdr:rowOff>8163</xdr:rowOff>
    </xdr:to>
    <xdr:grpSp>
      <xdr:nvGrpSpPr>
        <xdr:cNvPr id="27" name="Agrupar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919EF-647F-4833-9AAD-E620FD99C75B}"/>
            </a:ext>
          </a:extLst>
        </xdr:cNvPr>
        <xdr:cNvGrpSpPr/>
      </xdr:nvGrpSpPr>
      <xdr:grpSpPr>
        <a:xfrm>
          <a:off x="1" y="3557178"/>
          <a:ext cx="2438400" cy="558165"/>
          <a:chOff x="1" y="3705224"/>
          <a:chExt cx="2438400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7963B768-05AC-42DC-8178-A6EF0ED37DA3}"/>
              </a:ext>
            </a:extLst>
          </xdr:cNvPr>
          <xdr:cNvSpPr txBox="1"/>
        </xdr:nvSpPr>
        <xdr:spPr>
          <a:xfrm>
            <a:off x="1" y="3705224"/>
            <a:ext cx="2438400" cy="581025"/>
          </a:xfrm>
          <a:prstGeom prst="rect">
            <a:avLst/>
          </a:prstGeom>
          <a:solidFill>
            <a:srgbClr val="27A9E3"/>
          </a:solidFill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0C26C43-3648-4C5C-98E0-E324802FBB90}"/>
              </a:ext>
            </a:extLst>
          </xdr:cNvPr>
          <xdr:cNvSpPr txBox="1"/>
        </xdr:nvSpPr>
        <xdr:spPr>
          <a:xfrm>
            <a:off x="427220" y="3743325"/>
            <a:ext cx="1990194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EF59064-D3DA-4CB5-8041-E718978C96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635" y="3853961"/>
            <a:ext cx="292116" cy="293077"/>
          </a:xfrm>
          <a:prstGeom prst="rect">
            <a:avLst/>
          </a:prstGeom>
          <a:solidFill>
            <a:srgbClr val="27A9E3"/>
          </a:solidFill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4</xdr:row>
          <xdr:rowOff>95250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D2597B86-F57A-4EB9-85A7-FC473BCABF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2071"/>
                </a:ext>
              </a:extLst>
            </xdr:cNvPicPr>
          </xdr:nvPicPr>
          <xdr:blipFill>
            <a:blip xmlns:r="http://schemas.openxmlformats.org/officeDocument/2006/relationships" r:embed="rId3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5</xdr:row>
      <xdr:rowOff>9524</xdr:rowOff>
    </xdr:from>
    <xdr:to>
      <xdr:col>4</xdr:col>
      <xdr:colOff>1</xdr:colOff>
      <xdr:row>8</xdr:row>
      <xdr:rowOff>160563</xdr:rowOff>
    </xdr:to>
    <xdr:grpSp>
      <xdr:nvGrpSpPr>
        <xdr:cNvPr id="3" name="Agrupar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F3499CC-92CE-4C5A-9031-A09091936C82}"/>
            </a:ext>
          </a:extLst>
        </xdr:cNvPr>
        <xdr:cNvGrpSpPr/>
      </xdr:nvGrpSpPr>
      <xdr:grpSpPr>
        <a:xfrm>
          <a:off x="1" y="779144"/>
          <a:ext cx="2438400" cy="562519"/>
          <a:chOff x="1" y="809624"/>
          <a:chExt cx="2444151" cy="58102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C4144D3E-B13C-485E-BBBA-1D3F3BCF3AF7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47EE482-9D3C-4C27-B474-5C76DDBE526C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2019DBBD-F69A-4115-84B3-676467974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8</xdr:row>
      <xdr:rowOff>160563</xdr:rowOff>
    </xdr:from>
    <xdr:to>
      <xdr:col>4</xdr:col>
      <xdr:colOff>1</xdr:colOff>
      <xdr:row>11</xdr:row>
      <xdr:rowOff>170088</xdr:rowOff>
    </xdr:to>
    <xdr:grpSp>
      <xdr:nvGrpSpPr>
        <xdr:cNvPr id="7" name="Agrupar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5599FD-8795-43F4-A83B-5F9FB56F87FB}"/>
            </a:ext>
          </a:extLst>
        </xdr:cNvPr>
        <xdr:cNvGrpSpPr/>
      </xdr:nvGrpSpPr>
      <xdr:grpSpPr>
        <a:xfrm>
          <a:off x="1" y="1341663"/>
          <a:ext cx="2438400" cy="558165"/>
          <a:chOff x="1" y="1390649"/>
          <a:chExt cx="2432538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50FB20F-6746-431C-AD42-CDFEB27E752F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7474657-2F5D-4145-8FF6-AED76891F37B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AF9BD78-4DA8-4984-A144-2CA73E4D07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11</xdr:row>
      <xdr:rowOff>160563</xdr:rowOff>
    </xdr:from>
    <xdr:to>
      <xdr:col>4</xdr:col>
      <xdr:colOff>1</xdr:colOff>
      <xdr:row>14</xdr:row>
      <xdr:rowOff>170088</xdr:rowOff>
    </xdr:to>
    <xdr:grpSp>
      <xdr:nvGrpSpPr>
        <xdr:cNvPr id="11" name="Agrupar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14A6A68-5FD5-4163-BB32-13EFE36DDEAB}"/>
            </a:ext>
          </a:extLst>
        </xdr:cNvPr>
        <xdr:cNvGrpSpPr/>
      </xdr:nvGrpSpPr>
      <xdr:grpSpPr>
        <a:xfrm>
          <a:off x="1" y="1890303"/>
          <a:ext cx="2438400" cy="558165"/>
          <a:chOff x="1" y="1962149"/>
          <a:chExt cx="2446421" cy="581025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DFDBB8D-DB6B-407F-8BE7-CB69876FB887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BC53E82-0B50-4038-B024-5BD35868A123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66614DFE-1656-4469-AF6A-F24A63B5B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14</xdr:row>
      <xdr:rowOff>170088</xdr:rowOff>
    </xdr:from>
    <xdr:to>
      <xdr:col>4</xdr:col>
      <xdr:colOff>1</xdr:colOff>
      <xdr:row>17</xdr:row>
      <xdr:rowOff>179613</xdr:rowOff>
    </xdr:to>
    <xdr:grpSp>
      <xdr:nvGrpSpPr>
        <xdr:cNvPr id="15" name="Agrupar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5962E38-28A5-4A88-A49E-A63AF5E357A6}"/>
            </a:ext>
          </a:extLst>
        </xdr:cNvPr>
        <xdr:cNvGrpSpPr/>
      </xdr:nvGrpSpPr>
      <xdr:grpSpPr>
        <a:xfrm>
          <a:off x="1" y="2448468"/>
          <a:ext cx="2438400" cy="558165"/>
          <a:chOff x="1" y="2543174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3C301CBD-B33B-4768-ABD4-1F883EFB2F22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A19BF917-DE54-4DAA-8A58-5B0F6A230982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0F9302C9-4D9F-421A-B53F-BB8304E981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17</xdr:row>
      <xdr:rowOff>179613</xdr:rowOff>
    </xdr:from>
    <xdr:to>
      <xdr:col>4</xdr:col>
      <xdr:colOff>1</xdr:colOff>
      <xdr:row>20</xdr:row>
      <xdr:rowOff>189138</xdr:rowOff>
    </xdr:to>
    <xdr:grpSp>
      <xdr:nvGrpSpPr>
        <xdr:cNvPr id="19" name="Agrupar 1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90A5D34-ADE9-46AA-9033-3EB4704B2254}"/>
            </a:ext>
          </a:extLst>
        </xdr:cNvPr>
        <xdr:cNvGrpSpPr/>
      </xdr:nvGrpSpPr>
      <xdr:grpSpPr>
        <a:xfrm>
          <a:off x="1" y="3006633"/>
          <a:ext cx="2438400" cy="550545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9E9E5429-B7EC-4202-944F-9EDAF4F03143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6E8F38F-F079-44C4-B679-3B0F87BDB8F7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D0ABB25-4363-42E7-9504-5FA7B1FB7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400050</xdr:colOff>
      <xdr:row>16</xdr:row>
      <xdr:rowOff>160564</xdr:rowOff>
    </xdr:from>
    <xdr:to>
      <xdr:col>24</xdr:col>
      <xdr:colOff>65314</xdr:colOff>
      <xdr:row>20</xdr:row>
      <xdr:rowOff>179614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971D395E-CAF4-487E-B348-7F7514D1AE3E}"/>
            </a:ext>
          </a:extLst>
        </xdr:cNvPr>
        <xdr:cNvSpPr txBox="1"/>
      </xdr:nvSpPr>
      <xdr:spPr>
        <a:xfrm>
          <a:off x="6162675" y="2914650"/>
          <a:ext cx="6980464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Consulta</a:t>
          </a:r>
          <a:r>
            <a:rPr lang="pt-BR" sz="4800" baseline="0">
              <a:solidFill>
                <a:srgbClr val="AEAAAA"/>
              </a:solidFill>
              <a:latin typeface="Century Gothic" panose="020B0502020202020204" pitchFamily="34" charset="0"/>
            </a:rPr>
            <a:t> de Estoque</a:t>
          </a:r>
          <a:endParaRPr lang="pt-BR" sz="4800">
            <a:solidFill>
              <a:srgbClr val="AEAAAA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3</xdr:row>
          <xdr:rowOff>133350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55969513-A222-400A-B7BD-479CD5C692A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3095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4</xdr:row>
      <xdr:rowOff>47624</xdr:rowOff>
    </xdr:from>
    <xdr:to>
      <xdr:col>4</xdr:col>
      <xdr:colOff>1</xdr:colOff>
      <xdr:row>6</xdr:row>
      <xdr:rowOff>142874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E6CD8B-AC26-4329-91AD-5EAA6B338F44}"/>
            </a:ext>
          </a:extLst>
        </xdr:cNvPr>
        <xdr:cNvGrpSpPr/>
      </xdr:nvGrpSpPr>
      <xdr:grpSpPr>
        <a:xfrm>
          <a:off x="1" y="779144"/>
          <a:ext cx="2438400" cy="575310"/>
          <a:chOff x="1" y="809624"/>
          <a:chExt cx="2444151" cy="581025"/>
        </a:xfrm>
        <a:solidFill>
          <a:srgbClr val="27A9E3"/>
        </a:solidFill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EB4D1995-8810-4B6E-8121-44CC4C8A50B9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grp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C1EF452C-D42B-41EA-ADF8-05571984966B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67E45FE9-49D2-4613-A2E2-B22C855031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1</xdr:colOff>
      <xdr:row>6</xdr:row>
      <xdr:rowOff>142874</xdr:rowOff>
    </xdr:from>
    <xdr:to>
      <xdr:col>4</xdr:col>
      <xdr:colOff>1</xdr:colOff>
      <xdr:row>8</xdr:row>
      <xdr:rowOff>133349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3E3FAC-98C3-4E13-B028-F3CA3F00B362}"/>
            </a:ext>
          </a:extLst>
        </xdr:cNvPr>
        <xdr:cNvGrpSpPr/>
      </xdr:nvGrpSpPr>
      <xdr:grpSpPr>
        <a:xfrm>
          <a:off x="1" y="1354454"/>
          <a:ext cx="2438400" cy="584835"/>
          <a:chOff x="1" y="1390649"/>
          <a:chExt cx="2432538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EFB6CB7-439D-45E5-B4B7-7FF640D5EDF5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8FAB25A-3E3D-4B0E-B3AD-578372AA7D50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2C7D1DF9-1270-476A-8276-F3C5E3608F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8</xdr:row>
      <xdr:rowOff>123824</xdr:rowOff>
    </xdr:from>
    <xdr:to>
      <xdr:col>4</xdr:col>
      <xdr:colOff>1</xdr:colOff>
      <xdr:row>11</xdr:row>
      <xdr:rowOff>133349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AC5C644-6261-48C0-A00A-17260EDCD822}"/>
            </a:ext>
          </a:extLst>
        </xdr:cNvPr>
        <xdr:cNvGrpSpPr/>
      </xdr:nvGrpSpPr>
      <xdr:grpSpPr>
        <a:xfrm>
          <a:off x="1" y="1929764"/>
          <a:ext cx="2438400" cy="558165"/>
          <a:chOff x="1" y="1962149"/>
          <a:chExt cx="2446421" cy="581025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5C8AB01-4C62-4BA8-80FC-0CA311D9208E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B87B139-7075-43B5-BAD3-4CC97FB37A33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D8960CE-BA34-4588-AA2F-42F400758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11</xdr:row>
      <xdr:rowOff>133349</xdr:rowOff>
    </xdr:from>
    <xdr:to>
      <xdr:col>4</xdr:col>
      <xdr:colOff>1</xdr:colOff>
      <xdr:row>14</xdr:row>
      <xdr:rowOff>142874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2D27764-C33C-49AB-84DA-AE6282D5FC56}"/>
            </a:ext>
          </a:extLst>
        </xdr:cNvPr>
        <xdr:cNvGrpSpPr/>
      </xdr:nvGrpSpPr>
      <xdr:grpSpPr>
        <a:xfrm>
          <a:off x="1" y="2487929"/>
          <a:ext cx="2438400" cy="558165"/>
          <a:chOff x="1" y="2543174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E8CADDEA-1455-4D21-8195-8272DAFFB633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9B4EC493-0F87-4496-A3B9-64574C18A68F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50352971-F0D0-40CA-9B37-63027AEB6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14</xdr:row>
      <xdr:rowOff>142874</xdr:rowOff>
    </xdr:from>
    <xdr:to>
      <xdr:col>4</xdr:col>
      <xdr:colOff>1</xdr:colOff>
      <xdr:row>17</xdr:row>
      <xdr:rowOff>152399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DBC5951-BF07-442C-BF0E-7F0A6CAED480}"/>
            </a:ext>
          </a:extLst>
        </xdr:cNvPr>
        <xdr:cNvGrpSpPr/>
      </xdr:nvGrpSpPr>
      <xdr:grpSpPr>
        <a:xfrm>
          <a:off x="1" y="3046094"/>
          <a:ext cx="2438400" cy="558165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202BD011-40EA-4174-B0E5-49E98F1271B3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2E21766F-00E3-4245-88C4-4AD8B1523917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EC0F7871-166F-4F7A-9C56-A1C802FE7B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17</xdr:row>
      <xdr:rowOff>152399</xdr:rowOff>
    </xdr:from>
    <xdr:to>
      <xdr:col>4</xdr:col>
      <xdr:colOff>1</xdr:colOff>
      <xdr:row>20</xdr:row>
      <xdr:rowOff>161924</xdr:rowOff>
    </xdr:to>
    <xdr:grpSp>
      <xdr:nvGrpSpPr>
        <xdr:cNvPr id="23" name="Agrupar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27AFCE5-5B38-4E01-8A51-689C00E644CD}"/>
            </a:ext>
          </a:extLst>
        </xdr:cNvPr>
        <xdr:cNvGrpSpPr/>
      </xdr:nvGrpSpPr>
      <xdr:grpSpPr>
        <a:xfrm>
          <a:off x="1" y="3604259"/>
          <a:ext cx="2438400" cy="558165"/>
          <a:chOff x="1" y="3705224"/>
          <a:chExt cx="2446421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712DC659-935B-484B-B3E9-F5A1196241B5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918E163-C8AC-4F2D-A0CB-F5E450F292C1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68CDF2FE-62D6-4936-8701-1A2433F26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9525</xdr:colOff>
      <xdr:row>0</xdr:row>
      <xdr:rowOff>19051</xdr:rowOff>
    </xdr:from>
    <xdr:to>
      <xdr:col>24</xdr:col>
      <xdr:colOff>295043</xdr:colOff>
      <xdr:row>4</xdr:row>
      <xdr:rowOff>38101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E7A524B-4639-408A-B33C-51ED150137CF}"/>
            </a:ext>
          </a:extLst>
        </xdr:cNvPr>
        <xdr:cNvSpPr txBox="1"/>
      </xdr:nvSpPr>
      <xdr:spPr>
        <a:xfrm>
          <a:off x="2447925" y="19051"/>
          <a:ext cx="15982950" cy="781050"/>
        </a:xfrm>
        <a:prstGeom prst="rect">
          <a:avLst/>
        </a:prstGeom>
        <a:solidFill>
          <a:srgbClr val="2E37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Cadastros Gerais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3</xdr:row>
          <xdr:rowOff>133350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85797E37-440F-420C-866E-701C2F0153B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4119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4</xdr:row>
      <xdr:rowOff>47624</xdr:rowOff>
    </xdr:from>
    <xdr:to>
      <xdr:col>4</xdr:col>
      <xdr:colOff>1</xdr:colOff>
      <xdr:row>6</xdr:row>
      <xdr:rowOff>142874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48758C-4EBB-4C2E-B853-C9D58F6108C5}"/>
            </a:ext>
          </a:extLst>
        </xdr:cNvPr>
        <xdr:cNvGrpSpPr/>
      </xdr:nvGrpSpPr>
      <xdr:grpSpPr>
        <a:xfrm>
          <a:off x="1" y="779144"/>
          <a:ext cx="2438400" cy="575310"/>
          <a:chOff x="1" y="809624"/>
          <a:chExt cx="2444151" cy="58102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DB4A3AEA-12C9-4069-8AB0-988553BAE910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C8FE7B4-CF8B-4F61-8B12-1256A312671B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295369EE-3BC8-4FAC-9997-36FCAEFE8E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6</xdr:row>
      <xdr:rowOff>142874</xdr:rowOff>
    </xdr:from>
    <xdr:to>
      <xdr:col>4</xdr:col>
      <xdr:colOff>9526</xdr:colOff>
      <xdr:row>8</xdr:row>
      <xdr:rowOff>133349</xdr:rowOff>
    </xdr:to>
    <xdr:grpSp>
      <xdr:nvGrpSpPr>
        <xdr:cNvPr id="27" name="Agrupar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72AEA4D-CF44-4221-975B-492601E359D8}"/>
            </a:ext>
          </a:extLst>
        </xdr:cNvPr>
        <xdr:cNvGrpSpPr/>
      </xdr:nvGrpSpPr>
      <xdr:grpSpPr>
        <a:xfrm>
          <a:off x="1" y="1354454"/>
          <a:ext cx="2447925" cy="584835"/>
          <a:chOff x="1" y="1390649"/>
          <a:chExt cx="2428875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4028D42-E418-4775-8CF0-D4CF1C1A2884}"/>
              </a:ext>
            </a:extLst>
          </xdr:cNvPr>
          <xdr:cNvSpPr txBox="1"/>
        </xdr:nvSpPr>
        <xdr:spPr>
          <a:xfrm>
            <a:off x="1" y="1390649"/>
            <a:ext cx="2428875" cy="581025"/>
          </a:xfrm>
          <a:prstGeom prst="rect">
            <a:avLst/>
          </a:prstGeom>
          <a:solidFill>
            <a:srgbClr val="27A9E3"/>
          </a:solidFill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ADE16-8296-41ED-B1DF-FABE1AA59FAB}"/>
              </a:ext>
            </a:extLst>
          </xdr:cNvPr>
          <xdr:cNvSpPr txBox="1"/>
        </xdr:nvSpPr>
        <xdr:spPr>
          <a:xfrm>
            <a:off x="429658" y="1428750"/>
            <a:ext cx="1983972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9F00CD-DD4B-4874-BB4B-4178664F61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025" y="1482587"/>
            <a:ext cx="348708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8</xdr:row>
      <xdr:rowOff>123824</xdr:rowOff>
    </xdr:from>
    <xdr:to>
      <xdr:col>4</xdr:col>
      <xdr:colOff>1</xdr:colOff>
      <xdr:row>11</xdr:row>
      <xdr:rowOff>28574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41ED730-AD3E-49B7-B03C-784A097EEA14}"/>
            </a:ext>
          </a:extLst>
        </xdr:cNvPr>
        <xdr:cNvGrpSpPr/>
      </xdr:nvGrpSpPr>
      <xdr:grpSpPr>
        <a:xfrm>
          <a:off x="1" y="1929764"/>
          <a:ext cx="2438400" cy="567690"/>
          <a:chOff x="1" y="1962149"/>
          <a:chExt cx="2446421" cy="581025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7E60119-BB3B-4CE9-AF52-44013B145095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BC1B568-2C26-4C17-AB03-56882483F23A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FBE9D010-A16A-4ED5-A11E-77E7F24446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11</xdr:row>
      <xdr:rowOff>28574</xdr:rowOff>
    </xdr:from>
    <xdr:to>
      <xdr:col>4</xdr:col>
      <xdr:colOff>1</xdr:colOff>
      <xdr:row>14</xdr:row>
      <xdr:rowOff>38099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21B3DC1-DE9B-479F-BA29-69BF4295A35F}"/>
            </a:ext>
          </a:extLst>
        </xdr:cNvPr>
        <xdr:cNvGrpSpPr/>
      </xdr:nvGrpSpPr>
      <xdr:grpSpPr>
        <a:xfrm>
          <a:off x="1" y="2497454"/>
          <a:ext cx="2438400" cy="558165"/>
          <a:chOff x="1" y="2543174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EA89861A-41CA-429F-A971-56A103413E66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75FBEE52-E3FC-4F8C-A0E3-6F16C0EC17E4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3AD1839-7F8B-404B-9525-2F085E06CD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14</xdr:row>
      <xdr:rowOff>38099</xdr:rowOff>
    </xdr:from>
    <xdr:to>
      <xdr:col>4</xdr:col>
      <xdr:colOff>1</xdr:colOff>
      <xdr:row>17</xdr:row>
      <xdr:rowOff>47624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3A03588-EAEE-40B4-BB49-6ABBC9485B05}"/>
            </a:ext>
          </a:extLst>
        </xdr:cNvPr>
        <xdr:cNvGrpSpPr/>
      </xdr:nvGrpSpPr>
      <xdr:grpSpPr>
        <a:xfrm>
          <a:off x="1" y="3055619"/>
          <a:ext cx="2438400" cy="558165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6F1C0197-B77A-48F9-B109-30685219EB7C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17D8163-3A26-4794-A428-6B80ABA8EC96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6A157EA2-2968-4ED2-879E-DEA702860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17</xdr:row>
      <xdr:rowOff>47624</xdr:rowOff>
    </xdr:from>
    <xdr:to>
      <xdr:col>4</xdr:col>
      <xdr:colOff>1</xdr:colOff>
      <xdr:row>20</xdr:row>
      <xdr:rowOff>57149</xdr:rowOff>
    </xdr:to>
    <xdr:grpSp>
      <xdr:nvGrpSpPr>
        <xdr:cNvPr id="23" name="Agrupar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4DC245F-6B14-43C2-A630-8B2E591ABBE2}"/>
            </a:ext>
          </a:extLst>
        </xdr:cNvPr>
        <xdr:cNvGrpSpPr/>
      </xdr:nvGrpSpPr>
      <xdr:grpSpPr>
        <a:xfrm>
          <a:off x="1" y="3613784"/>
          <a:ext cx="2438400" cy="558165"/>
          <a:chOff x="1" y="3705224"/>
          <a:chExt cx="2446421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95AAF364-E4D8-4256-AB78-782E7497E090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D29A96C-9455-414E-B5D2-BCC2A65D79A5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807A0370-58B1-4FBB-931B-5BB23747A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0</xdr:colOff>
      <xdr:row>0</xdr:row>
      <xdr:rowOff>0</xdr:rowOff>
    </xdr:from>
    <xdr:to>
      <xdr:col>20</xdr:col>
      <xdr:colOff>295043</xdr:colOff>
      <xdr:row>4</xdr:row>
      <xdr:rowOff>19050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FA6BFD2E-87DF-4B82-8D9E-35A9C6E4E209}"/>
            </a:ext>
          </a:extLst>
        </xdr:cNvPr>
        <xdr:cNvSpPr txBox="1"/>
      </xdr:nvSpPr>
      <xdr:spPr>
        <a:xfrm>
          <a:off x="2438400" y="0"/>
          <a:ext cx="15982718" cy="781050"/>
        </a:xfrm>
        <a:prstGeom prst="rect">
          <a:avLst/>
        </a:prstGeom>
        <a:solidFill>
          <a:srgbClr val="2E37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3</xdr:row>
          <xdr:rowOff>133350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4BE84433-AB16-4D6B-A548-95E211858E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5151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4</xdr:row>
      <xdr:rowOff>47624</xdr:rowOff>
    </xdr:from>
    <xdr:to>
      <xdr:col>4</xdr:col>
      <xdr:colOff>1</xdr:colOff>
      <xdr:row>6</xdr:row>
      <xdr:rowOff>140493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378C4A-7450-48AD-8464-83DE33B2BF67}"/>
            </a:ext>
          </a:extLst>
        </xdr:cNvPr>
        <xdr:cNvGrpSpPr/>
      </xdr:nvGrpSpPr>
      <xdr:grpSpPr>
        <a:xfrm>
          <a:off x="1" y="779144"/>
          <a:ext cx="2438400" cy="572929"/>
          <a:chOff x="1" y="809624"/>
          <a:chExt cx="2444151" cy="58102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D110C87D-7E62-4E45-BAB9-81AE52E37734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92A04B00-C216-480E-A0C4-1852B93E7573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6F2A2FAB-0B67-4D1D-BDC3-A4539DF71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6</xdr:row>
      <xdr:rowOff>140493</xdr:rowOff>
    </xdr:from>
    <xdr:to>
      <xdr:col>4</xdr:col>
      <xdr:colOff>1</xdr:colOff>
      <xdr:row>8</xdr:row>
      <xdr:rowOff>126205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A74FF8-3B6C-4F8A-A5A0-C8CCE810E919}"/>
            </a:ext>
          </a:extLst>
        </xdr:cNvPr>
        <xdr:cNvGrpSpPr/>
      </xdr:nvGrpSpPr>
      <xdr:grpSpPr>
        <a:xfrm>
          <a:off x="1" y="1352073"/>
          <a:ext cx="2438400" cy="580072"/>
          <a:chOff x="1" y="1390649"/>
          <a:chExt cx="2432538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706D76A-4611-427F-8288-010B3372E9CB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4ECF133-9CBF-4F7E-89A0-D25AE9831D97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4C033BD-FA1F-4D28-BB0E-C212ACD7C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8</xdr:row>
      <xdr:rowOff>116680</xdr:rowOff>
    </xdr:from>
    <xdr:to>
      <xdr:col>4</xdr:col>
      <xdr:colOff>1</xdr:colOff>
      <xdr:row>10</xdr:row>
      <xdr:rowOff>102393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22316FA-DBA6-4010-87DE-64C369837D7D}"/>
            </a:ext>
          </a:extLst>
        </xdr:cNvPr>
        <xdr:cNvGrpSpPr/>
      </xdr:nvGrpSpPr>
      <xdr:grpSpPr>
        <a:xfrm>
          <a:off x="1" y="1922620"/>
          <a:ext cx="2438400" cy="580073"/>
          <a:chOff x="1" y="1962149"/>
          <a:chExt cx="2446421" cy="581025"/>
        </a:xfrm>
        <a:solidFill>
          <a:srgbClr val="27A9E3"/>
        </a:solidFill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F462863-B90E-4F1F-9AFD-477C41E13EE7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grp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6F48458-21F1-482A-9A39-B23C3813061C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AC426C05-3B23-47CD-AA79-330ED40F6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1</xdr:colOff>
      <xdr:row>10</xdr:row>
      <xdr:rowOff>102393</xdr:rowOff>
    </xdr:from>
    <xdr:to>
      <xdr:col>4</xdr:col>
      <xdr:colOff>1</xdr:colOff>
      <xdr:row>12</xdr:row>
      <xdr:rowOff>88105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519FFA3-D920-43F7-AE4A-8EF3BC9C965D}"/>
            </a:ext>
          </a:extLst>
        </xdr:cNvPr>
        <xdr:cNvGrpSpPr/>
      </xdr:nvGrpSpPr>
      <xdr:grpSpPr>
        <a:xfrm>
          <a:off x="1" y="2502693"/>
          <a:ext cx="2438400" cy="580072"/>
          <a:chOff x="1" y="2543174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E17BB8B3-CCE5-4795-95EF-9A31DE7D32C8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D0133F2E-179F-4732-95A5-93ECA6276F54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8F72556-DBCB-4E89-BE99-A0BAF7AC2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12</xdr:row>
      <xdr:rowOff>88105</xdr:rowOff>
    </xdr:from>
    <xdr:to>
      <xdr:col>4</xdr:col>
      <xdr:colOff>1</xdr:colOff>
      <xdr:row>14</xdr:row>
      <xdr:rowOff>73818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74971E7-346C-4DDE-A3B1-C9EF373F5CAB}"/>
            </a:ext>
          </a:extLst>
        </xdr:cNvPr>
        <xdr:cNvGrpSpPr/>
      </xdr:nvGrpSpPr>
      <xdr:grpSpPr>
        <a:xfrm>
          <a:off x="1" y="3082765"/>
          <a:ext cx="2438400" cy="580073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3AC21E1-CCA8-459A-BC4C-EADC29ED891F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5ABB4DB-5E0F-4E42-A744-E36440DA1878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8839E32A-878C-4881-A763-54FBE755E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14</xdr:row>
      <xdr:rowOff>73818</xdr:rowOff>
    </xdr:from>
    <xdr:to>
      <xdr:col>4</xdr:col>
      <xdr:colOff>1</xdr:colOff>
      <xdr:row>16</xdr:row>
      <xdr:rowOff>59530</xdr:rowOff>
    </xdr:to>
    <xdr:grpSp>
      <xdr:nvGrpSpPr>
        <xdr:cNvPr id="23" name="Agrupar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D15D05D-BE4E-44F9-8D64-84952889DD7C}"/>
            </a:ext>
          </a:extLst>
        </xdr:cNvPr>
        <xdr:cNvGrpSpPr/>
      </xdr:nvGrpSpPr>
      <xdr:grpSpPr>
        <a:xfrm>
          <a:off x="1" y="3662838"/>
          <a:ext cx="2438400" cy="580072"/>
          <a:chOff x="1" y="3705224"/>
          <a:chExt cx="2446421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91580D2A-F2FC-4397-8AAD-9F3840FD9FD2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DB7994C-C061-4D96-9DDF-CF3C2CF9A87F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FCA7F178-26DB-4E95-B92B-1481144215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608134</xdr:colOff>
      <xdr:row>0</xdr:row>
      <xdr:rowOff>0</xdr:rowOff>
    </xdr:from>
    <xdr:to>
      <xdr:col>24</xdr:col>
      <xdr:colOff>174881</xdr:colOff>
      <xdr:row>4</xdr:row>
      <xdr:rowOff>19050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B96A265-FC56-4FE1-A5C6-F8222864BEC6}"/>
            </a:ext>
          </a:extLst>
        </xdr:cNvPr>
        <xdr:cNvSpPr txBox="1"/>
      </xdr:nvSpPr>
      <xdr:spPr>
        <a:xfrm>
          <a:off x="2438400" y="0"/>
          <a:ext cx="15982718" cy="781050"/>
        </a:xfrm>
        <a:prstGeom prst="rect">
          <a:avLst/>
        </a:prstGeom>
        <a:solidFill>
          <a:srgbClr val="2E37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Entrada e Saída</a:t>
          </a:r>
        </a:p>
      </xdr:txBody>
    </xdr:sp>
    <xdr:clientData/>
  </xdr:twoCellAnchor>
  <xdr:twoCellAnchor>
    <xdr:from>
      <xdr:col>7</xdr:col>
      <xdr:colOff>400050</xdr:colOff>
      <xdr:row>4</xdr:row>
      <xdr:rowOff>152400</xdr:rowOff>
    </xdr:from>
    <xdr:to>
      <xdr:col>10</xdr:col>
      <xdr:colOff>104775</xdr:colOff>
      <xdr:row>7</xdr:row>
      <xdr:rowOff>66675</xdr:rowOff>
    </xdr:to>
    <xdr:sp macro="[0]!lsEntradaSaida" textlink="">
      <xdr:nvSpPr>
        <xdr:cNvPr id="28" name="Retângulo 27">
          <a:extLst>
            <a:ext uri="{FF2B5EF4-FFF2-40B4-BE49-F238E27FC236}">
              <a16:creationId xmlns:a16="http://schemas.microsoft.com/office/drawing/2014/main" id="{317A9A4E-0B14-4251-AD04-E217F9F5AE91}"/>
            </a:ext>
          </a:extLst>
        </xdr:cNvPr>
        <xdr:cNvSpPr/>
      </xdr:nvSpPr>
      <xdr:spPr>
        <a:xfrm>
          <a:off x="8277225" y="914400"/>
          <a:ext cx="1533525" cy="695325"/>
        </a:xfrm>
        <a:prstGeom prst="rect">
          <a:avLst/>
        </a:prstGeom>
        <a:solidFill>
          <a:srgbClr val="27A9E3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Century Gothic" panose="020B0502020202020204" pitchFamily="34" charset="0"/>
            </a:rPr>
            <a:t>Inserir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3</xdr:row>
          <xdr:rowOff>133350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F6CD7EC7-97B2-4657-8142-6BA3314F5C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6167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4</xdr:row>
      <xdr:rowOff>47624</xdr:rowOff>
    </xdr:from>
    <xdr:to>
      <xdr:col>4</xdr:col>
      <xdr:colOff>1</xdr:colOff>
      <xdr:row>6</xdr:row>
      <xdr:rowOff>200024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BE2BFE6-C369-4F49-B30C-E7A8A338247C}"/>
            </a:ext>
          </a:extLst>
        </xdr:cNvPr>
        <xdr:cNvGrpSpPr/>
      </xdr:nvGrpSpPr>
      <xdr:grpSpPr>
        <a:xfrm>
          <a:off x="1" y="779144"/>
          <a:ext cx="2438400" cy="563880"/>
          <a:chOff x="1" y="809624"/>
          <a:chExt cx="2444151" cy="58102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73800279-9D4F-4C37-8D87-32389ED20283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20B795B-56F1-401B-B74C-B993604A699F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D64EFA1C-CEC6-483E-80CA-26D5AD0B30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6</xdr:row>
      <xdr:rowOff>200024</xdr:rowOff>
    </xdr:from>
    <xdr:to>
      <xdr:col>4</xdr:col>
      <xdr:colOff>1</xdr:colOff>
      <xdr:row>9</xdr:row>
      <xdr:rowOff>66674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288050-29AA-423B-B912-A5E2FA082D55}"/>
            </a:ext>
          </a:extLst>
        </xdr:cNvPr>
        <xdr:cNvGrpSpPr/>
      </xdr:nvGrpSpPr>
      <xdr:grpSpPr>
        <a:xfrm>
          <a:off x="1" y="1343024"/>
          <a:ext cx="2438400" cy="552450"/>
          <a:chOff x="1" y="1390649"/>
          <a:chExt cx="2432538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D94BA4F-9531-433D-9F1D-2DF5254FF634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CFDDCD8-4EC7-4833-B6D8-3EE85C9C49ED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27BD78AC-C870-4187-86B2-31E72DC21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9</xdr:row>
      <xdr:rowOff>57149</xdr:rowOff>
    </xdr:from>
    <xdr:to>
      <xdr:col>4</xdr:col>
      <xdr:colOff>1</xdr:colOff>
      <xdr:row>11</xdr:row>
      <xdr:rowOff>161924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FF5B2DF-F8E4-4BB6-8B89-A21B6443D8A7}"/>
            </a:ext>
          </a:extLst>
        </xdr:cNvPr>
        <xdr:cNvGrpSpPr/>
      </xdr:nvGrpSpPr>
      <xdr:grpSpPr>
        <a:xfrm>
          <a:off x="1" y="1885949"/>
          <a:ext cx="2438400" cy="561975"/>
          <a:chOff x="1" y="1962149"/>
          <a:chExt cx="2446421" cy="581025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3216FEC-B859-4083-8A8A-C7F9A9EF42BC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2811F006-52AE-49D3-A4C1-3F62E4799511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7F5E3C48-3921-4FAA-83F2-A0CF2B85C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11</xdr:row>
      <xdr:rowOff>161924</xdr:rowOff>
    </xdr:from>
    <xdr:to>
      <xdr:col>4</xdr:col>
      <xdr:colOff>1</xdr:colOff>
      <xdr:row>14</xdr:row>
      <xdr:rowOff>28574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346878C-DA49-4001-8CF6-2B6538E7EA3F}"/>
            </a:ext>
          </a:extLst>
        </xdr:cNvPr>
        <xdr:cNvGrpSpPr/>
      </xdr:nvGrpSpPr>
      <xdr:grpSpPr>
        <a:xfrm>
          <a:off x="1" y="2447924"/>
          <a:ext cx="2438400" cy="552450"/>
          <a:chOff x="1" y="2543174"/>
          <a:chExt cx="2446421" cy="581025"/>
        </a:xfrm>
        <a:solidFill>
          <a:srgbClr val="27A9E3"/>
        </a:solidFill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A7EB81D5-3F7A-4956-BCCB-E1676413E8E8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grp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7740E43D-E8DD-44C4-99E0-D06AC83660E7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5E27595E-36C6-4CA9-AB14-7E9CC20247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1</xdr:colOff>
      <xdr:row>14</xdr:row>
      <xdr:rowOff>28574</xdr:rowOff>
    </xdr:from>
    <xdr:to>
      <xdr:col>4</xdr:col>
      <xdr:colOff>1</xdr:colOff>
      <xdr:row>17</xdr:row>
      <xdr:rowOff>38099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3F03ED0-C3FA-4A9E-9068-34F60FC232CE}"/>
            </a:ext>
          </a:extLst>
        </xdr:cNvPr>
        <xdr:cNvGrpSpPr/>
      </xdr:nvGrpSpPr>
      <xdr:grpSpPr>
        <a:xfrm>
          <a:off x="1" y="3000374"/>
          <a:ext cx="2438400" cy="558165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A0B2045B-279B-4C91-8D43-CFC7795EBE1F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76A80A-E0B8-46D1-B05C-9A3D6997EEC2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1DF2168-41F1-49B6-AF77-093452F04D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17</xdr:row>
      <xdr:rowOff>38099</xdr:rowOff>
    </xdr:from>
    <xdr:to>
      <xdr:col>4</xdr:col>
      <xdr:colOff>1</xdr:colOff>
      <xdr:row>20</xdr:row>
      <xdr:rowOff>47624</xdr:rowOff>
    </xdr:to>
    <xdr:grpSp>
      <xdr:nvGrpSpPr>
        <xdr:cNvPr id="23" name="Agrupar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FD335C1-F72D-43AA-9E51-1EF1483FD342}"/>
            </a:ext>
          </a:extLst>
        </xdr:cNvPr>
        <xdr:cNvGrpSpPr/>
      </xdr:nvGrpSpPr>
      <xdr:grpSpPr>
        <a:xfrm>
          <a:off x="1" y="3558539"/>
          <a:ext cx="2438400" cy="558165"/>
          <a:chOff x="1" y="3705224"/>
          <a:chExt cx="2446421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04ACFFE-F208-433F-ADA7-12C4E81C236D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480C7-B9F5-4783-85BC-10F5822DF4C4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B828D37B-5ED8-48F6-B047-61C2DDE3E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0</xdr:colOff>
      <xdr:row>0</xdr:row>
      <xdr:rowOff>0</xdr:rowOff>
    </xdr:from>
    <xdr:to>
      <xdr:col>19</xdr:col>
      <xdr:colOff>250927</xdr:colOff>
      <xdr:row>4</xdr:row>
      <xdr:rowOff>19050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7A9A266-CBCB-42F7-A9E9-F7467EE7298A}"/>
            </a:ext>
          </a:extLst>
        </xdr:cNvPr>
        <xdr:cNvSpPr txBox="1"/>
      </xdr:nvSpPr>
      <xdr:spPr>
        <a:xfrm>
          <a:off x="2438400" y="0"/>
          <a:ext cx="15982718" cy="781050"/>
        </a:xfrm>
        <a:prstGeom prst="rect">
          <a:avLst/>
        </a:prstGeom>
        <a:solidFill>
          <a:srgbClr val="2E37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Registro</a:t>
          </a:r>
          <a:r>
            <a:rPr lang="pt-BR" sz="4800" baseline="0">
              <a:solidFill>
                <a:srgbClr val="AEAAAA"/>
              </a:solidFill>
              <a:latin typeface="Century Gothic" panose="020B0502020202020204" pitchFamily="34" charset="0"/>
            </a:rPr>
            <a:t> de Inventário</a:t>
          </a:r>
          <a:endParaRPr lang="pt-BR" sz="4800">
            <a:solidFill>
              <a:srgbClr val="AEAAAA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133350</xdr:rowOff>
        </xdr:from>
        <xdr:to>
          <xdr:col>3</xdr:col>
          <xdr:colOff>390525</xdr:colOff>
          <xdr:row>3</xdr:row>
          <xdr:rowOff>133350</xdr:rowOff>
        </xdr:to>
        <xdr:pic>
          <xdr:nvPicPr>
            <xdr:cNvPr id="2" name="Imagem 1" descr="Guia do Excel">
              <a:extLst>
                <a:ext uri="{FF2B5EF4-FFF2-40B4-BE49-F238E27FC236}">
                  <a16:creationId xmlns:a16="http://schemas.microsoft.com/office/drawing/2014/main" id="{DB300DA2-4802-48F8-95DB-755209D6D3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" spid="_x0000_s7191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schemeClr val="bg2">
                  <a:shade val="45000"/>
                  <a:satMod val="135000"/>
                </a:schemeClr>
                <a:prstClr val="white"/>
              </a:duotone>
            </a:blip>
            <a:srcRect/>
            <a:stretch>
              <a:fillRect/>
            </a:stretch>
          </xdr:blipFill>
          <xdr:spPr bwMode="auto">
            <a:xfrm>
              <a:off x="190500" y="133350"/>
              <a:ext cx="2028825" cy="571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1</xdr:colOff>
      <xdr:row>4</xdr:row>
      <xdr:rowOff>47624</xdr:rowOff>
    </xdr:from>
    <xdr:to>
      <xdr:col>4</xdr:col>
      <xdr:colOff>1</xdr:colOff>
      <xdr:row>6</xdr:row>
      <xdr:rowOff>209549</xdr:rowOff>
    </xdr:to>
    <xdr:grpSp>
      <xdr:nvGrpSpPr>
        <xdr:cNvPr id="3" name="Agrupar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582530F-0FF2-4F34-8D3F-9050C9C17FD8}"/>
            </a:ext>
          </a:extLst>
        </xdr:cNvPr>
        <xdr:cNvGrpSpPr/>
      </xdr:nvGrpSpPr>
      <xdr:grpSpPr>
        <a:xfrm>
          <a:off x="1" y="779144"/>
          <a:ext cx="2438400" cy="565785"/>
          <a:chOff x="1" y="809624"/>
          <a:chExt cx="2444151" cy="581025"/>
        </a:xfrm>
      </xdr:grpSpPr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D61B713-03D4-4AC7-8998-9E1E8B051A42}"/>
              </a:ext>
            </a:extLst>
          </xdr:cNvPr>
          <xdr:cNvSpPr txBox="1"/>
        </xdr:nvSpPr>
        <xdr:spPr>
          <a:xfrm>
            <a:off x="1" y="809624"/>
            <a:ext cx="244415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CDE16A-4F77-45DD-BF92-BFE72FAE704B}"/>
              </a:ext>
            </a:extLst>
          </xdr:cNvPr>
          <xdr:cNvSpPr txBox="1"/>
        </xdr:nvSpPr>
        <xdr:spPr>
          <a:xfrm>
            <a:off x="428625" y="847725"/>
            <a:ext cx="1995038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Cadastros Gerais</a:t>
            </a:r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95DD615F-878A-43FC-AEC0-B517B28F33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5725" y="904875"/>
            <a:ext cx="333375" cy="3333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6</xdr:row>
      <xdr:rowOff>209549</xdr:rowOff>
    </xdr:from>
    <xdr:to>
      <xdr:col>4</xdr:col>
      <xdr:colOff>1</xdr:colOff>
      <xdr:row>9</xdr:row>
      <xdr:rowOff>104774</xdr:rowOff>
    </xdr:to>
    <xdr:grpSp>
      <xdr:nvGrpSpPr>
        <xdr:cNvPr id="7" name="Agrupa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38310D-ED55-42E5-9A2D-B8D405B4EDF3}"/>
            </a:ext>
          </a:extLst>
        </xdr:cNvPr>
        <xdr:cNvGrpSpPr/>
      </xdr:nvGrpSpPr>
      <xdr:grpSpPr>
        <a:xfrm>
          <a:off x="1" y="1344929"/>
          <a:ext cx="2438400" cy="558165"/>
          <a:chOff x="1" y="1390649"/>
          <a:chExt cx="2432538" cy="581025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4B7539C-D2F4-4E80-84C1-D3E5D964E63C}"/>
              </a:ext>
            </a:extLst>
          </xdr:cNvPr>
          <xdr:cNvSpPr txBox="1"/>
        </xdr:nvSpPr>
        <xdr:spPr>
          <a:xfrm>
            <a:off x="1" y="1390649"/>
            <a:ext cx="2432538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8396F6D-2AE2-4D2B-894D-66F912D48C64}"/>
              </a:ext>
            </a:extLst>
          </xdr:cNvPr>
          <xdr:cNvSpPr txBox="1"/>
        </xdr:nvSpPr>
        <xdr:spPr>
          <a:xfrm>
            <a:off x="428625" y="1428750"/>
            <a:ext cx="1986329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Produtos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55AFC1A-5C65-4DEA-90FB-F82F4F5DB6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25" y="1482587"/>
            <a:ext cx="347870" cy="34693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9</xdr:row>
      <xdr:rowOff>95249</xdr:rowOff>
    </xdr:from>
    <xdr:to>
      <xdr:col>4</xdr:col>
      <xdr:colOff>1</xdr:colOff>
      <xdr:row>11</xdr:row>
      <xdr:rowOff>219074</xdr:rowOff>
    </xdr:to>
    <xdr:grpSp>
      <xdr:nvGrpSpPr>
        <xdr:cNvPr id="11" name="Agrupar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3C39715-1034-4198-A76F-5531DE6B0633}"/>
            </a:ext>
          </a:extLst>
        </xdr:cNvPr>
        <xdr:cNvGrpSpPr/>
      </xdr:nvGrpSpPr>
      <xdr:grpSpPr>
        <a:xfrm>
          <a:off x="1" y="1893569"/>
          <a:ext cx="2438400" cy="565785"/>
          <a:chOff x="1" y="1962149"/>
          <a:chExt cx="2446421" cy="581025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F81B988B-B088-4A93-BDD7-5257BA54962F}"/>
              </a:ext>
            </a:extLst>
          </xdr:cNvPr>
          <xdr:cNvSpPr txBox="1"/>
        </xdr:nvSpPr>
        <xdr:spPr>
          <a:xfrm>
            <a:off x="1" y="1962149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BF9F618-B8EE-4CDF-8DFB-7D7EDD980DA3}"/>
              </a:ext>
            </a:extLst>
          </xdr:cNvPr>
          <xdr:cNvSpPr txBox="1"/>
        </xdr:nvSpPr>
        <xdr:spPr>
          <a:xfrm>
            <a:off x="428625" y="200025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Entrada e Saída</a:t>
            </a:r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1EA82875-FDD0-4D70-A5DD-31E8569A58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2" y="2080846"/>
            <a:ext cx="337039" cy="337039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11</xdr:row>
      <xdr:rowOff>219074</xdr:rowOff>
    </xdr:from>
    <xdr:to>
      <xdr:col>4</xdr:col>
      <xdr:colOff>1</xdr:colOff>
      <xdr:row>14</xdr:row>
      <xdr:rowOff>152399</xdr:rowOff>
    </xdr:to>
    <xdr:grpSp>
      <xdr:nvGrpSpPr>
        <xdr:cNvPr id="15" name="Agrupar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BF6DCF3-934F-4D2C-8474-09F15CA857EF}"/>
            </a:ext>
          </a:extLst>
        </xdr:cNvPr>
        <xdr:cNvGrpSpPr/>
      </xdr:nvGrpSpPr>
      <xdr:grpSpPr>
        <a:xfrm>
          <a:off x="1" y="2459354"/>
          <a:ext cx="2438400" cy="558165"/>
          <a:chOff x="1" y="2543174"/>
          <a:chExt cx="2446421" cy="581025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EE091FEB-65DD-49AC-AA7F-DF429124CAE9}"/>
              </a:ext>
            </a:extLst>
          </xdr:cNvPr>
          <xdr:cNvSpPr txBox="1"/>
        </xdr:nvSpPr>
        <xdr:spPr>
          <a:xfrm>
            <a:off x="1" y="254317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EEB0279C-4A52-4BF6-98D4-83D838D8C965}"/>
              </a:ext>
            </a:extLst>
          </xdr:cNvPr>
          <xdr:cNvSpPr txBox="1"/>
        </xdr:nvSpPr>
        <xdr:spPr>
          <a:xfrm>
            <a:off x="428625" y="258127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Registro de Inventário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6F37F7F5-E349-4F6D-87B0-7C78B5B6FB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2666999"/>
            <a:ext cx="315057" cy="31505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14</xdr:row>
      <xdr:rowOff>152399</xdr:rowOff>
    </xdr:from>
    <xdr:to>
      <xdr:col>4</xdr:col>
      <xdr:colOff>1</xdr:colOff>
      <xdr:row>17</xdr:row>
      <xdr:rowOff>47624</xdr:rowOff>
    </xdr:to>
    <xdr:grpSp>
      <xdr:nvGrpSpPr>
        <xdr:cNvPr id="19" name="Agrupar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6555449-5A82-4CD1-ABF8-5397E7D82EEF}"/>
            </a:ext>
          </a:extLst>
        </xdr:cNvPr>
        <xdr:cNvGrpSpPr/>
      </xdr:nvGrpSpPr>
      <xdr:grpSpPr>
        <a:xfrm>
          <a:off x="1" y="3017519"/>
          <a:ext cx="2438400" cy="558165"/>
          <a:chOff x="1" y="3124199"/>
          <a:chExt cx="2446421" cy="581025"/>
        </a:xfrm>
      </xdr:grpSpPr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79BFFF1-7BD7-4D46-8945-5544BE5B4E25}"/>
              </a:ext>
            </a:extLst>
          </xdr:cNvPr>
          <xdr:cNvSpPr txBox="1"/>
        </xdr:nvSpPr>
        <xdr:spPr>
          <a:xfrm>
            <a:off x="1" y="3124199"/>
            <a:ext cx="2446421" cy="581025"/>
          </a:xfrm>
          <a:prstGeom prst="rect">
            <a:avLst/>
          </a:prstGeom>
          <a:solidFill>
            <a:srgbClr val="27A9E3"/>
          </a:solidFill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9606392-7EC0-4726-8252-C6295F6068E0}"/>
              </a:ext>
            </a:extLst>
          </xdr:cNvPr>
          <xdr:cNvSpPr txBox="1"/>
        </xdr:nvSpPr>
        <xdr:spPr>
          <a:xfrm>
            <a:off x="428625" y="3162300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1"/>
                </a:solidFill>
                <a:latin typeface="Century Gothic" panose="020B0502020202020204" pitchFamily="34" charset="0"/>
              </a:rPr>
              <a:t>Consulta de Estoque</a:t>
            </a:r>
          </a:p>
        </xdr:txBody>
      </xdr:sp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75C711D7-06FD-4ED6-8BC9-90F17EC9F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904" y="3231173"/>
            <a:ext cx="315058" cy="315058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</xdr:colOff>
      <xdr:row>17</xdr:row>
      <xdr:rowOff>47624</xdr:rowOff>
    </xdr:from>
    <xdr:to>
      <xdr:col>4</xdr:col>
      <xdr:colOff>1</xdr:colOff>
      <xdr:row>19</xdr:row>
      <xdr:rowOff>163829</xdr:rowOff>
    </xdr:to>
    <xdr:grpSp>
      <xdr:nvGrpSpPr>
        <xdr:cNvPr id="23" name="Agrupar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3CD7B94-04A2-4572-87A8-D31040AA535E}"/>
            </a:ext>
          </a:extLst>
        </xdr:cNvPr>
        <xdr:cNvGrpSpPr/>
      </xdr:nvGrpSpPr>
      <xdr:grpSpPr>
        <a:xfrm>
          <a:off x="1" y="3575684"/>
          <a:ext cx="2438400" cy="558165"/>
          <a:chOff x="1" y="3705224"/>
          <a:chExt cx="2446421" cy="581025"/>
        </a:xfrm>
      </xdr:grpSpPr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2F8C8540-CC6C-48B8-84E6-351B0C02AF87}"/>
              </a:ext>
            </a:extLst>
          </xdr:cNvPr>
          <xdr:cNvSpPr txBox="1"/>
        </xdr:nvSpPr>
        <xdr:spPr>
          <a:xfrm>
            <a:off x="1" y="3705224"/>
            <a:ext cx="2446421" cy="581025"/>
          </a:xfrm>
          <a:prstGeom prst="rect">
            <a:avLst/>
          </a:prstGeom>
          <a:noFill/>
          <a:ln w="15875" cmpd="sng">
            <a:solidFill>
              <a:schemeClr val="bg2">
                <a:lumMod val="75000"/>
              </a:schemeClr>
            </a:solidFill>
          </a:ln>
          <a:effectLst>
            <a:innerShdw blurRad="63500" dist="50800" dir="18900000">
              <a:prstClr val="black">
                <a:alpha val="50000"/>
              </a:prstClr>
            </a:inn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2092AFC-19C7-4BC9-8F86-5657CBFB28BB}"/>
              </a:ext>
            </a:extLst>
          </xdr:cNvPr>
          <xdr:cNvSpPr txBox="1"/>
        </xdr:nvSpPr>
        <xdr:spPr>
          <a:xfrm>
            <a:off x="428625" y="3743325"/>
            <a:ext cx="1996741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solidFill>
                  <a:schemeClr val="bg2">
                    <a:lumMod val="75000"/>
                  </a:schemeClr>
                </a:solidFill>
                <a:latin typeface="Century Gothic" panose="020B0502020202020204" pitchFamily="34" charset="0"/>
              </a:rPr>
              <a:t>Início</a:t>
            </a:r>
          </a:p>
        </xdr:txBody>
      </xdr:sp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4091C4B-BD7B-4C0C-AE5A-3871EA41F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923" y="3853961"/>
            <a:ext cx="293077" cy="293077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0</xdr:colOff>
      <xdr:row>0</xdr:row>
      <xdr:rowOff>0</xdr:rowOff>
    </xdr:from>
    <xdr:to>
      <xdr:col>16</xdr:col>
      <xdr:colOff>559362</xdr:colOff>
      <xdr:row>4</xdr:row>
      <xdr:rowOff>19050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F04459CA-CC8C-4484-B286-8229CA5EBB66}"/>
            </a:ext>
          </a:extLst>
        </xdr:cNvPr>
        <xdr:cNvSpPr txBox="1"/>
      </xdr:nvSpPr>
      <xdr:spPr>
        <a:xfrm>
          <a:off x="2438400" y="0"/>
          <a:ext cx="15982718" cy="781050"/>
        </a:xfrm>
        <a:prstGeom prst="rect">
          <a:avLst/>
        </a:prstGeom>
        <a:solidFill>
          <a:srgbClr val="2E374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4800">
              <a:solidFill>
                <a:srgbClr val="AEAAAA"/>
              </a:solidFill>
              <a:latin typeface="Century Gothic" panose="020B0502020202020204" pitchFamily="34" charset="0"/>
            </a:rPr>
            <a:t>Consulta</a:t>
          </a:r>
          <a:r>
            <a:rPr lang="pt-BR" sz="4800" baseline="0">
              <a:solidFill>
                <a:srgbClr val="AEAAAA"/>
              </a:solidFill>
              <a:latin typeface="Century Gothic" panose="020B0502020202020204" pitchFamily="34" charset="0"/>
            </a:rPr>
            <a:t> de Estoque</a:t>
          </a:r>
          <a:endParaRPr lang="pt-BR" sz="4800">
            <a:solidFill>
              <a:srgbClr val="AEAAAA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314325</xdr:colOff>
      <xdr:row>7</xdr:row>
      <xdr:rowOff>0</xdr:rowOff>
    </xdr:from>
    <xdr:to>
      <xdr:col>10</xdr:col>
      <xdr:colOff>381000</xdr:colOff>
      <xdr:row>10</xdr:row>
      <xdr:rowOff>9525</xdr:rowOff>
    </xdr:to>
    <xdr:sp macro="[0]!lsAtualizar" textlink="">
      <xdr:nvSpPr>
        <xdr:cNvPr id="28" name="Retângulo 27">
          <a:extLst>
            <a:ext uri="{FF2B5EF4-FFF2-40B4-BE49-F238E27FC236}">
              <a16:creationId xmlns:a16="http://schemas.microsoft.com/office/drawing/2014/main" id="{A5143FB5-E986-4A2A-9BE3-AC1B18BDC653}"/>
            </a:ext>
          </a:extLst>
        </xdr:cNvPr>
        <xdr:cNvSpPr/>
      </xdr:nvSpPr>
      <xdr:spPr>
        <a:xfrm>
          <a:off x="9934575" y="1409700"/>
          <a:ext cx="1533525" cy="695325"/>
        </a:xfrm>
        <a:prstGeom prst="rect">
          <a:avLst/>
        </a:prstGeom>
        <a:solidFill>
          <a:srgbClr val="27A9E3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Century Gothic" panose="020B0502020202020204" pitchFamily="34" charset="0"/>
            </a:rPr>
            <a:t>Consultar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63241D80-ED58-461C-B3B9-E669B975FD41}" autoFormatId="16" applyNumberFormats="0" applyBorderFormats="0" applyFontFormats="0" applyPatternFormats="0" applyAlignmentFormats="0" applyWidthHeightFormats="0">
  <queryTableRefresh nextId="10" unboundColumnsRight="3">
    <queryTableFields count="9">
      <queryTableField id="1" name="ID" tableColumnId="1"/>
      <queryTableField id="2" name="Tipo de Movimentação" tableColumnId="2"/>
      <queryTableField id="3" name="Data" tableColumnId="3"/>
      <queryTableField id="4" name="Qtde." tableColumnId="4"/>
      <queryTableField id="5" name="Valor Unitário" tableColumnId="5"/>
      <queryTableField id="6" name="Valor Total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C0DB8D-5BDF-450E-AB78-CD262DD62051}" name="tCadastrosGerais" displayName="tCadastrosGerais" ref="F6:G8" totalsRowShown="0" headerRowDxfId="37" dataDxfId="36">
  <autoFilter ref="F6:G8" xr:uid="{E7C0DB8D-5BDF-450E-AB78-CD262DD62051}"/>
  <tableColumns count="2">
    <tableColumn id="1" xr3:uid="{2CE3069C-1816-41A7-85C9-A3D11D4335DB}" name="Operação Fiscal" dataDxfId="35"/>
    <tableColumn id="2" xr3:uid="{359DFF7A-6ED1-49CD-A460-4D04C8427D8F}" name="Tipo de Movimentação" dataDxfId="34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19C51D-5679-44F6-A378-F693A05C71DB}" name="tProdutos" displayName="tProdutos" ref="F6:K9" totalsRowShown="0" headerRowDxfId="33" dataDxfId="32">
  <autoFilter ref="F6:K9" xr:uid="{3419C51D-5679-44F6-A378-F693A05C71DB}"/>
  <tableColumns count="6">
    <tableColumn id="1" xr3:uid="{231A32D8-C8FF-49A2-B08F-FB344981C5A1}" name="Código" dataDxfId="31">
      <calculatedColumnFormula>ROW()-ROW(tProdutos[[#Headers],[Código]])</calculatedColumnFormula>
    </tableColumn>
    <tableColumn id="2" xr3:uid="{7A5155E4-0374-4505-A0F9-43EA31362A8C}" name="Produto" dataDxfId="30"/>
    <tableColumn id="3" xr3:uid="{6A610A19-9D5A-4277-BEDF-B4BAF9287F32}" name="Dimensões" dataDxfId="29"/>
    <tableColumn id="4" xr3:uid="{5C74BC9B-D9E7-4D4B-8CD3-0081BB2CDD7B}" name="Fornecedor Principal" dataDxfId="28"/>
    <tableColumn id="5" xr3:uid="{A1BABB4C-F79E-484D-AEAC-2F66DE5FD0D6}" name="Detalhes" dataDxfId="27"/>
    <tableColumn id="6" xr3:uid="{BC346DB7-9AF9-4C47-B184-496DBC0DE728}" name="Estoque Atual" dataDxfId="26">
      <calculatedColumnFormula>SUMIFS(tRegistrodeInventario[Qtde.],tRegistrodeInventario[Código],tProdutos[[#This Row],[Código]],tRegistrodeInventario[Tipo de Movimentação],"Entrada")-
  SUMIFS(tRegistrodeInventario[Qtde.],tRegistrodeInventario[Código],tProdutos[[#This Row],[Código]],tRegistrodeInventario[Tipo de Movimentação],"Saída")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0CD82B-C18F-42BD-B2F8-375DE525AE97}" name="tRegistrodeInventario" displayName="tRegistrodeInventario" ref="F6:Q14" totalsRowShown="0" headerRowDxfId="25" dataDxfId="24">
  <autoFilter ref="F6:Q14" xr:uid="{A00CD82B-C18F-42BD-B2F8-375DE525AE97}"/>
  <tableColumns count="12">
    <tableColumn id="1" xr3:uid="{0A72F101-61F2-4754-9056-30A619A61638}" name="ID" dataDxfId="23">
      <calculatedColumnFormula>ROW()-ROW(tRegistrodeInventario[[#Headers],[ID]])</calculatedColumnFormula>
    </tableColumn>
    <tableColumn id="2" xr3:uid="{A5CEBD3C-1BF0-403C-AD47-327DB80ECF56}" name="Código" dataDxfId="22"/>
    <tableColumn id="3" xr3:uid="{20F44B8F-BA77-4F72-AEF2-C4ED0273DBA9}" name="Tipo de Movimentação" dataDxfId="21"/>
    <tableColumn id="4" xr3:uid="{5C15797E-8743-43CB-8365-1658F2405651}" name="Data" dataDxfId="20"/>
    <tableColumn id="5" xr3:uid="{E01D6079-57DC-43E1-B79E-E50A6A97C892}" name="Qtde." dataDxfId="19"/>
    <tableColumn id="6" xr3:uid="{DC9A4DF9-2358-496D-A5B4-341FFAA2C1D3}" name="Valor Unitário" dataDxfId="18" dataCellStyle="Moeda"/>
    <tableColumn id="7" xr3:uid="{69F626CA-D358-49C7-91E2-D36219DCEF5D}" name="Valor Total" dataDxfId="17" dataCellStyle="Moeda"/>
    <tableColumn id="8" xr3:uid="{44338DE1-42D2-424C-94B6-85C6DD4AB06C}" name="Operação Fiscal" dataDxfId="16"/>
    <tableColumn id="9" xr3:uid="{1241CCCF-078F-4F9F-97E6-C68356CDEDDE}" name="Série" dataDxfId="15"/>
    <tableColumn id="10" xr3:uid="{D9B53278-FBB8-4AFC-9630-E021D0C720F6}" name="Nota Fiscal" dataDxfId="14"/>
    <tableColumn id="11" xr3:uid="{882F2DEE-F15B-47CB-B96C-47BF3B227409}" name="Fornecedor/Cliente" dataDxfId="13"/>
    <tableColumn id="12" xr3:uid="{6941DD48-668C-47CE-B6B9-CAFB794D44C0}" name="Complemento" dataDxfId="1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C0C0A8-C49A-480F-984E-BC2F46C3E4B1}" name="tConsultadeEstoque" displayName="tConsultadeEstoque" ref="F15:N19" tableType="queryTable" totalsRowShown="0" headerRowDxfId="11" dataDxfId="10">
  <autoFilter ref="F15:N19" xr:uid="{2EC0C0A8-C49A-480F-984E-BC2F46C3E4B1}"/>
  <tableColumns count="9">
    <tableColumn id="1" xr3:uid="{ADD69757-11AB-4713-9EFF-22D43538B38E}" uniqueName="1" name="ID" queryTableFieldId="1" dataDxfId="8"/>
    <tableColumn id="2" xr3:uid="{0E4DA51C-943A-467B-A3FE-FD251D108F61}" uniqueName="2" name="Tipo de Movimentação" queryTableFieldId="2" dataDxfId="7"/>
    <tableColumn id="3" xr3:uid="{63AD32AA-A20F-4822-9EFF-5B624C66D365}" uniqueName="3" name="Data" queryTableFieldId="3" dataDxfId="6"/>
    <tableColumn id="4" xr3:uid="{731BB5E2-5AA0-462F-830D-3F8287C614A1}" uniqueName="4" name="Qtde." queryTableFieldId="4" dataDxfId="5"/>
    <tableColumn id="5" xr3:uid="{B0B4F7CC-28A9-4205-98FA-3F20D11FDDA8}" uniqueName="5" name="Valor Unitário" queryTableFieldId="5" dataDxfId="4" dataCellStyle="Moeda"/>
    <tableColumn id="6" xr3:uid="{85FF62F5-47E1-4A31-9209-FDB4357045E6}" uniqueName="6" name="Valor Total" queryTableFieldId="6" dataDxfId="3" dataCellStyle="Moeda"/>
    <tableColumn id="7" xr3:uid="{50181904-CBA8-49D6-A890-F0EBCBA3DD73}" uniqueName="7" name="Qtd. Total" queryTableFieldId="7" dataDxfId="2">
      <calculatedColumnFormula>IF(tConsultadeEstoque[[#This Row],[Tipo de Movimentação]]="Entrada",tConsultadeEstoque[[#This Row],[Qtde.]],-tConsultadeEstoque[[#This Row],[Qtde.]])+L17</calculatedColumnFormula>
    </tableColumn>
    <tableColumn id="8" xr3:uid="{68AFB839-5D9D-4413-9658-3DA71D4F6906}" uniqueName="8" name="Valor Estoque" queryTableFieldId="8" dataDxfId="1">
      <calculatedColumnFormula>IF(tConsultadeEstoque[[#This Row],[Tipo de Movimentação]]="Entrada",tConsultadeEstoque[[#This Row],[Valor Total]],-tConsultadeEstoque[[#This Row],[Qtde.]]*OFFSET(N16,1,))+OFFSET(M16,1,)</calculatedColumnFormula>
    </tableColumn>
    <tableColumn id="9" xr3:uid="{20039286-B5AA-436F-B933-4B18B4FBE0D6}" uniqueName="9" name="Custo Médio" queryTableFieldId="9" dataDxfId="0" dataCellStyle="Moeda">
      <calculatedColumnFormula>tConsultadeEstoque[[#This Row],[Valor Estoque]]/tConsultadeEstoque[[#This Row],[Qtd. Total]]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94072-BD30-4034-AC21-D0F1DA323262}">
  <sheetPr codeName="Planilha1"/>
  <dimension ref="A1:D41"/>
  <sheetViews>
    <sheetView showGridLines="0" zoomScale="130" zoomScaleNormal="130" workbookViewId="0">
      <selection activeCell="I15" sqref="I15"/>
    </sheetView>
  </sheetViews>
  <sheetFormatPr defaultRowHeight="14.4" x14ac:dyDescent="0.3"/>
  <sheetData>
    <row r="1" spans="1:4" x14ac:dyDescent="0.3">
      <c r="A1" s="1"/>
      <c r="B1" s="1"/>
      <c r="C1" s="1"/>
      <c r="D1" s="2"/>
    </row>
    <row r="2" spans="1:4" x14ac:dyDescent="0.3">
      <c r="A2" s="1"/>
      <c r="B2" s="1"/>
      <c r="C2" s="1"/>
      <c r="D2" s="2"/>
    </row>
    <row r="3" spans="1:4" x14ac:dyDescent="0.3">
      <c r="A3" s="1"/>
      <c r="B3" s="1"/>
      <c r="C3" s="1"/>
      <c r="D3" s="2"/>
    </row>
    <row r="4" spans="1:4" x14ac:dyDescent="0.3">
      <c r="A4" s="1"/>
      <c r="B4" s="1"/>
      <c r="C4" s="1"/>
      <c r="D4" s="2"/>
    </row>
    <row r="5" spans="1:4" x14ac:dyDescent="0.3">
      <c r="A5" s="1"/>
      <c r="B5" s="1"/>
      <c r="C5" s="1"/>
      <c r="D5" s="2"/>
    </row>
    <row r="6" spans="1:4" x14ac:dyDescent="0.3">
      <c r="A6" s="1"/>
      <c r="B6" s="1"/>
      <c r="C6" s="1"/>
      <c r="D6" s="2"/>
    </row>
    <row r="7" spans="1:4" x14ac:dyDescent="0.3">
      <c r="A7" s="1"/>
      <c r="B7" s="1"/>
      <c r="C7" s="1"/>
      <c r="D7" s="2"/>
    </row>
    <row r="8" spans="1:4" x14ac:dyDescent="0.3">
      <c r="A8" s="1"/>
      <c r="B8" s="1"/>
      <c r="C8" s="1"/>
      <c r="D8" s="2"/>
    </row>
    <row r="9" spans="1:4" x14ac:dyDescent="0.3">
      <c r="A9" s="1"/>
      <c r="B9" s="1"/>
      <c r="C9" s="1"/>
      <c r="D9" s="2"/>
    </row>
    <row r="10" spans="1:4" x14ac:dyDescent="0.3">
      <c r="A10" s="1"/>
      <c r="B10" s="1"/>
      <c r="C10" s="1"/>
      <c r="D10" s="2"/>
    </row>
    <row r="11" spans="1:4" x14ac:dyDescent="0.3">
      <c r="A11" s="1"/>
      <c r="B11" s="1"/>
      <c r="C11" s="1"/>
      <c r="D11" s="2"/>
    </row>
    <row r="12" spans="1:4" x14ac:dyDescent="0.3">
      <c r="A12" s="1"/>
      <c r="B12" s="1"/>
      <c r="C12" s="1"/>
      <c r="D12" s="2"/>
    </row>
    <row r="13" spans="1:4" x14ac:dyDescent="0.3">
      <c r="A13" s="1"/>
      <c r="B13" s="1"/>
      <c r="C13" s="1"/>
      <c r="D13" s="2"/>
    </row>
    <row r="14" spans="1:4" x14ac:dyDescent="0.3">
      <c r="A14" s="1"/>
      <c r="B14" s="1"/>
      <c r="C14" s="1"/>
      <c r="D14" s="2"/>
    </row>
    <row r="15" spans="1:4" x14ac:dyDescent="0.3">
      <c r="A15" s="1"/>
      <c r="B15" s="1"/>
      <c r="C15" s="1"/>
      <c r="D15" s="2"/>
    </row>
    <row r="16" spans="1:4" x14ac:dyDescent="0.3">
      <c r="A16" s="1"/>
      <c r="B16" s="1"/>
      <c r="C16" s="1"/>
      <c r="D16" s="2"/>
    </row>
    <row r="17" spans="1:4" x14ac:dyDescent="0.3">
      <c r="A17" s="1"/>
      <c r="B17" s="1"/>
      <c r="C17" s="1"/>
      <c r="D17" s="2"/>
    </row>
    <row r="18" spans="1:4" x14ac:dyDescent="0.3">
      <c r="A18" s="1"/>
      <c r="B18" s="1"/>
      <c r="C18" s="1"/>
      <c r="D18" s="2"/>
    </row>
    <row r="19" spans="1:4" x14ac:dyDescent="0.3">
      <c r="A19" s="1"/>
      <c r="B19" s="1"/>
      <c r="C19" s="1"/>
      <c r="D19" s="2"/>
    </row>
    <row r="20" spans="1:4" x14ac:dyDescent="0.3">
      <c r="A20" s="1"/>
      <c r="B20" s="1"/>
      <c r="C20" s="1"/>
      <c r="D20" s="2"/>
    </row>
    <row r="21" spans="1:4" x14ac:dyDescent="0.3">
      <c r="A21" s="1"/>
      <c r="B21" s="1"/>
      <c r="C21" s="1"/>
      <c r="D21" s="2"/>
    </row>
    <row r="22" spans="1:4" x14ac:dyDescent="0.3">
      <c r="A22" s="1"/>
      <c r="B22" s="1"/>
      <c r="C22" s="1"/>
      <c r="D22" s="2"/>
    </row>
    <row r="23" spans="1:4" x14ac:dyDescent="0.3">
      <c r="A23" s="1"/>
      <c r="B23" s="1"/>
      <c r="C23" s="1"/>
      <c r="D23" s="2"/>
    </row>
    <row r="24" spans="1:4" x14ac:dyDescent="0.3">
      <c r="A24" s="1"/>
      <c r="B24" s="1"/>
      <c r="C24" s="1"/>
      <c r="D24" s="2"/>
    </row>
    <row r="25" spans="1:4" x14ac:dyDescent="0.3">
      <c r="A25" s="1"/>
      <c r="B25" s="1"/>
      <c r="C25" s="1"/>
      <c r="D25" s="2"/>
    </row>
    <row r="26" spans="1:4" x14ac:dyDescent="0.3">
      <c r="A26" s="1"/>
      <c r="B26" s="1"/>
      <c r="C26" s="1"/>
      <c r="D26" s="2"/>
    </row>
    <row r="27" spans="1:4" x14ac:dyDescent="0.3">
      <c r="A27" s="1"/>
      <c r="B27" s="1"/>
      <c r="C27" s="1"/>
      <c r="D27" s="2"/>
    </row>
    <row r="28" spans="1:4" x14ac:dyDescent="0.3">
      <c r="A28" s="1"/>
      <c r="B28" s="1"/>
      <c r="C28" s="1"/>
      <c r="D28" s="2"/>
    </row>
    <row r="29" spans="1:4" x14ac:dyDescent="0.3">
      <c r="A29" s="1"/>
      <c r="B29" s="1"/>
      <c r="C29" s="1"/>
      <c r="D29" s="2"/>
    </row>
    <row r="30" spans="1:4" x14ac:dyDescent="0.3">
      <c r="A30" s="1"/>
      <c r="B30" s="1"/>
      <c r="C30" s="1"/>
      <c r="D30" s="2"/>
    </row>
    <row r="31" spans="1:4" x14ac:dyDescent="0.3">
      <c r="A31" s="1"/>
      <c r="B31" s="1"/>
      <c r="C31" s="1"/>
      <c r="D31" s="2"/>
    </row>
    <row r="32" spans="1: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5575-4E36-442B-9994-D654E1486014}">
  <sheetPr codeName="Inicio"/>
  <dimension ref="A1:K41"/>
  <sheetViews>
    <sheetView showGridLines="0" showRowColHeaders="0" zoomScaleNormal="100" workbookViewId="0">
      <selection activeCell="E1" sqref="E1"/>
    </sheetView>
  </sheetViews>
  <sheetFormatPr defaultRowHeight="14.4" x14ac:dyDescent="0.3"/>
  <cols>
    <col min="6" max="6" width="0.5546875" customWidth="1"/>
    <col min="10" max="10" width="3" customWidth="1"/>
    <col min="11" max="11" width="0.5546875" customWidth="1"/>
  </cols>
  <sheetData>
    <row r="1" spans="1:11" x14ac:dyDescent="0.3">
      <c r="A1" s="1"/>
      <c r="B1" s="1"/>
      <c r="C1" s="1"/>
      <c r="D1" s="2"/>
    </row>
    <row r="2" spans="1:11" x14ac:dyDescent="0.3">
      <c r="A2" s="1"/>
      <c r="B2" s="1"/>
      <c r="C2" s="1"/>
      <c r="D2" s="2"/>
    </row>
    <row r="3" spans="1:11" x14ac:dyDescent="0.3">
      <c r="A3" s="1"/>
      <c r="B3" s="1"/>
      <c r="C3" s="1"/>
      <c r="D3" s="2"/>
    </row>
    <row r="4" spans="1:11" ht="3" customHeight="1" x14ac:dyDescent="0.3">
      <c r="A4" s="1"/>
      <c r="B4" s="1"/>
      <c r="C4" s="1"/>
      <c r="D4" s="2"/>
      <c r="F4" s="26"/>
      <c r="G4" s="27"/>
      <c r="H4" s="27"/>
      <c r="I4" s="27"/>
      <c r="J4" s="27"/>
      <c r="K4" s="28"/>
    </row>
    <row r="5" spans="1:11" x14ac:dyDescent="0.3">
      <c r="A5" s="1"/>
      <c r="B5" s="1"/>
      <c r="C5" s="1"/>
      <c r="D5" s="2"/>
      <c r="F5" s="29"/>
      <c r="K5" s="30"/>
    </row>
    <row r="6" spans="1:11" x14ac:dyDescent="0.3">
      <c r="A6" s="1"/>
      <c r="B6" s="1"/>
      <c r="C6" s="1"/>
      <c r="D6" s="2"/>
      <c r="F6" s="29"/>
      <c r="K6" s="30"/>
    </row>
    <row r="7" spans="1:11" x14ac:dyDescent="0.3">
      <c r="A7" s="1"/>
      <c r="B7" s="1"/>
      <c r="C7" s="1"/>
      <c r="D7" s="2"/>
      <c r="F7" s="29"/>
      <c r="K7" s="30"/>
    </row>
    <row r="8" spans="1:11" ht="3.75" customHeight="1" x14ac:dyDescent="0.3">
      <c r="A8" s="1"/>
      <c r="B8" s="1"/>
      <c r="C8" s="1"/>
      <c r="D8" s="2"/>
      <c r="F8" s="31"/>
      <c r="G8" s="32"/>
      <c r="H8" s="32"/>
      <c r="I8" s="32"/>
      <c r="J8" s="32"/>
      <c r="K8" s="33"/>
    </row>
    <row r="9" spans="1:11" x14ac:dyDescent="0.3">
      <c r="A9" s="1"/>
      <c r="B9" s="1"/>
      <c r="C9" s="1"/>
      <c r="D9" s="2"/>
    </row>
    <row r="10" spans="1:11" x14ac:dyDescent="0.3">
      <c r="A10" s="1"/>
      <c r="B10" s="1"/>
      <c r="C10" s="1"/>
      <c r="D10" s="2"/>
    </row>
    <row r="11" spans="1:11" x14ac:dyDescent="0.3">
      <c r="A11" s="1"/>
      <c r="B11" s="1"/>
      <c r="C11" s="1"/>
      <c r="D11" s="2"/>
    </row>
    <row r="12" spans="1:11" x14ac:dyDescent="0.3">
      <c r="A12" s="1"/>
      <c r="B12" s="1"/>
      <c r="C12" s="1"/>
      <c r="D12" s="2"/>
    </row>
    <row r="13" spans="1:11" x14ac:dyDescent="0.3">
      <c r="A13" s="1"/>
      <c r="B13" s="1"/>
      <c r="C13" s="1"/>
      <c r="D13" s="2"/>
    </row>
    <row r="14" spans="1:11" x14ac:dyDescent="0.3">
      <c r="A14" s="1"/>
      <c r="B14" s="1"/>
      <c r="C14" s="1"/>
      <c r="D14" s="2"/>
    </row>
    <row r="15" spans="1:11" x14ac:dyDescent="0.3">
      <c r="A15" s="1"/>
      <c r="B15" s="1"/>
      <c r="C15" s="1"/>
      <c r="D15" s="2"/>
    </row>
    <row r="16" spans="1:11" x14ac:dyDescent="0.3">
      <c r="A16" s="1"/>
      <c r="B16" s="1"/>
      <c r="C16" s="1"/>
      <c r="D16" s="2"/>
    </row>
    <row r="17" spans="1:4" x14ac:dyDescent="0.3">
      <c r="A17" s="1"/>
      <c r="B17" s="1"/>
      <c r="C17" s="1"/>
      <c r="D17" s="2"/>
    </row>
    <row r="18" spans="1:4" x14ac:dyDescent="0.3">
      <c r="A18" s="1"/>
      <c r="B18" s="1"/>
      <c r="C18" s="1"/>
      <c r="D18" s="2"/>
    </row>
    <row r="19" spans="1:4" x14ac:dyDescent="0.3">
      <c r="A19" s="1"/>
      <c r="B19" s="1"/>
      <c r="C19" s="1"/>
      <c r="D19" s="2"/>
    </row>
    <row r="20" spans="1:4" x14ac:dyDescent="0.3">
      <c r="A20" s="1"/>
      <c r="B20" s="1"/>
      <c r="C20" s="1"/>
      <c r="D20" s="2"/>
    </row>
    <row r="21" spans="1:4" x14ac:dyDescent="0.3">
      <c r="A21" s="1"/>
      <c r="B21" s="1"/>
      <c r="C21" s="1"/>
      <c r="D21" s="2"/>
    </row>
    <row r="22" spans="1:4" x14ac:dyDescent="0.3">
      <c r="A22" s="1"/>
      <c r="B22" s="1"/>
      <c r="C22" s="1"/>
      <c r="D22" s="2"/>
    </row>
    <row r="23" spans="1:4" x14ac:dyDescent="0.3">
      <c r="A23" s="1"/>
      <c r="B23" s="1"/>
      <c r="C23" s="1"/>
      <c r="D23" s="2"/>
    </row>
    <row r="24" spans="1:4" x14ac:dyDescent="0.3">
      <c r="A24" s="1"/>
      <c r="B24" s="1"/>
      <c r="C24" s="1"/>
      <c r="D24" s="2"/>
    </row>
    <row r="25" spans="1:4" x14ac:dyDescent="0.3">
      <c r="A25" s="1"/>
      <c r="B25" s="1"/>
      <c r="C25" s="1"/>
      <c r="D25" s="2"/>
    </row>
    <row r="26" spans="1:4" x14ac:dyDescent="0.3">
      <c r="A26" s="1"/>
      <c r="B26" s="1"/>
      <c r="C26" s="1"/>
      <c r="D26" s="2"/>
    </row>
    <row r="27" spans="1:4" x14ac:dyDescent="0.3">
      <c r="A27" s="1"/>
      <c r="B27" s="1"/>
      <c r="C27" s="1"/>
      <c r="D27" s="2"/>
    </row>
    <row r="28" spans="1:4" x14ac:dyDescent="0.3">
      <c r="A28" s="1"/>
      <c r="B28" s="1"/>
      <c r="C28" s="1"/>
      <c r="D28" s="2"/>
    </row>
    <row r="29" spans="1:4" x14ac:dyDescent="0.3">
      <c r="A29" s="1"/>
      <c r="B29" s="1"/>
      <c r="C29" s="1"/>
      <c r="D29" s="2"/>
    </row>
    <row r="30" spans="1:4" x14ac:dyDescent="0.3">
      <c r="A30" s="1"/>
      <c r="B30" s="1"/>
      <c r="C30" s="1"/>
      <c r="D30" s="2"/>
    </row>
    <row r="31" spans="1:4" x14ac:dyDescent="0.3">
      <c r="A31" s="1"/>
      <c r="B31" s="1"/>
      <c r="C31" s="1"/>
      <c r="D31" s="2"/>
    </row>
    <row r="32" spans="1: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D8917-3C9C-4E8A-B596-4FDF0140CCC2}">
  <sheetPr codeName="CadastrosGerais"/>
  <dimension ref="A1:G41"/>
  <sheetViews>
    <sheetView showGridLines="0" showRowColHeaders="0" tabSelected="1" zoomScaleNormal="100" workbookViewId="0">
      <selection activeCell="F18" sqref="F18"/>
    </sheetView>
  </sheetViews>
  <sheetFormatPr defaultRowHeight="14.4" x14ac:dyDescent="0.3"/>
  <cols>
    <col min="6" max="6" width="33.5546875" bestFit="1" customWidth="1"/>
    <col min="7" max="7" width="37.33203125" bestFit="1" customWidth="1"/>
    <col min="8" max="8" width="9.109375" customWidth="1"/>
  </cols>
  <sheetData>
    <row r="1" spans="1:7" x14ac:dyDescent="0.3">
      <c r="A1" s="1"/>
      <c r="B1" s="1"/>
      <c r="C1" s="1"/>
      <c r="D1" s="2"/>
    </row>
    <row r="2" spans="1:7" x14ac:dyDescent="0.3">
      <c r="A2" s="1"/>
      <c r="B2" s="1"/>
      <c r="C2" s="1"/>
      <c r="D2" s="2"/>
    </row>
    <row r="3" spans="1:7" x14ac:dyDescent="0.3">
      <c r="A3" s="1"/>
      <c r="B3" s="1"/>
      <c r="C3" s="1"/>
      <c r="D3" s="2"/>
    </row>
    <row r="4" spans="1:7" x14ac:dyDescent="0.3">
      <c r="A4" s="1"/>
      <c r="B4" s="1"/>
      <c r="C4" s="1"/>
      <c r="D4" s="2"/>
    </row>
    <row r="5" spans="1:7" x14ac:dyDescent="0.3">
      <c r="A5" s="1"/>
      <c r="B5" s="1"/>
      <c r="C5" s="1"/>
      <c r="D5" s="2"/>
    </row>
    <row r="6" spans="1:7" ht="23.4" x14ac:dyDescent="0.45">
      <c r="A6" s="1"/>
      <c r="B6" s="1"/>
      <c r="C6" s="1"/>
      <c r="D6" s="2"/>
      <c r="F6" s="3" t="s">
        <v>0</v>
      </c>
      <c r="G6" s="3" t="s">
        <v>1</v>
      </c>
    </row>
    <row r="7" spans="1:7" ht="23.4" x14ac:dyDescent="0.45">
      <c r="A7" s="1"/>
      <c r="B7" s="1"/>
      <c r="C7" s="1"/>
      <c r="D7" s="2"/>
      <c r="F7" s="3" t="s">
        <v>2</v>
      </c>
      <c r="G7" s="3" t="s">
        <v>4</v>
      </c>
    </row>
    <row r="8" spans="1:7" ht="23.4" x14ac:dyDescent="0.45">
      <c r="A8" s="1"/>
      <c r="B8" s="1"/>
      <c r="C8" s="1"/>
      <c r="D8" s="2"/>
      <c r="F8" s="3" t="s">
        <v>3</v>
      </c>
      <c r="G8" s="3" t="s">
        <v>5</v>
      </c>
    </row>
    <row r="9" spans="1:7" x14ac:dyDescent="0.3">
      <c r="A9" s="1"/>
      <c r="B9" s="1"/>
      <c r="C9" s="1"/>
      <c r="D9" s="2"/>
    </row>
    <row r="10" spans="1:7" x14ac:dyDescent="0.3">
      <c r="A10" s="1"/>
      <c r="B10" s="1"/>
      <c r="C10" s="1"/>
      <c r="D10" s="2"/>
    </row>
    <row r="11" spans="1:7" x14ac:dyDescent="0.3">
      <c r="A11" s="1"/>
      <c r="B11" s="1"/>
      <c r="C11" s="1"/>
      <c r="D11" s="2"/>
    </row>
    <row r="12" spans="1:7" x14ac:dyDescent="0.3">
      <c r="A12" s="1"/>
      <c r="B12" s="1"/>
      <c r="C12" s="1"/>
      <c r="D12" s="2"/>
    </row>
    <row r="13" spans="1:7" x14ac:dyDescent="0.3">
      <c r="A13" s="1"/>
      <c r="B13" s="1"/>
      <c r="C13" s="1"/>
      <c r="D13" s="2"/>
    </row>
    <row r="14" spans="1:7" x14ac:dyDescent="0.3">
      <c r="A14" s="1"/>
      <c r="B14" s="1"/>
      <c r="C14" s="1"/>
      <c r="D14" s="2"/>
    </row>
    <row r="15" spans="1:7" x14ac:dyDescent="0.3">
      <c r="A15" s="1"/>
      <c r="B15" s="1"/>
      <c r="C15" s="1"/>
      <c r="D15" s="2"/>
    </row>
    <row r="16" spans="1:7" x14ac:dyDescent="0.3">
      <c r="A16" s="1"/>
      <c r="B16" s="1"/>
      <c r="C16" s="1"/>
      <c r="D16" s="2"/>
    </row>
    <row r="17" spans="1:4" x14ac:dyDescent="0.3">
      <c r="A17" s="1"/>
      <c r="B17" s="1"/>
      <c r="C17" s="1"/>
      <c r="D17" s="2"/>
    </row>
    <row r="18" spans="1:4" x14ac:dyDescent="0.3">
      <c r="A18" s="1"/>
      <c r="B18" s="1"/>
      <c r="C18" s="1"/>
      <c r="D18" s="2"/>
    </row>
    <row r="19" spans="1:4" x14ac:dyDescent="0.3">
      <c r="A19" s="1"/>
      <c r="B19" s="1"/>
      <c r="C19" s="1"/>
      <c r="D19" s="2"/>
    </row>
    <row r="20" spans="1:4" x14ac:dyDescent="0.3">
      <c r="A20" s="1"/>
      <c r="B20" s="1"/>
      <c r="C20" s="1"/>
      <c r="D20" s="2"/>
    </row>
    <row r="21" spans="1:4" x14ac:dyDescent="0.3">
      <c r="A21" s="1"/>
      <c r="B21" s="1"/>
      <c r="C21" s="1"/>
      <c r="D21" s="2"/>
    </row>
    <row r="22" spans="1:4" x14ac:dyDescent="0.3">
      <c r="A22" s="1"/>
      <c r="B22" s="1"/>
      <c r="C22" s="1"/>
      <c r="D22" s="2"/>
    </row>
    <row r="23" spans="1:4" x14ac:dyDescent="0.3">
      <c r="A23" s="1"/>
      <c r="B23" s="1"/>
      <c r="C23" s="1"/>
      <c r="D23" s="2"/>
    </row>
    <row r="24" spans="1:4" x14ac:dyDescent="0.3">
      <c r="A24" s="1"/>
      <c r="B24" s="1"/>
      <c r="C24" s="1"/>
      <c r="D24" s="2"/>
    </row>
    <row r="25" spans="1:4" x14ac:dyDescent="0.3">
      <c r="A25" s="1"/>
      <c r="B25" s="1"/>
      <c r="C25" s="1"/>
      <c r="D25" s="2"/>
    </row>
    <row r="26" spans="1:4" x14ac:dyDescent="0.3">
      <c r="A26" s="1"/>
      <c r="B26" s="1"/>
      <c r="C26" s="1"/>
      <c r="D26" s="2"/>
    </row>
    <row r="27" spans="1:4" x14ac:dyDescent="0.3">
      <c r="A27" s="1"/>
      <c r="B27" s="1"/>
      <c r="C27" s="1"/>
      <c r="D27" s="2"/>
    </row>
    <row r="28" spans="1:4" x14ac:dyDescent="0.3">
      <c r="A28" s="1"/>
      <c r="B28" s="1"/>
      <c r="C28" s="1"/>
      <c r="D28" s="2"/>
    </row>
    <row r="29" spans="1:4" x14ac:dyDescent="0.3">
      <c r="A29" s="1"/>
      <c r="B29" s="1"/>
      <c r="C29" s="1"/>
      <c r="D29" s="2"/>
    </row>
    <row r="30" spans="1:4" x14ac:dyDescent="0.3">
      <c r="A30" s="1"/>
      <c r="B30" s="1"/>
      <c r="C30" s="1"/>
      <c r="D30" s="2"/>
    </row>
    <row r="31" spans="1:4" x14ac:dyDescent="0.3">
      <c r="A31" s="1"/>
      <c r="B31" s="1"/>
      <c r="C31" s="1"/>
      <c r="D31" s="2"/>
    </row>
    <row r="32" spans="1: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E3FBD-06ED-4132-A3AA-DEEB247B64B5}">
  <sheetPr codeName="Produtos"/>
  <dimension ref="A1:K41"/>
  <sheetViews>
    <sheetView showGridLines="0" showRowColHeaders="0" zoomScaleNormal="100" workbookViewId="0">
      <selection activeCell="E1" sqref="E1"/>
    </sheetView>
  </sheetViews>
  <sheetFormatPr defaultRowHeight="14.4" x14ac:dyDescent="0.3"/>
  <cols>
    <col min="6" max="6" width="13.44140625" bestFit="1" customWidth="1"/>
    <col min="7" max="7" width="36.5546875" bestFit="1" customWidth="1"/>
    <col min="8" max="8" width="19.5546875" bestFit="1" customWidth="1"/>
    <col min="9" max="9" width="34" bestFit="1" customWidth="1"/>
    <col min="10" max="10" width="16.33203125" bestFit="1" customWidth="1"/>
    <col min="11" max="11" width="24" bestFit="1" customWidth="1"/>
  </cols>
  <sheetData>
    <row r="1" spans="1:11" x14ac:dyDescent="0.3">
      <c r="A1" s="1"/>
      <c r="B1" s="1"/>
      <c r="C1" s="1"/>
      <c r="D1" s="2"/>
    </row>
    <row r="2" spans="1:11" x14ac:dyDescent="0.3">
      <c r="A2" s="1"/>
      <c r="B2" s="1"/>
      <c r="C2" s="1"/>
      <c r="D2" s="2"/>
    </row>
    <row r="3" spans="1:11" x14ac:dyDescent="0.3">
      <c r="A3" s="1"/>
      <c r="B3" s="1"/>
      <c r="C3" s="1"/>
      <c r="D3" s="2"/>
    </row>
    <row r="4" spans="1:11" x14ac:dyDescent="0.3">
      <c r="A4" s="1"/>
      <c r="B4" s="1"/>
      <c r="C4" s="1"/>
      <c r="D4" s="2"/>
    </row>
    <row r="5" spans="1:11" x14ac:dyDescent="0.3">
      <c r="A5" s="1"/>
      <c r="B5" s="1"/>
      <c r="C5" s="1"/>
      <c r="D5" s="2"/>
    </row>
    <row r="6" spans="1:11" ht="23.4" x14ac:dyDescent="0.45">
      <c r="A6" s="1"/>
      <c r="B6" s="1"/>
      <c r="C6" s="1"/>
      <c r="D6" s="2"/>
      <c r="F6" s="3" t="s">
        <v>6</v>
      </c>
      <c r="G6" s="3" t="s">
        <v>7</v>
      </c>
      <c r="H6" s="3" t="s">
        <v>8</v>
      </c>
      <c r="I6" s="3" t="s">
        <v>9</v>
      </c>
      <c r="J6" s="3" t="s">
        <v>10</v>
      </c>
      <c r="K6" s="3" t="s">
        <v>20</v>
      </c>
    </row>
    <row r="7" spans="1:11" ht="23.4" x14ac:dyDescent="0.45">
      <c r="A7" s="1"/>
      <c r="B7" s="1"/>
      <c r="C7" s="1"/>
      <c r="D7" s="2"/>
      <c r="F7" s="3">
        <f>ROW()-ROW(tProdutos[[#Headers],[Código]])</f>
        <v>1</v>
      </c>
      <c r="G7" s="4" t="s">
        <v>11</v>
      </c>
      <c r="H7" s="4"/>
      <c r="I7" s="4" t="s">
        <v>12</v>
      </c>
      <c r="J7" s="4" t="s">
        <v>13</v>
      </c>
      <c r="K7" s="3">
        <f>SUMIFS(tRegistrodeInventario[Qtde.],tRegistrodeInventario[Código],tProdutos[[#This Row],[Código]],tRegistrodeInventario[Tipo de Movimentação],"Entrada")-
  SUMIFS(tRegistrodeInventario[Qtde.],tRegistrodeInventario[Código],tProdutos[[#This Row],[Código]],tRegistrodeInventario[Tipo de Movimentação],"Saída")</f>
        <v>200</v>
      </c>
    </row>
    <row r="8" spans="1:11" ht="23.4" x14ac:dyDescent="0.45">
      <c r="A8" s="1"/>
      <c r="B8" s="1"/>
      <c r="C8" s="1"/>
      <c r="D8" s="2"/>
      <c r="F8" s="3">
        <f>ROW()-ROW(tProdutos[[#Headers],[Código]])</f>
        <v>2</v>
      </c>
      <c r="G8" s="4" t="s">
        <v>14</v>
      </c>
      <c r="H8" s="4"/>
      <c r="I8" s="4" t="s">
        <v>15</v>
      </c>
      <c r="J8" s="4" t="s">
        <v>16</v>
      </c>
      <c r="K8" s="3">
        <f>SUMIFS(tRegistrodeInventario[Qtde.],tRegistrodeInventario[Código],tProdutos[[#This Row],[Código]],tRegistrodeInventario[Tipo de Movimentação],"Entrada")-
  SUMIFS(tRegistrodeInventario[Qtde.],tRegistrodeInventario[Código],tProdutos[[#This Row],[Código]],tRegistrodeInventario[Tipo de Movimentação],"Saída")</f>
        <v>57</v>
      </c>
    </row>
    <row r="9" spans="1:11" ht="23.4" x14ac:dyDescent="0.45">
      <c r="A9" s="1"/>
      <c r="B9" s="1"/>
      <c r="C9" s="1"/>
      <c r="D9" s="2"/>
      <c r="F9" s="3">
        <f>ROW()-ROW(tProdutos[[#Headers],[Código]])</f>
        <v>3</v>
      </c>
      <c r="G9" s="4" t="s">
        <v>17</v>
      </c>
      <c r="H9" s="4"/>
      <c r="I9" s="4" t="s">
        <v>18</v>
      </c>
      <c r="J9" s="4" t="s">
        <v>19</v>
      </c>
      <c r="K9" s="3">
        <f>SUMIFS(tRegistrodeInventario[Qtde.],tRegistrodeInventario[Código],tProdutos[[#This Row],[Código]],tRegistrodeInventario[Tipo de Movimentação],"Entrada")-
  SUMIFS(tRegistrodeInventario[Qtde.],tRegistrodeInventario[Código],tProdutos[[#This Row],[Código]],tRegistrodeInventario[Tipo de Movimentação],"Saída")</f>
        <v>99</v>
      </c>
    </row>
    <row r="10" spans="1:11" x14ac:dyDescent="0.3">
      <c r="A10" s="1"/>
      <c r="B10" s="1"/>
      <c r="C10" s="1"/>
      <c r="D10" s="2"/>
    </row>
    <row r="11" spans="1:11" x14ac:dyDescent="0.3">
      <c r="A11" s="1"/>
      <c r="B11" s="1"/>
      <c r="C11" s="1"/>
      <c r="D11" s="2"/>
    </row>
    <row r="12" spans="1:11" x14ac:dyDescent="0.3">
      <c r="A12" s="1"/>
      <c r="B12" s="1"/>
      <c r="C12" s="1"/>
      <c r="D12" s="2"/>
    </row>
    <row r="13" spans="1:11" x14ac:dyDescent="0.3">
      <c r="A13" s="1"/>
      <c r="B13" s="1"/>
      <c r="C13" s="1"/>
      <c r="D13" s="2"/>
    </row>
    <row r="14" spans="1:11" x14ac:dyDescent="0.3">
      <c r="A14" s="1"/>
      <c r="B14" s="1"/>
      <c r="C14" s="1"/>
      <c r="D14" s="2"/>
    </row>
    <row r="15" spans="1:11" x14ac:dyDescent="0.3">
      <c r="A15" s="1"/>
      <c r="B15" s="1"/>
      <c r="C15" s="1"/>
      <c r="D15" s="2"/>
    </row>
    <row r="16" spans="1:11" x14ac:dyDescent="0.3">
      <c r="A16" s="1"/>
      <c r="B16" s="1"/>
      <c r="C16" s="1"/>
      <c r="D16" s="2"/>
    </row>
    <row r="17" spans="1:4" x14ac:dyDescent="0.3">
      <c r="A17" s="1"/>
      <c r="B17" s="1"/>
      <c r="C17" s="1"/>
      <c r="D17" s="2"/>
    </row>
    <row r="18" spans="1:4" x14ac:dyDescent="0.3">
      <c r="A18" s="1"/>
      <c r="B18" s="1"/>
      <c r="C18" s="1"/>
      <c r="D18" s="2"/>
    </row>
    <row r="19" spans="1:4" x14ac:dyDescent="0.3">
      <c r="A19" s="1"/>
      <c r="B19" s="1"/>
      <c r="C19" s="1"/>
      <c r="D19" s="2"/>
    </row>
    <row r="20" spans="1:4" x14ac:dyDescent="0.3">
      <c r="A20" s="1"/>
      <c r="B20" s="1"/>
      <c r="C20" s="1"/>
      <c r="D20" s="2"/>
    </row>
    <row r="21" spans="1:4" x14ac:dyDescent="0.3">
      <c r="A21" s="1"/>
      <c r="B21" s="1"/>
      <c r="C21" s="1"/>
      <c r="D21" s="2"/>
    </row>
    <row r="22" spans="1:4" x14ac:dyDescent="0.3">
      <c r="A22" s="1"/>
      <c r="B22" s="1"/>
      <c r="C22" s="1"/>
      <c r="D22" s="2"/>
    </row>
    <row r="23" spans="1:4" x14ac:dyDescent="0.3">
      <c r="A23" s="1"/>
      <c r="B23" s="1"/>
      <c r="C23" s="1"/>
      <c r="D23" s="2"/>
    </row>
    <row r="24" spans="1:4" x14ac:dyDescent="0.3">
      <c r="A24" s="1"/>
      <c r="B24" s="1"/>
      <c r="C24" s="1"/>
      <c r="D24" s="2"/>
    </row>
    <row r="25" spans="1:4" x14ac:dyDescent="0.3">
      <c r="A25" s="1"/>
      <c r="B25" s="1"/>
      <c r="C25" s="1"/>
      <c r="D25" s="2"/>
    </row>
    <row r="26" spans="1:4" x14ac:dyDescent="0.3">
      <c r="A26" s="1"/>
      <c r="B26" s="1"/>
      <c r="C26" s="1"/>
      <c r="D26" s="2"/>
    </row>
    <row r="27" spans="1:4" x14ac:dyDescent="0.3">
      <c r="A27" s="1"/>
      <c r="B27" s="1"/>
      <c r="C27" s="1"/>
      <c r="D27" s="2"/>
    </row>
    <row r="28" spans="1:4" x14ac:dyDescent="0.3">
      <c r="A28" s="1"/>
      <c r="B28" s="1"/>
      <c r="C28" s="1"/>
      <c r="D28" s="2"/>
    </row>
    <row r="29" spans="1:4" x14ac:dyDescent="0.3">
      <c r="A29" s="1"/>
      <c r="B29" s="1"/>
      <c r="C29" s="1"/>
      <c r="D29" s="2"/>
    </row>
    <row r="30" spans="1:4" x14ac:dyDescent="0.3">
      <c r="A30" s="1"/>
      <c r="B30" s="1"/>
      <c r="C30" s="1"/>
      <c r="D30" s="2"/>
    </row>
    <row r="31" spans="1:4" x14ac:dyDescent="0.3">
      <c r="A31" s="1"/>
      <c r="B31" s="1"/>
      <c r="C31" s="1"/>
      <c r="D31" s="2"/>
    </row>
    <row r="32" spans="1: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83E7A-A111-40CA-887E-D3E8E99C2504}">
  <sheetPr codeName="EntradaeSaida"/>
  <dimension ref="A1:H41"/>
  <sheetViews>
    <sheetView showGridLines="0" showRowColHeaders="0" zoomScaleNormal="100" workbookViewId="0">
      <selection activeCell="E1" sqref="E1"/>
    </sheetView>
  </sheetViews>
  <sheetFormatPr defaultRowHeight="14.4" x14ac:dyDescent="0.3"/>
  <cols>
    <col min="6" max="6" width="31.109375" bestFit="1" customWidth="1"/>
    <col min="7" max="7" width="41.33203125" customWidth="1"/>
  </cols>
  <sheetData>
    <row r="1" spans="1:8" x14ac:dyDescent="0.3">
      <c r="A1" s="1"/>
      <c r="B1" s="1"/>
      <c r="C1" s="1"/>
      <c r="D1" s="2"/>
    </row>
    <row r="2" spans="1:8" x14ac:dyDescent="0.3">
      <c r="A2" s="1"/>
      <c r="B2" s="1"/>
      <c r="C2" s="1"/>
      <c r="D2" s="2"/>
    </row>
    <row r="3" spans="1:8" x14ac:dyDescent="0.3">
      <c r="A3" s="1"/>
      <c r="B3" s="1"/>
      <c r="C3" s="1"/>
      <c r="D3" s="2"/>
    </row>
    <row r="4" spans="1:8" x14ac:dyDescent="0.3">
      <c r="A4" s="1"/>
      <c r="B4" s="1"/>
      <c r="C4" s="1"/>
      <c r="D4" s="2"/>
    </row>
    <row r="5" spans="1:8" x14ac:dyDescent="0.3">
      <c r="A5" s="1"/>
      <c r="B5" s="1"/>
      <c r="C5" s="1"/>
      <c r="D5" s="2"/>
    </row>
    <row r="6" spans="1:8" ht="23.4" x14ac:dyDescent="0.45">
      <c r="A6" s="1"/>
      <c r="B6" s="1"/>
      <c r="C6" s="1"/>
      <c r="D6" s="2"/>
      <c r="F6" s="5" t="s">
        <v>6</v>
      </c>
      <c r="G6" s="9">
        <v>2</v>
      </c>
      <c r="H6" s="3"/>
    </row>
    <row r="7" spans="1:8" ht="23.4" x14ac:dyDescent="0.45">
      <c r="A7" s="1"/>
      <c r="B7" s="1"/>
      <c r="C7" s="1"/>
      <c r="D7" s="2"/>
      <c r="F7" s="5" t="s">
        <v>7</v>
      </c>
      <c r="G7" s="6" t="str">
        <f>IFERROR(INDEX(tProdutos[],MATCH($G$6,tProdutos[Código],0),MATCH($F7,tProdutos[#Headers],0)),"NÃO ENCONTRADO")</f>
        <v>Tênis de corrida Mizuno</v>
      </c>
      <c r="H7" s="3"/>
    </row>
    <row r="8" spans="1:8" ht="23.4" x14ac:dyDescent="0.45">
      <c r="A8" s="1"/>
      <c r="B8" s="1"/>
      <c r="C8" s="1"/>
      <c r="D8" s="2"/>
      <c r="F8" s="5" t="s">
        <v>8</v>
      </c>
      <c r="G8" s="6">
        <f>IFERROR(INDEX(tProdutos[],MATCH($G$6,tProdutos[Código],0),MATCH($F8,tProdutos[#Headers],0)),"NÃO ENCONTRADO")</f>
        <v>0</v>
      </c>
      <c r="H8" s="3"/>
    </row>
    <row r="9" spans="1:8" ht="23.4" x14ac:dyDescent="0.45">
      <c r="A9" s="1"/>
      <c r="B9" s="1"/>
      <c r="C9" s="1"/>
      <c r="D9" s="2"/>
      <c r="F9" s="5" t="s">
        <v>9</v>
      </c>
      <c r="G9" s="6" t="str">
        <f>IFERROR(INDEX(tProdutos[],MATCH($G$6,tProdutos[Código],0),MATCH($F9,tProdutos[#Headers],0)),"NÃO ENCONTRADO")</f>
        <v>Mizuno</v>
      </c>
      <c r="H9" s="3"/>
    </row>
    <row r="10" spans="1:8" ht="23.4" x14ac:dyDescent="0.45">
      <c r="A10" s="1"/>
      <c r="B10" s="1"/>
      <c r="C10" s="1"/>
      <c r="D10" s="2"/>
      <c r="F10" s="5" t="s">
        <v>10</v>
      </c>
      <c r="G10" s="6" t="str">
        <f>IFERROR(INDEX(tProdutos[],MATCH($G$6,tProdutos[Código],0),MATCH($F10,tProdutos[#Headers],0)),"NÃO ENCONTRADO")</f>
        <v>Vermelho</v>
      </c>
      <c r="H10" s="3"/>
    </row>
    <row r="11" spans="1:8" ht="23.4" x14ac:dyDescent="0.45">
      <c r="A11" s="1"/>
      <c r="B11" s="1"/>
      <c r="C11" s="1"/>
      <c r="D11" s="2"/>
      <c r="F11" s="5" t="s">
        <v>0</v>
      </c>
      <c r="G11" s="9"/>
      <c r="H11" s="3"/>
    </row>
    <row r="12" spans="1:8" ht="23.4" x14ac:dyDescent="0.45">
      <c r="A12" s="1"/>
      <c r="B12" s="1"/>
      <c r="C12" s="1"/>
      <c r="D12" s="2"/>
      <c r="F12" s="5" t="s">
        <v>21</v>
      </c>
      <c r="G12" s="7" t="str">
        <f>IFERROR(VLOOKUP(G11,tCadastrosGerais[],2,0),"NÃO ENCONTRADO")</f>
        <v>NÃO ENCONTRADO</v>
      </c>
      <c r="H12" s="3"/>
    </row>
    <row r="13" spans="1:8" ht="23.4" x14ac:dyDescent="0.45">
      <c r="A13" s="1"/>
      <c r="B13" s="1"/>
      <c r="C13" s="1"/>
      <c r="D13" s="2"/>
      <c r="F13" s="5" t="s">
        <v>22</v>
      </c>
      <c r="G13" s="10"/>
      <c r="H13" s="3"/>
    </row>
    <row r="14" spans="1:8" ht="23.4" x14ac:dyDescent="0.45">
      <c r="A14" s="1"/>
      <c r="B14" s="1"/>
      <c r="C14" s="1"/>
      <c r="D14" s="2"/>
      <c r="F14" s="5" t="s">
        <v>23</v>
      </c>
      <c r="G14" s="9"/>
      <c r="H14" s="3"/>
    </row>
    <row r="15" spans="1:8" ht="23.4" x14ac:dyDescent="0.45">
      <c r="A15" s="1"/>
      <c r="B15" s="1"/>
      <c r="C15" s="1"/>
      <c r="D15" s="2"/>
      <c r="F15" s="5" t="s">
        <v>24</v>
      </c>
      <c r="G15" s="11"/>
      <c r="H15" s="3"/>
    </row>
    <row r="16" spans="1:8" ht="23.4" x14ac:dyDescent="0.45">
      <c r="A16" s="1"/>
      <c r="B16" s="1"/>
      <c r="C16" s="1"/>
      <c r="D16" s="2"/>
      <c r="F16" s="5" t="s">
        <v>25</v>
      </c>
      <c r="G16" s="8">
        <f>G14*G15</f>
        <v>0</v>
      </c>
      <c r="H16" s="3"/>
    </row>
    <row r="17" spans="1:8" ht="23.4" x14ac:dyDescent="0.45">
      <c r="A17" s="1"/>
      <c r="B17" s="1"/>
      <c r="C17" s="1"/>
      <c r="D17" s="2"/>
      <c r="F17" s="5" t="s">
        <v>26</v>
      </c>
      <c r="G17" s="9"/>
      <c r="H17" s="3"/>
    </row>
    <row r="18" spans="1:8" ht="23.4" x14ac:dyDescent="0.45">
      <c r="A18" s="1"/>
      <c r="B18" s="1"/>
      <c r="C18" s="1"/>
      <c r="D18" s="2"/>
      <c r="F18" s="5" t="s">
        <v>27</v>
      </c>
      <c r="G18" s="9"/>
      <c r="H18" s="3"/>
    </row>
    <row r="19" spans="1:8" ht="23.4" x14ac:dyDescent="0.45">
      <c r="A19" s="1"/>
      <c r="B19" s="1"/>
      <c r="C19" s="1"/>
      <c r="D19" s="2"/>
      <c r="F19" s="5" t="s">
        <v>28</v>
      </c>
      <c r="G19" s="9"/>
      <c r="H19" s="3"/>
    </row>
    <row r="20" spans="1:8" ht="23.4" x14ac:dyDescent="0.45">
      <c r="A20" s="1"/>
      <c r="B20" s="1"/>
      <c r="C20" s="1"/>
      <c r="D20" s="2"/>
      <c r="F20" s="5" t="s">
        <v>29</v>
      </c>
      <c r="G20" s="9"/>
      <c r="H20" s="3"/>
    </row>
    <row r="21" spans="1:8" x14ac:dyDescent="0.3">
      <c r="A21" s="1"/>
      <c r="B21" s="1"/>
      <c r="C21" s="1"/>
      <c r="D21" s="2"/>
    </row>
    <row r="22" spans="1:8" x14ac:dyDescent="0.3">
      <c r="A22" s="1"/>
      <c r="B22" s="1"/>
      <c r="C22" s="1"/>
      <c r="D22" s="2"/>
    </row>
    <row r="23" spans="1:8" x14ac:dyDescent="0.3">
      <c r="A23" s="1"/>
      <c r="B23" s="1"/>
      <c r="C23" s="1"/>
      <c r="D23" s="2"/>
    </row>
    <row r="24" spans="1:8" x14ac:dyDescent="0.3">
      <c r="A24" s="1"/>
      <c r="B24" s="1"/>
      <c r="C24" s="1"/>
      <c r="D24" s="2"/>
    </row>
    <row r="25" spans="1:8" x14ac:dyDescent="0.3">
      <c r="A25" s="1"/>
      <c r="B25" s="1"/>
      <c r="C25" s="1"/>
      <c r="D25" s="2"/>
    </row>
    <row r="26" spans="1:8" x14ac:dyDescent="0.3">
      <c r="A26" s="1"/>
      <c r="B26" s="1"/>
      <c r="C26" s="1"/>
      <c r="D26" s="2"/>
    </row>
    <row r="27" spans="1:8" x14ac:dyDescent="0.3">
      <c r="A27" s="1"/>
      <c r="B27" s="1"/>
      <c r="C27" s="1"/>
      <c r="D27" s="2"/>
    </row>
    <row r="28" spans="1:8" x14ac:dyDescent="0.3">
      <c r="A28" s="1"/>
      <c r="B28" s="1"/>
      <c r="C28" s="1"/>
      <c r="D28" s="2"/>
    </row>
    <row r="29" spans="1:8" x14ac:dyDescent="0.3">
      <c r="A29" s="1"/>
      <c r="B29" s="1"/>
      <c r="C29" s="1"/>
      <c r="D29" s="2"/>
    </row>
    <row r="30" spans="1:8" x14ac:dyDescent="0.3">
      <c r="A30" s="1"/>
      <c r="B30" s="1"/>
      <c r="C30" s="1"/>
      <c r="D30" s="2"/>
    </row>
    <row r="31" spans="1:8" x14ac:dyDescent="0.3">
      <c r="A31" s="1"/>
      <c r="B31" s="1"/>
      <c r="C31" s="1"/>
      <c r="D31" s="2"/>
    </row>
    <row r="32" spans="1:8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sheetProtection selectLockedCells="1"/>
  <conditionalFormatting sqref="G15">
    <cfRule type="expression" dxfId="9" priority="1">
      <formula>$G$12="SAÍDA"</formula>
    </cfRule>
  </conditionalFormatting>
  <dataValidations count="3">
    <dataValidation type="list" allowBlank="1" showInputMessage="1" showErrorMessage="1" sqref="G6" xr:uid="{A6CE308E-4473-4C3F-AB7A-180B337BE40B}">
      <formula1>lProdutos</formula1>
    </dataValidation>
    <dataValidation type="list" allowBlank="1" showInputMessage="1" showErrorMessage="1" sqref="G11" xr:uid="{A5B33F15-5E70-4413-B1BF-2F5938A7709F}">
      <formula1>lOperacaoFiscal</formula1>
    </dataValidation>
    <dataValidation type="custom" allowBlank="1" showInputMessage="1" showErrorMessage="1" sqref="G15" xr:uid="{D213CB26-ED35-4F25-8BD3-AE21945E619A}">
      <formula1>$G$12&lt;&gt;"SAÍDA"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1262-49EE-4A49-8134-411C964F470D}">
  <sheetPr codeName="RegistrodeInventario"/>
  <dimension ref="A1:Q41"/>
  <sheetViews>
    <sheetView showGridLines="0" showRowColHeaders="0" zoomScaleNormal="100" workbookViewId="0">
      <selection activeCell="E1" sqref="E1"/>
    </sheetView>
  </sheetViews>
  <sheetFormatPr defaultRowHeight="14.4" x14ac:dyDescent="0.3"/>
  <cols>
    <col min="6" max="6" width="6" bestFit="1" customWidth="1"/>
    <col min="7" max="7" width="11.33203125" bestFit="1" customWidth="1"/>
    <col min="8" max="8" width="30" bestFit="1" customWidth="1"/>
    <col min="9" max="9" width="14.88671875" bestFit="1" customWidth="1"/>
    <col min="10" max="10" width="10" bestFit="1" customWidth="1"/>
    <col min="11" max="11" width="19.5546875" bestFit="1" customWidth="1"/>
    <col min="12" max="12" width="18.109375" bestFit="1" customWidth="1"/>
    <col min="13" max="13" width="27" bestFit="1" customWidth="1"/>
    <col min="14" max="14" width="9.44140625" bestFit="1" customWidth="1"/>
    <col min="15" max="15" width="16.109375" bestFit="1" customWidth="1"/>
    <col min="16" max="16" width="26.33203125" bestFit="1" customWidth="1"/>
    <col min="17" max="17" width="19.88671875" bestFit="1" customWidth="1"/>
  </cols>
  <sheetData>
    <row r="1" spans="1:17" x14ac:dyDescent="0.3">
      <c r="A1" s="1"/>
      <c r="B1" s="1"/>
      <c r="C1" s="1"/>
      <c r="D1" s="2"/>
    </row>
    <row r="2" spans="1:17" x14ac:dyDescent="0.3">
      <c r="A2" s="1"/>
      <c r="B2" s="1"/>
      <c r="C2" s="1"/>
      <c r="D2" s="2"/>
    </row>
    <row r="3" spans="1:17" x14ac:dyDescent="0.3">
      <c r="A3" s="1"/>
      <c r="B3" s="1"/>
      <c r="C3" s="1"/>
      <c r="D3" s="2"/>
    </row>
    <row r="4" spans="1:17" x14ac:dyDescent="0.3">
      <c r="A4" s="1"/>
      <c r="B4" s="1"/>
      <c r="C4" s="1"/>
      <c r="D4" s="2"/>
    </row>
    <row r="5" spans="1:17" x14ac:dyDescent="0.3">
      <c r="A5" s="1"/>
      <c r="B5" s="1"/>
      <c r="C5" s="1"/>
      <c r="D5" s="2"/>
    </row>
    <row r="6" spans="1:17" ht="18" x14ac:dyDescent="0.35">
      <c r="A6" s="1"/>
      <c r="B6" s="1"/>
      <c r="C6" s="1"/>
      <c r="D6" s="2"/>
      <c r="F6" s="12" t="s">
        <v>30</v>
      </c>
      <c r="G6" s="12" t="s">
        <v>6</v>
      </c>
      <c r="H6" s="12" t="s">
        <v>1</v>
      </c>
      <c r="I6" s="12" t="s">
        <v>22</v>
      </c>
      <c r="J6" s="12" t="s">
        <v>31</v>
      </c>
      <c r="K6" s="12" t="s">
        <v>24</v>
      </c>
      <c r="L6" s="12" t="s">
        <v>25</v>
      </c>
      <c r="M6" s="12" t="s">
        <v>0</v>
      </c>
      <c r="N6" s="12" t="s">
        <v>26</v>
      </c>
      <c r="O6" s="12" t="s">
        <v>27</v>
      </c>
      <c r="P6" s="12" t="s">
        <v>28</v>
      </c>
      <c r="Q6" s="12" t="s">
        <v>29</v>
      </c>
    </row>
    <row r="7" spans="1:17" ht="18" x14ac:dyDescent="0.35">
      <c r="A7" s="1"/>
      <c r="B7" s="1"/>
      <c r="C7" s="1"/>
      <c r="D7" s="2"/>
      <c r="F7" s="12">
        <f>ROW()-ROW(tRegistrodeInventario[[#Headers],[ID]])</f>
        <v>1</v>
      </c>
      <c r="G7" s="12">
        <v>1</v>
      </c>
      <c r="H7" s="12" t="s">
        <v>4</v>
      </c>
      <c r="I7" s="13">
        <v>44562</v>
      </c>
      <c r="J7" s="12">
        <v>50</v>
      </c>
      <c r="K7" s="20">
        <v>249.9</v>
      </c>
      <c r="L7" s="20">
        <v>12495</v>
      </c>
      <c r="M7" s="12" t="s">
        <v>32</v>
      </c>
      <c r="N7" s="12">
        <v>1</v>
      </c>
      <c r="O7" s="12">
        <v>123456</v>
      </c>
      <c r="P7" s="12" t="s">
        <v>12</v>
      </c>
      <c r="Q7" s="12"/>
    </row>
    <row r="8" spans="1:17" ht="18" x14ac:dyDescent="0.35">
      <c r="A8" s="1"/>
      <c r="B8" s="1"/>
      <c r="C8" s="1"/>
      <c r="D8" s="2"/>
      <c r="F8" s="12">
        <f>ROW()-ROW(tRegistrodeInventario[[#Headers],[ID]])</f>
        <v>2</v>
      </c>
      <c r="G8" s="12">
        <v>1</v>
      </c>
      <c r="H8" s="12" t="s">
        <v>4</v>
      </c>
      <c r="I8" s="13">
        <v>44579</v>
      </c>
      <c r="J8" s="12">
        <v>50</v>
      </c>
      <c r="K8" s="20">
        <v>249.9</v>
      </c>
      <c r="L8" s="20">
        <v>12495</v>
      </c>
      <c r="M8" s="12" t="s">
        <v>2</v>
      </c>
      <c r="N8" s="12">
        <v>1</v>
      </c>
      <c r="O8" s="12">
        <v>12345</v>
      </c>
      <c r="P8" s="12" t="s">
        <v>12</v>
      </c>
      <c r="Q8" s="12"/>
    </row>
    <row r="9" spans="1:17" ht="18" x14ac:dyDescent="0.35">
      <c r="A9" s="1"/>
      <c r="B9" s="1"/>
      <c r="C9" s="1"/>
      <c r="D9" s="2"/>
      <c r="F9" s="12">
        <f>ROW()-ROW(tRegistrodeInventario[[#Headers],[ID]])</f>
        <v>3</v>
      </c>
      <c r="G9" s="12">
        <v>1</v>
      </c>
      <c r="H9" s="12" t="s">
        <v>4</v>
      </c>
      <c r="I9" s="13">
        <v>44579</v>
      </c>
      <c r="J9" s="12">
        <v>50</v>
      </c>
      <c r="K9" s="20">
        <v>249.9</v>
      </c>
      <c r="L9" s="20">
        <v>12495</v>
      </c>
      <c r="M9" s="12" t="s">
        <v>2</v>
      </c>
      <c r="N9" s="12">
        <v>1</v>
      </c>
      <c r="O9" s="12">
        <v>12345</v>
      </c>
      <c r="P9" s="12" t="s">
        <v>12</v>
      </c>
      <c r="Q9" s="12"/>
    </row>
    <row r="10" spans="1:17" ht="18" x14ac:dyDescent="0.35">
      <c r="A10" s="1"/>
      <c r="B10" s="1"/>
      <c r="C10" s="1"/>
      <c r="D10" s="2"/>
      <c r="F10" s="12">
        <f>ROW()-ROW(tRegistrodeInventario[[#Headers],[ID]])</f>
        <v>4</v>
      </c>
      <c r="G10" s="12">
        <v>1</v>
      </c>
      <c r="H10" s="12" t="s">
        <v>4</v>
      </c>
      <c r="I10" s="13">
        <v>44579</v>
      </c>
      <c r="J10" s="12">
        <v>50</v>
      </c>
      <c r="K10" s="20">
        <v>249.9</v>
      </c>
      <c r="L10" s="20">
        <v>12495</v>
      </c>
      <c r="M10" s="12" t="s">
        <v>2</v>
      </c>
      <c r="N10" s="12">
        <v>1</v>
      </c>
      <c r="O10" s="12">
        <v>12345</v>
      </c>
      <c r="P10" s="12" t="s">
        <v>12</v>
      </c>
      <c r="Q10" s="12"/>
    </row>
    <row r="11" spans="1:17" ht="18" x14ac:dyDescent="0.35">
      <c r="A11" s="1"/>
      <c r="B11" s="1"/>
      <c r="C11" s="1"/>
      <c r="D11" s="2"/>
      <c r="F11" s="12">
        <f>ROW()-ROW(tRegistrodeInventario[[#Headers],[ID]])</f>
        <v>5</v>
      </c>
      <c r="G11" s="12">
        <v>2</v>
      </c>
      <c r="H11" s="12" t="s">
        <v>4</v>
      </c>
      <c r="I11" s="13">
        <v>44562</v>
      </c>
      <c r="J11" s="12">
        <v>27</v>
      </c>
      <c r="K11" s="20">
        <v>178.57</v>
      </c>
      <c r="L11" s="20">
        <v>4821.3900000000003</v>
      </c>
      <c r="M11" s="12" t="s">
        <v>2</v>
      </c>
      <c r="N11" s="12">
        <v>2</v>
      </c>
      <c r="O11" s="12">
        <v>16465</v>
      </c>
      <c r="P11" s="12" t="s">
        <v>15</v>
      </c>
      <c r="Q11" s="12"/>
    </row>
    <row r="12" spans="1:17" ht="18" x14ac:dyDescent="0.35">
      <c r="A12" s="1"/>
      <c r="B12" s="1"/>
      <c r="C12" s="1"/>
      <c r="D12" s="2"/>
      <c r="F12" s="12">
        <f>ROW()-ROW(tRegistrodeInventario[[#Headers],[ID]])</f>
        <v>6</v>
      </c>
      <c r="G12" s="12">
        <v>2</v>
      </c>
      <c r="H12" s="12" t="s">
        <v>4</v>
      </c>
      <c r="I12" s="13">
        <v>44563</v>
      </c>
      <c r="J12" s="12">
        <v>35</v>
      </c>
      <c r="K12" s="20">
        <v>133.9</v>
      </c>
      <c r="L12" s="20">
        <v>4686.5</v>
      </c>
      <c r="M12" s="12" t="s">
        <v>2</v>
      </c>
      <c r="N12" s="12">
        <v>2</v>
      </c>
      <c r="O12" s="12">
        <v>164</v>
      </c>
      <c r="P12" s="12" t="s">
        <v>15</v>
      </c>
      <c r="Q12" s="12"/>
    </row>
    <row r="13" spans="1:17" ht="18" x14ac:dyDescent="0.35">
      <c r="A13" s="1"/>
      <c r="B13" s="1"/>
      <c r="C13" s="1"/>
      <c r="D13" s="2"/>
      <c r="F13" s="12">
        <f>ROW()-ROW(tRegistrodeInventario[[#Headers],[ID]])</f>
        <v>7</v>
      </c>
      <c r="G13" s="12">
        <v>2</v>
      </c>
      <c r="H13" s="12" t="s">
        <v>5</v>
      </c>
      <c r="I13" s="13">
        <v>44564</v>
      </c>
      <c r="J13" s="12">
        <v>5</v>
      </c>
      <c r="K13" s="20"/>
      <c r="L13" s="20">
        <v>0</v>
      </c>
      <c r="M13" s="12" t="s">
        <v>3</v>
      </c>
      <c r="N13" s="12">
        <v>1</v>
      </c>
      <c r="O13" s="12">
        <v>1</v>
      </c>
      <c r="P13" s="12" t="s">
        <v>38</v>
      </c>
      <c r="Q13" s="12"/>
    </row>
    <row r="14" spans="1:17" ht="18" x14ac:dyDescent="0.35">
      <c r="A14" s="1"/>
      <c r="B14" s="1"/>
      <c r="C14" s="1"/>
      <c r="D14" s="2"/>
      <c r="F14" s="12">
        <f>ROW()-ROW(tRegistrodeInventario[[#Headers],[ID]])</f>
        <v>8</v>
      </c>
      <c r="G14" s="12">
        <v>3</v>
      </c>
      <c r="H14" s="12" t="s">
        <v>4</v>
      </c>
      <c r="I14" s="13">
        <v>44562</v>
      </c>
      <c r="J14" s="12">
        <v>99</v>
      </c>
      <c r="K14" s="20">
        <v>14.99</v>
      </c>
      <c r="L14" s="20">
        <v>1484.01</v>
      </c>
      <c r="M14" s="12" t="s">
        <v>2</v>
      </c>
      <c r="N14" s="12">
        <v>2</v>
      </c>
      <c r="O14" s="12">
        <v>9565</v>
      </c>
      <c r="P14" s="12" t="s">
        <v>18</v>
      </c>
      <c r="Q14" s="12" t="s">
        <v>39</v>
      </c>
    </row>
    <row r="15" spans="1:17" x14ac:dyDescent="0.3">
      <c r="A15" s="1"/>
      <c r="B15" s="1"/>
      <c r="C15" s="1"/>
      <c r="D15" s="2"/>
    </row>
    <row r="16" spans="1:17" x14ac:dyDescent="0.3">
      <c r="A16" s="1"/>
      <c r="B16" s="1"/>
      <c r="C16" s="1"/>
      <c r="D16" s="2"/>
    </row>
    <row r="17" spans="1:4" x14ac:dyDescent="0.3">
      <c r="A17" s="1"/>
      <c r="B17" s="1"/>
      <c r="C17" s="1"/>
      <c r="D17" s="2"/>
    </row>
    <row r="18" spans="1:4" x14ac:dyDescent="0.3">
      <c r="A18" s="1"/>
      <c r="B18" s="1"/>
      <c r="C18" s="1"/>
      <c r="D18" s="2"/>
    </row>
    <row r="19" spans="1:4" x14ac:dyDescent="0.3">
      <c r="A19" s="1"/>
      <c r="B19" s="1"/>
      <c r="C19" s="1"/>
      <c r="D19" s="2"/>
    </row>
    <row r="20" spans="1:4" x14ac:dyDescent="0.3">
      <c r="A20" s="1"/>
      <c r="B20" s="1"/>
      <c r="C20" s="1"/>
      <c r="D20" s="2"/>
    </row>
    <row r="21" spans="1:4" x14ac:dyDescent="0.3">
      <c r="A21" s="1"/>
      <c r="B21" s="1"/>
      <c r="C21" s="1"/>
      <c r="D21" s="2"/>
    </row>
    <row r="22" spans="1:4" x14ac:dyDescent="0.3">
      <c r="A22" s="1"/>
      <c r="B22" s="1"/>
      <c r="C22" s="1"/>
      <c r="D22" s="2"/>
    </row>
    <row r="23" spans="1:4" x14ac:dyDescent="0.3">
      <c r="A23" s="1"/>
      <c r="B23" s="1"/>
      <c r="C23" s="1"/>
      <c r="D23" s="2"/>
    </row>
    <row r="24" spans="1:4" x14ac:dyDescent="0.3">
      <c r="A24" s="1"/>
      <c r="B24" s="1"/>
      <c r="C24" s="1"/>
      <c r="D24" s="2"/>
    </row>
    <row r="25" spans="1:4" x14ac:dyDescent="0.3">
      <c r="A25" s="1"/>
      <c r="B25" s="1"/>
      <c r="C25" s="1"/>
      <c r="D25" s="2"/>
    </row>
    <row r="26" spans="1:4" x14ac:dyDescent="0.3">
      <c r="A26" s="1"/>
      <c r="B26" s="1"/>
      <c r="C26" s="1"/>
      <c r="D26" s="2"/>
    </row>
    <row r="27" spans="1:4" x14ac:dyDescent="0.3">
      <c r="A27" s="1"/>
      <c r="B27" s="1"/>
      <c r="C27" s="1"/>
      <c r="D27" s="2"/>
    </row>
    <row r="28" spans="1:4" x14ac:dyDescent="0.3">
      <c r="A28" s="1"/>
      <c r="B28" s="1"/>
      <c r="C28" s="1"/>
      <c r="D28" s="2"/>
    </row>
    <row r="29" spans="1:4" x14ac:dyDescent="0.3">
      <c r="A29" s="1"/>
      <c r="B29" s="1"/>
      <c r="C29" s="1"/>
      <c r="D29" s="2"/>
    </row>
    <row r="30" spans="1:4" x14ac:dyDescent="0.3">
      <c r="A30" s="1"/>
      <c r="B30" s="1"/>
      <c r="C30" s="1"/>
      <c r="D30" s="2"/>
    </row>
    <row r="31" spans="1:4" x14ac:dyDescent="0.3">
      <c r="A31" s="1"/>
      <c r="B31" s="1"/>
      <c r="C31" s="1"/>
      <c r="D31" s="2"/>
    </row>
    <row r="32" spans="1: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6747-EA7E-475D-B68E-14C0928DC96C}">
  <sheetPr codeName="ConsultadeEstoque"/>
  <dimension ref="A1:N41"/>
  <sheetViews>
    <sheetView showGridLines="0" showRowColHeaders="0" zoomScaleNormal="100" workbookViewId="0">
      <selection activeCell="G11" sqref="G11"/>
    </sheetView>
  </sheetViews>
  <sheetFormatPr defaultRowHeight="14.4" x14ac:dyDescent="0.3"/>
  <cols>
    <col min="6" max="6" width="28.6640625" bestFit="1" customWidth="1"/>
    <col min="7" max="7" width="36.88671875" customWidth="1"/>
    <col min="8" max="8" width="18.109375" bestFit="1" customWidth="1"/>
    <col min="9" max="9" width="19.6640625" bestFit="1" customWidth="1"/>
    <col min="10" max="10" width="22" bestFit="1" customWidth="1"/>
    <col min="11" max="11" width="19.6640625" bestFit="1" customWidth="1"/>
    <col min="12" max="12" width="16.44140625" bestFit="1" customWidth="1"/>
    <col min="13" max="13" width="21.88671875" bestFit="1" customWidth="1"/>
    <col min="14" max="14" width="20.44140625" bestFit="1" customWidth="1"/>
  </cols>
  <sheetData>
    <row r="1" spans="1:14" x14ac:dyDescent="0.3">
      <c r="A1" s="1"/>
      <c r="B1" s="1"/>
      <c r="C1" s="1"/>
      <c r="D1" s="2"/>
    </row>
    <row r="2" spans="1:14" x14ac:dyDescent="0.3">
      <c r="A2" s="1"/>
      <c r="B2" s="1"/>
      <c r="C2" s="1"/>
      <c r="D2" s="2"/>
    </row>
    <row r="3" spans="1:14" x14ac:dyDescent="0.3">
      <c r="A3" s="1"/>
      <c r="B3" s="1"/>
      <c r="C3" s="1"/>
      <c r="D3" s="2"/>
    </row>
    <row r="4" spans="1:14" x14ac:dyDescent="0.3">
      <c r="A4" s="1"/>
      <c r="B4" s="1"/>
      <c r="C4" s="1"/>
      <c r="D4" s="2"/>
    </row>
    <row r="5" spans="1:14" x14ac:dyDescent="0.3">
      <c r="A5" s="1"/>
      <c r="B5" s="1"/>
      <c r="C5" s="1"/>
      <c r="D5" s="2"/>
    </row>
    <row r="6" spans="1:14" ht="17.399999999999999" x14ac:dyDescent="0.3">
      <c r="A6" s="1"/>
      <c r="B6" s="1"/>
      <c r="C6" s="1"/>
      <c r="D6" s="2"/>
      <c r="F6" s="16" t="s">
        <v>6</v>
      </c>
      <c r="G6" s="17">
        <v>1</v>
      </c>
      <c r="H6" s="14"/>
      <c r="I6" s="14"/>
    </row>
    <row r="7" spans="1:14" ht="17.399999999999999" x14ac:dyDescent="0.3">
      <c r="A7" s="1"/>
      <c r="B7" s="1"/>
      <c r="C7" s="1"/>
      <c r="D7" s="2"/>
      <c r="F7" s="14"/>
      <c r="G7" s="14"/>
      <c r="H7" s="14"/>
      <c r="I7" s="14"/>
    </row>
    <row r="8" spans="1:14" ht="17.399999999999999" x14ac:dyDescent="0.3">
      <c r="A8" s="1"/>
      <c r="B8" s="1"/>
      <c r="C8" s="1"/>
      <c r="D8" s="2"/>
      <c r="F8" s="15" t="s">
        <v>33</v>
      </c>
      <c r="G8" s="15"/>
      <c r="H8" s="15"/>
      <c r="I8" s="15"/>
    </row>
    <row r="9" spans="1:14" ht="17.399999999999999" x14ac:dyDescent="0.3">
      <c r="A9" s="1"/>
      <c r="B9" s="1"/>
      <c r="C9" s="1"/>
      <c r="D9" s="2"/>
      <c r="F9" s="18" t="s">
        <v>7</v>
      </c>
      <c r="G9" s="19" t="str">
        <f>IFERROR(INDEX(tProdutos[],MATCH($G$6,tProdutos[Código],0),MATCH($F9,tProdutos[#Headers],0)),"NÃO ENCONTRADO")</f>
        <v>Raquete de tênis Wilson</v>
      </c>
      <c r="H9" s="18" t="s">
        <v>22</v>
      </c>
      <c r="I9" s="24">
        <f ca="1">OFFSET(tConsultadeEstoque[[#Headers],[Data]],1,)</f>
        <v>44579</v>
      </c>
    </row>
    <row r="10" spans="1:14" ht="17.399999999999999" x14ac:dyDescent="0.3">
      <c r="A10" s="1"/>
      <c r="B10" s="1"/>
      <c r="C10" s="1"/>
      <c r="D10" s="2"/>
      <c r="F10" s="18" t="s">
        <v>8</v>
      </c>
      <c r="G10" s="19">
        <f>IFERROR(INDEX(tProdutos[],MATCH($G$6,tProdutos[Código],0),MATCH($F10,tProdutos[#Headers],0)),"NÃO ENCONTRADO")</f>
        <v>0</v>
      </c>
      <c r="H10" s="18" t="s">
        <v>23</v>
      </c>
      <c r="I10" s="17">
        <f ca="1">OFFSET(tConsultadeEstoque[[#Headers],[Qtd. Total]],1,)</f>
        <v>200</v>
      </c>
    </row>
    <row r="11" spans="1:14" ht="17.399999999999999" x14ac:dyDescent="0.3">
      <c r="A11" s="1"/>
      <c r="B11" s="1"/>
      <c r="C11" s="1"/>
      <c r="D11" s="2"/>
      <c r="F11" s="18" t="s">
        <v>9</v>
      </c>
      <c r="G11" s="19" t="str">
        <f>IFERROR(INDEX(tProdutos[],MATCH($G$6,tProdutos[Código],0),MATCH($F11,tProdutos[#Headers],0)),"NÃO ENCONTRADO")</f>
        <v>Wilson</v>
      </c>
      <c r="H11" s="18" t="s">
        <v>34</v>
      </c>
      <c r="I11" s="25">
        <f ca="1">OFFSET(tConsultadeEstoque[[#Headers],[Valor Estoque]],1,)</f>
        <v>49980</v>
      </c>
    </row>
    <row r="12" spans="1:14" ht="17.399999999999999" x14ac:dyDescent="0.3">
      <c r="A12" s="1"/>
      <c r="B12" s="1"/>
      <c r="C12" s="1"/>
      <c r="D12" s="2"/>
      <c r="F12" s="18" t="s">
        <v>10</v>
      </c>
      <c r="G12" s="19" t="str">
        <f>IFERROR(INDEX(tProdutos[],MATCH($G$6,tProdutos[Código],0),MATCH($F12,tProdutos[#Headers],0)),"NÃO ENCONTRADO")</f>
        <v>Azul</v>
      </c>
      <c r="H12" s="18" t="s">
        <v>35</v>
      </c>
      <c r="I12" s="25">
        <f ca="1">OFFSET(tConsultadeEstoque[[#Headers],[Custo Médio]],1,)</f>
        <v>249.9</v>
      </c>
    </row>
    <row r="13" spans="1:14" ht="17.399999999999999" x14ac:dyDescent="0.3">
      <c r="A13" s="1"/>
      <c r="B13" s="1"/>
      <c r="C13" s="1"/>
      <c r="D13" s="2"/>
      <c r="F13" s="14"/>
      <c r="G13" s="14"/>
      <c r="H13" s="14"/>
      <c r="I13" s="14"/>
    </row>
    <row r="14" spans="1:14" x14ac:dyDescent="0.3">
      <c r="A14" s="1"/>
      <c r="B14" s="1"/>
      <c r="C14" s="1"/>
      <c r="D14" s="2"/>
    </row>
    <row r="15" spans="1:14" ht="17.399999999999999" x14ac:dyDescent="0.3">
      <c r="A15" s="1"/>
      <c r="B15" s="1"/>
      <c r="C15" s="1"/>
      <c r="D15" s="2"/>
      <c r="F15" s="14" t="s">
        <v>30</v>
      </c>
      <c r="G15" s="14" t="s">
        <v>1</v>
      </c>
      <c r="H15" s="14" t="s">
        <v>22</v>
      </c>
      <c r="I15" s="14" t="s">
        <v>31</v>
      </c>
      <c r="J15" s="14" t="s">
        <v>24</v>
      </c>
      <c r="K15" s="14" t="s">
        <v>25</v>
      </c>
      <c r="L15" s="14" t="s">
        <v>36</v>
      </c>
      <c r="M15" s="14" t="s">
        <v>37</v>
      </c>
      <c r="N15" s="14" t="s">
        <v>35</v>
      </c>
    </row>
    <row r="16" spans="1:14" ht="17.399999999999999" x14ac:dyDescent="0.3">
      <c r="A16" s="1"/>
      <c r="B16" s="1"/>
      <c r="C16" s="1"/>
      <c r="D16" s="2"/>
      <c r="F16" s="14">
        <v>4</v>
      </c>
      <c r="G16" s="34" t="s">
        <v>4</v>
      </c>
      <c r="H16" s="21">
        <v>44579</v>
      </c>
      <c r="I16" s="14">
        <v>50</v>
      </c>
      <c r="J16" s="22">
        <v>249.9</v>
      </c>
      <c r="K16" s="22">
        <v>12495</v>
      </c>
      <c r="L16" s="34">
        <f>IF(tConsultadeEstoque[[#This Row],[Tipo de Movimentação]]="Entrada",tConsultadeEstoque[[#This Row],[Qtde.]],-tConsultadeEstoque[[#This Row],[Qtde.]])+L17</f>
        <v>200</v>
      </c>
      <c r="M16" s="23">
        <f ca="1">IF(tConsultadeEstoque[[#This Row],[Tipo de Movimentação]]="Entrada",tConsultadeEstoque[[#This Row],[Valor Total]],-tConsultadeEstoque[[#This Row],[Qtde.]]*OFFSET(N16,1,))+OFFSET(M16,1,)</f>
        <v>49980</v>
      </c>
      <c r="N16" s="22">
        <f ca="1">tConsultadeEstoque[[#This Row],[Valor Estoque]]/tConsultadeEstoque[[#This Row],[Qtd. Total]]</f>
        <v>249.9</v>
      </c>
    </row>
    <row r="17" spans="1:14" ht="17.399999999999999" x14ac:dyDescent="0.3">
      <c r="A17" s="1"/>
      <c r="B17" s="1"/>
      <c r="C17" s="1"/>
      <c r="D17" s="2"/>
      <c r="F17" s="14">
        <v>3</v>
      </c>
      <c r="G17" s="34" t="s">
        <v>4</v>
      </c>
      <c r="H17" s="21">
        <v>44579</v>
      </c>
      <c r="I17" s="14">
        <v>50</v>
      </c>
      <c r="J17" s="22">
        <v>249.9</v>
      </c>
      <c r="K17" s="22">
        <v>12495</v>
      </c>
      <c r="L17" s="34">
        <f>IF(tConsultadeEstoque[[#This Row],[Tipo de Movimentação]]="Entrada",tConsultadeEstoque[[#This Row],[Qtde.]],-tConsultadeEstoque[[#This Row],[Qtde.]])+L18</f>
        <v>150</v>
      </c>
      <c r="M17" s="23">
        <f ca="1">IF(tConsultadeEstoque[[#This Row],[Tipo de Movimentação]]="Entrada",tConsultadeEstoque[[#This Row],[Valor Total]],-tConsultadeEstoque[[#This Row],[Qtde.]]*OFFSET(N17,1,))+OFFSET(M17,1,)</f>
        <v>37485</v>
      </c>
      <c r="N17" s="22">
        <f ca="1">tConsultadeEstoque[[#This Row],[Valor Estoque]]/tConsultadeEstoque[[#This Row],[Qtd. Total]]</f>
        <v>249.9</v>
      </c>
    </row>
    <row r="18" spans="1:14" ht="17.399999999999999" x14ac:dyDescent="0.3">
      <c r="A18" s="1"/>
      <c r="B18" s="1"/>
      <c r="C18" s="1"/>
      <c r="D18" s="2"/>
      <c r="F18" s="14">
        <v>2</v>
      </c>
      <c r="G18" s="34" t="s">
        <v>4</v>
      </c>
      <c r="H18" s="21">
        <v>44579</v>
      </c>
      <c r="I18" s="14">
        <v>50</v>
      </c>
      <c r="J18" s="22">
        <v>249.9</v>
      </c>
      <c r="K18" s="22">
        <v>12495</v>
      </c>
      <c r="L18" s="34">
        <f>IF(tConsultadeEstoque[[#This Row],[Tipo de Movimentação]]="Entrada",tConsultadeEstoque[[#This Row],[Qtde.]],-tConsultadeEstoque[[#This Row],[Qtde.]])+L19</f>
        <v>100</v>
      </c>
      <c r="M18" s="23">
        <f ca="1">IF(tConsultadeEstoque[[#This Row],[Tipo de Movimentação]]="Entrada",tConsultadeEstoque[[#This Row],[Valor Total]],-tConsultadeEstoque[[#This Row],[Qtde.]]*OFFSET(N18,1,))+OFFSET(M18,1,)</f>
        <v>24990</v>
      </c>
      <c r="N18" s="22">
        <f ca="1">tConsultadeEstoque[[#This Row],[Valor Estoque]]/tConsultadeEstoque[[#This Row],[Qtd. Total]]</f>
        <v>249.9</v>
      </c>
    </row>
    <row r="19" spans="1:14" ht="17.399999999999999" x14ac:dyDescent="0.3">
      <c r="A19" s="1"/>
      <c r="B19" s="1"/>
      <c r="C19" s="1"/>
      <c r="D19" s="2"/>
      <c r="F19" s="14">
        <v>1</v>
      </c>
      <c r="G19" s="34" t="s">
        <v>4</v>
      </c>
      <c r="H19" s="21">
        <v>44562</v>
      </c>
      <c r="I19" s="14">
        <v>50</v>
      </c>
      <c r="J19" s="22">
        <v>249.9</v>
      </c>
      <c r="K19" s="22">
        <v>12495</v>
      </c>
      <c r="L19" s="34">
        <f>IF(tConsultadeEstoque[[#This Row],[Tipo de Movimentação]]="Entrada",tConsultadeEstoque[[#This Row],[Qtde.]],-tConsultadeEstoque[[#This Row],[Qtde.]])+L20</f>
        <v>50</v>
      </c>
      <c r="M19" s="23">
        <f ca="1">IF(tConsultadeEstoque[[#This Row],[Tipo de Movimentação]]="Entrada",tConsultadeEstoque[[#This Row],[Valor Total]],-tConsultadeEstoque[[#This Row],[Qtde.]]*OFFSET(N19,1,))+OFFSET(M19,1,)</f>
        <v>12495</v>
      </c>
      <c r="N19" s="22">
        <f ca="1">tConsultadeEstoque[[#This Row],[Valor Estoque]]/tConsultadeEstoque[[#This Row],[Qtd. Total]]</f>
        <v>249.9</v>
      </c>
    </row>
    <row r="20" spans="1:14" x14ac:dyDescent="0.3">
      <c r="A20" s="1"/>
      <c r="B20" s="1"/>
      <c r="C20" s="1"/>
      <c r="D20" s="2"/>
    </row>
    <row r="21" spans="1:14" x14ac:dyDescent="0.3">
      <c r="A21" s="1"/>
      <c r="B21" s="1"/>
      <c r="C21" s="1"/>
      <c r="D21" s="2"/>
    </row>
    <row r="22" spans="1:14" x14ac:dyDescent="0.3">
      <c r="A22" s="1"/>
      <c r="B22" s="1"/>
      <c r="C22" s="1"/>
      <c r="D22" s="2"/>
    </row>
    <row r="23" spans="1:14" x14ac:dyDescent="0.3">
      <c r="A23" s="1"/>
      <c r="B23" s="1"/>
      <c r="C23" s="1"/>
      <c r="D23" s="2"/>
    </row>
    <row r="24" spans="1:14" x14ac:dyDescent="0.3">
      <c r="A24" s="1"/>
      <c r="B24" s="1"/>
      <c r="C24" s="1"/>
      <c r="D24" s="2"/>
    </row>
    <row r="25" spans="1:14" x14ac:dyDescent="0.3">
      <c r="A25" s="1"/>
      <c r="B25" s="1"/>
      <c r="C25" s="1"/>
      <c r="D25" s="2"/>
    </row>
    <row r="26" spans="1:14" x14ac:dyDescent="0.3">
      <c r="A26" s="1"/>
      <c r="B26" s="1"/>
      <c r="C26" s="1"/>
      <c r="D26" s="2"/>
    </row>
    <row r="27" spans="1:14" x14ac:dyDescent="0.3">
      <c r="A27" s="1"/>
      <c r="B27" s="1"/>
      <c r="C27" s="1"/>
      <c r="D27" s="2"/>
    </row>
    <row r="28" spans="1:14" x14ac:dyDescent="0.3">
      <c r="A28" s="1"/>
      <c r="B28" s="1"/>
      <c r="C28" s="1"/>
      <c r="D28" s="2"/>
    </row>
    <row r="29" spans="1:14" x14ac:dyDescent="0.3">
      <c r="A29" s="1"/>
      <c r="B29" s="1"/>
      <c r="C29" s="1"/>
      <c r="D29" s="2"/>
    </row>
    <row r="30" spans="1:14" x14ac:dyDescent="0.3">
      <c r="A30" s="1"/>
      <c r="B30" s="1"/>
      <c r="C30" s="1"/>
      <c r="D30" s="2"/>
    </row>
    <row r="31" spans="1:14" x14ac:dyDescent="0.3">
      <c r="A31" s="1"/>
      <c r="B31" s="1"/>
      <c r="C31" s="1"/>
      <c r="D31" s="2"/>
    </row>
    <row r="32" spans="1:14" x14ac:dyDescent="0.3">
      <c r="A32" s="1"/>
      <c r="B32" s="1"/>
      <c r="C32" s="1"/>
      <c r="D32" s="2"/>
    </row>
    <row r="33" spans="1:4" x14ac:dyDescent="0.3">
      <c r="A33" s="1"/>
      <c r="B33" s="1"/>
      <c r="C33" s="1"/>
      <c r="D33" s="2"/>
    </row>
    <row r="34" spans="1:4" x14ac:dyDescent="0.3">
      <c r="A34" s="1"/>
      <c r="B34" s="1"/>
      <c r="C34" s="1"/>
      <c r="D34" s="2"/>
    </row>
    <row r="35" spans="1:4" x14ac:dyDescent="0.3">
      <c r="A35" s="1"/>
      <c r="B35" s="1"/>
      <c r="C35" s="1"/>
      <c r="D35" s="2"/>
    </row>
    <row r="36" spans="1:4" x14ac:dyDescent="0.3">
      <c r="A36" s="1"/>
      <c r="B36" s="1"/>
      <c r="C36" s="1"/>
      <c r="D36" s="2"/>
    </row>
    <row r="37" spans="1:4" x14ac:dyDescent="0.3">
      <c r="A37" s="1"/>
      <c r="B37" s="1"/>
      <c r="C37" s="1"/>
      <c r="D37" s="2"/>
    </row>
    <row r="38" spans="1:4" x14ac:dyDescent="0.3">
      <c r="A38" s="1"/>
      <c r="B38" s="1"/>
      <c r="C38" s="1"/>
      <c r="D38" s="2"/>
    </row>
    <row r="39" spans="1:4" x14ac:dyDescent="0.3">
      <c r="A39" s="1"/>
      <c r="B39" s="1"/>
      <c r="C39" s="1"/>
      <c r="D39" s="2"/>
    </row>
    <row r="40" spans="1:4" x14ac:dyDescent="0.3">
      <c r="A40" s="1"/>
      <c r="B40" s="1"/>
      <c r="C40" s="1"/>
      <c r="D40" s="2"/>
    </row>
    <row r="41" spans="1:4" x14ac:dyDescent="0.3">
      <c r="A41" s="1"/>
      <c r="B41" s="1"/>
      <c r="C41" s="1"/>
      <c r="D41" s="2"/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79D156-19C3-4AA3-88E2-C492023A15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4</vt:i4>
      </vt:variant>
    </vt:vector>
  </HeadingPairs>
  <TitlesOfParts>
    <vt:vector size="11" baseType="lpstr">
      <vt:lpstr>Planilha1</vt:lpstr>
      <vt:lpstr>Início</vt:lpstr>
      <vt:lpstr>Cadastros Gerais</vt:lpstr>
      <vt:lpstr>Produtos</vt:lpstr>
      <vt:lpstr>Entrada e Saída</vt:lpstr>
      <vt:lpstr>Registro de Inventário</vt:lpstr>
      <vt:lpstr>Consulta de Estoque</vt:lpstr>
      <vt:lpstr>lConsultaEstoque</vt:lpstr>
      <vt:lpstr>logo</vt:lpstr>
      <vt:lpstr>lOperacaoFiscal</vt:lpstr>
      <vt:lpstr>lProdutos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</dc:creator>
  <cp:lastModifiedBy>Vicente Faustino</cp:lastModifiedBy>
  <dcterms:created xsi:type="dcterms:W3CDTF">2022-01-13T14:17:36Z</dcterms:created>
  <dcterms:modified xsi:type="dcterms:W3CDTF">2025-09-13T14:37:10Z</dcterms:modified>
</cp:coreProperties>
</file>