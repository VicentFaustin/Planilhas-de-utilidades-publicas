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58e70af3d60e3e5/Desktop/Excel/"/>
    </mc:Choice>
  </mc:AlternateContent>
  <xr:revisionPtr revIDLastSave="0" documentId="8_{84C66625-D55D-44FE-AAC2-163FC1DA8E3D}" xr6:coauthVersionLast="47" xr6:coauthVersionMax="47" xr10:uidLastSave="{00000000-0000-0000-0000-000000000000}"/>
  <workbookProtection workbookAlgorithmName="SHA-512" workbookHashValue="sHIjR0ieTFHCwSdiix70IEIUuikX7aUOaa/T9QtqNVNuFuHOIon1BfcFfrqeWtJ9R55uclw5f24ExqiXT2Lr6w==" workbookSaltValue="WgPFK8vHaMHGwfVfZSUU7Q==" workbookSpinCount="100000" lockStructure="1"/>
  <bookViews>
    <workbookView showHorizontalScroll="0" showVerticalScroll="0" showSheetTabs="0" xWindow="-108" yWindow="-108" windowWidth="23256" windowHeight="12456" tabRatio="790" firstSheet="6" xr2:uid="{00000000-000D-0000-FFFF-FFFF00000000}"/>
  </bookViews>
  <sheets>
    <sheet name="Entrada e Saída" sheetId="3" r:id="rId1"/>
    <sheet name="Consulta Estoque" sheetId="4" r:id="rId2"/>
    <sheet name="Registro de Inventário" sheetId="2" r:id="rId3"/>
    <sheet name="Cadastro de Produtos" sheetId="1" r:id="rId4"/>
    <sheet name="Cadastros Gerais" sheetId="5" r:id="rId5"/>
    <sheet name="Senha" sheetId="9" r:id="rId6"/>
    <sheet name="Menu" sheetId="8" r:id="rId7"/>
  </sheets>
  <functionGroups builtInGroupCount="19"/>
  <definedNames>
    <definedName name="_xlnm._FilterDatabase" localSheetId="3" hidden="1">'Cadastro de Produtos'!$A$1:$G$5000</definedName>
    <definedName name="_xlnm._FilterDatabase" localSheetId="1" hidden="1">'Consulta Estoque'!$A$1:$F$9</definedName>
    <definedName name="_xlnm._FilterDatabase" localSheetId="2" hidden="1">'Registro de Inventário'!$A:$J</definedName>
    <definedName name="_xlnm._FilterDatabase" localSheetId="5" hidden="1">Senha!$A$1:$C$7</definedName>
    <definedName name="_xlnm.Extract" localSheetId="3">'Cadastro de Produtos'!$K$1:$Q$1</definedName>
    <definedName name="_xlnm.Extract" localSheetId="1">'Consulta Estoque'!$A$8:$J$8</definedName>
    <definedName name="_xlnm.Criteria" localSheetId="1">'Consulta Estoque'!$A$2:$A$3</definedName>
    <definedName name="Produtos">OFFSET('Cadastro de Produtos'!$A$2,0,0,COUNTA('Cadastro de Produtos'!$A:$A)-1,1)</definedName>
    <definedName name="TabelaEstoque">Tabela3[]</definedName>
    <definedName name="Tipo_Movimentacao">OFFSET('Cadastros Gerais'!$A$3,0,0,COUNTA('Cadastros Gerais'!$A:$A),1)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62" i="2" l="1"/>
  <c r="N262" i="2"/>
  <c r="O262" i="2"/>
  <c r="P262" i="2"/>
  <c r="G3" i="1"/>
  <c r="M263" i="2"/>
  <c r="N263" i="2"/>
  <c r="O263" i="2"/>
  <c r="P263" i="2"/>
  <c r="G4" i="1"/>
  <c r="M264" i="2"/>
  <c r="N264" i="2"/>
  <c r="O264" i="2"/>
  <c r="P264" i="2"/>
  <c r="G5" i="1"/>
  <c r="M265" i="2"/>
  <c r="N265" i="2"/>
  <c r="O265" i="2"/>
  <c r="P265" i="2"/>
  <c r="G6" i="1"/>
  <c r="M266" i="2"/>
  <c r="N266" i="2"/>
  <c r="O266" i="2"/>
  <c r="P266" i="2"/>
  <c r="G7" i="1"/>
  <c r="M267" i="2"/>
  <c r="N267" i="2"/>
  <c r="O267" i="2"/>
  <c r="P267" i="2"/>
  <c r="M661" i="2"/>
  <c r="N661" i="2"/>
  <c r="O661" i="2"/>
  <c r="P661" i="2"/>
  <c r="M668" i="2"/>
  <c r="N668" i="2"/>
  <c r="O668" i="2"/>
  <c r="P668" i="2"/>
  <c r="G8" i="1"/>
  <c r="M268" i="2"/>
  <c r="N268" i="2"/>
  <c r="O268" i="2"/>
  <c r="P268" i="2"/>
  <c r="G9" i="1"/>
  <c r="M269" i="2"/>
  <c r="N269" i="2"/>
  <c r="O269" i="2"/>
  <c r="P269" i="2"/>
  <c r="G10" i="1"/>
  <c r="M270" i="2"/>
  <c r="N270" i="2"/>
  <c r="O270" i="2"/>
  <c r="P270" i="2"/>
  <c r="G11" i="1"/>
  <c r="M271" i="2"/>
  <c r="N271" i="2"/>
  <c r="O271" i="2"/>
  <c r="P271" i="2"/>
  <c r="G12" i="1"/>
  <c r="M272" i="2"/>
  <c r="N272" i="2"/>
  <c r="O272" i="2"/>
  <c r="P272" i="2"/>
  <c r="G13" i="1"/>
  <c r="M273" i="2"/>
  <c r="N273" i="2"/>
  <c r="O273" i="2"/>
  <c r="P273" i="2"/>
  <c r="G14" i="1"/>
  <c r="M274" i="2"/>
  <c r="N274" i="2"/>
  <c r="O274" i="2"/>
  <c r="P274" i="2"/>
  <c r="G15" i="1"/>
  <c r="M275" i="2"/>
  <c r="N275" i="2"/>
  <c r="O275" i="2"/>
  <c r="P275" i="2"/>
  <c r="M665" i="2"/>
  <c r="N665" i="2"/>
  <c r="O665" i="2"/>
  <c r="P665" i="2"/>
  <c r="G16" i="1"/>
  <c r="M276" i="2"/>
  <c r="N276" i="2"/>
  <c r="O276" i="2"/>
  <c r="P276" i="2"/>
  <c r="G17" i="1"/>
  <c r="M277" i="2"/>
  <c r="N277" i="2"/>
  <c r="O277" i="2"/>
  <c r="P277" i="2"/>
  <c r="G18" i="1"/>
  <c r="M278" i="2"/>
  <c r="N278" i="2"/>
  <c r="O278" i="2"/>
  <c r="P278" i="2"/>
  <c r="M656" i="2"/>
  <c r="N656" i="2"/>
  <c r="O656" i="2"/>
  <c r="P656" i="2"/>
  <c r="M669" i="2"/>
  <c r="N669" i="2"/>
  <c r="O669" i="2"/>
  <c r="P669" i="2"/>
  <c r="M703" i="2"/>
  <c r="N703" i="2"/>
  <c r="O703" i="2"/>
  <c r="P703" i="2"/>
  <c r="M2" i="2"/>
  <c r="N2" i="2"/>
  <c r="O2" i="2"/>
  <c r="P2" i="2"/>
  <c r="M3" i="2"/>
  <c r="N3" i="2"/>
  <c r="O3" i="2"/>
  <c r="P3" i="2"/>
  <c r="M4" i="2"/>
  <c r="N4" i="2"/>
  <c r="O4" i="2"/>
  <c r="P4" i="2"/>
  <c r="M5" i="2"/>
  <c r="N5" i="2"/>
  <c r="O5" i="2"/>
  <c r="P5" i="2"/>
  <c r="M6" i="2"/>
  <c r="N6" i="2"/>
  <c r="O6" i="2"/>
  <c r="P6" i="2"/>
  <c r="M7" i="2"/>
  <c r="N7" i="2"/>
  <c r="O7" i="2"/>
  <c r="P7" i="2"/>
  <c r="M8" i="2"/>
  <c r="N8" i="2"/>
  <c r="O8" i="2"/>
  <c r="P8" i="2"/>
  <c r="M9" i="2"/>
  <c r="N9" i="2"/>
  <c r="O9" i="2"/>
  <c r="P9" i="2"/>
  <c r="M10" i="2"/>
  <c r="N10" i="2"/>
  <c r="O10" i="2"/>
  <c r="P10" i="2"/>
  <c r="M11" i="2"/>
  <c r="N11" i="2"/>
  <c r="O11" i="2"/>
  <c r="P11" i="2"/>
  <c r="M12" i="2"/>
  <c r="N12" i="2"/>
  <c r="O12" i="2"/>
  <c r="P12" i="2"/>
  <c r="M13" i="2"/>
  <c r="N13" i="2"/>
  <c r="O13" i="2"/>
  <c r="P13" i="2"/>
  <c r="M14" i="2"/>
  <c r="N14" i="2"/>
  <c r="O14" i="2"/>
  <c r="P14" i="2"/>
  <c r="M15" i="2"/>
  <c r="N15" i="2"/>
  <c r="O15" i="2"/>
  <c r="P15" i="2"/>
  <c r="M16" i="2"/>
  <c r="N16" i="2"/>
  <c r="O16" i="2"/>
  <c r="P16" i="2"/>
  <c r="M17" i="2"/>
  <c r="N17" i="2"/>
  <c r="O17" i="2"/>
  <c r="P17" i="2"/>
  <c r="M18" i="2"/>
  <c r="N18" i="2"/>
  <c r="O18" i="2"/>
  <c r="P18" i="2"/>
  <c r="M19" i="2"/>
  <c r="N19" i="2"/>
  <c r="O19" i="2"/>
  <c r="P19" i="2"/>
  <c r="M20" i="2"/>
  <c r="N20" i="2"/>
  <c r="O20" i="2"/>
  <c r="P20" i="2"/>
  <c r="M21" i="2"/>
  <c r="N21" i="2"/>
  <c r="O21" i="2"/>
  <c r="P21" i="2"/>
  <c r="M22" i="2"/>
  <c r="N22" i="2"/>
  <c r="O22" i="2"/>
  <c r="P22" i="2"/>
  <c r="M23" i="2"/>
  <c r="N23" i="2"/>
  <c r="O23" i="2"/>
  <c r="P23" i="2"/>
  <c r="M24" i="2"/>
  <c r="N24" i="2"/>
  <c r="O24" i="2"/>
  <c r="P24" i="2"/>
  <c r="M25" i="2"/>
  <c r="N25" i="2"/>
  <c r="O25" i="2"/>
  <c r="P25" i="2"/>
  <c r="M26" i="2"/>
  <c r="N26" i="2"/>
  <c r="O26" i="2"/>
  <c r="P26" i="2"/>
  <c r="M27" i="2"/>
  <c r="N27" i="2"/>
  <c r="O27" i="2"/>
  <c r="P27" i="2"/>
  <c r="M28" i="2"/>
  <c r="N28" i="2"/>
  <c r="O28" i="2"/>
  <c r="P28" i="2"/>
  <c r="M29" i="2"/>
  <c r="N29" i="2"/>
  <c r="O29" i="2"/>
  <c r="P29" i="2"/>
  <c r="M30" i="2"/>
  <c r="N30" i="2"/>
  <c r="O30" i="2"/>
  <c r="P30" i="2"/>
  <c r="M31" i="2"/>
  <c r="N31" i="2"/>
  <c r="O31" i="2"/>
  <c r="P31" i="2"/>
  <c r="M32" i="2"/>
  <c r="N32" i="2"/>
  <c r="O32" i="2"/>
  <c r="P32" i="2"/>
  <c r="M33" i="2"/>
  <c r="N33" i="2"/>
  <c r="O33" i="2"/>
  <c r="P33" i="2"/>
  <c r="M34" i="2"/>
  <c r="N34" i="2"/>
  <c r="O34" i="2"/>
  <c r="P34" i="2"/>
  <c r="M35" i="2"/>
  <c r="N35" i="2"/>
  <c r="O35" i="2"/>
  <c r="P35" i="2"/>
  <c r="M36" i="2"/>
  <c r="N36" i="2"/>
  <c r="O36" i="2"/>
  <c r="P36" i="2"/>
  <c r="M37" i="2"/>
  <c r="N37" i="2"/>
  <c r="O37" i="2"/>
  <c r="P37" i="2"/>
  <c r="M38" i="2"/>
  <c r="N38" i="2"/>
  <c r="O38" i="2"/>
  <c r="P38" i="2"/>
  <c r="M39" i="2"/>
  <c r="N39" i="2"/>
  <c r="O39" i="2"/>
  <c r="P39" i="2"/>
  <c r="M40" i="2"/>
  <c r="N40" i="2"/>
  <c r="O40" i="2"/>
  <c r="P40" i="2"/>
  <c r="M41" i="2"/>
  <c r="N41" i="2"/>
  <c r="O41" i="2"/>
  <c r="P41" i="2"/>
  <c r="M42" i="2"/>
  <c r="N42" i="2"/>
  <c r="O42" i="2"/>
  <c r="P42" i="2"/>
  <c r="M43" i="2"/>
  <c r="N43" i="2"/>
  <c r="O43" i="2"/>
  <c r="P43" i="2"/>
  <c r="M44" i="2"/>
  <c r="N44" i="2"/>
  <c r="O44" i="2"/>
  <c r="P44" i="2"/>
  <c r="M45" i="2"/>
  <c r="N45" i="2"/>
  <c r="O45" i="2"/>
  <c r="P45" i="2"/>
  <c r="M46" i="2"/>
  <c r="N46" i="2"/>
  <c r="O46" i="2"/>
  <c r="P46" i="2"/>
  <c r="M47" i="2"/>
  <c r="N47" i="2"/>
  <c r="O47" i="2"/>
  <c r="P47" i="2"/>
  <c r="M48" i="2"/>
  <c r="N48" i="2"/>
  <c r="O48" i="2"/>
  <c r="P48" i="2"/>
  <c r="M49" i="2"/>
  <c r="N49" i="2"/>
  <c r="O49" i="2"/>
  <c r="P49" i="2"/>
  <c r="M50" i="2"/>
  <c r="N50" i="2"/>
  <c r="O50" i="2"/>
  <c r="P50" i="2"/>
  <c r="M51" i="2"/>
  <c r="N51" i="2"/>
  <c r="O51" i="2"/>
  <c r="P51" i="2"/>
  <c r="M52" i="2"/>
  <c r="N52" i="2"/>
  <c r="O52" i="2"/>
  <c r="P52" i="2"/>
  <c r="M53" i="2"/>
  <c r="N53" i="2"/>
  <c r="O53" i="2"/>
  <c r="P53" i="2"/>
  <c r="M54" i="2"/>
  <c r="N54" i="2"/>
  <c r="O54" i="2"/>
  <c r="P54" i="2"/>
  <c r="M55" i="2"/>
  <c r="N55" i="2"/>
  <c r="O55" i="2"/>
  <c r="P55" i="2"/>
  <c r="M56" i="2"/>
  <c r="N56" i="2"/>
  <c r="O56" i="2"/>
  <c r="P56" i="2"/>
  <c r="M57" i="2"/>
  <c r="N57" i="2"/>
  <c r="O57" i="2"/>
  <c r="P57" i="2"/>
  <c r="M58" i="2"/>
  <c r="N58" i="2"/>
  <c r="O58" i="2"/>
  <c r="P58" i="2"/>
  <c r="M59" i="2"/>
  <c r="N59" i="2"/>
  <c r="O59" i="2"/>
  <c r="P59" i="2"/>
  <c r="M60" i="2"/>
  <c r="N60" i="2"/>
  <c r="O60" i="2"/>
  <c r="P60" i="2"/>
  <c r="M61" i="2"/>
  <c r="N61" i="2"/>
  <c r="O61" i="2"/>
  <c r="P61" i="2"/>
  <c r="M62" i="2"/>
  <c r="N62" i="2"/>
  <c r="O62" i="2"/>
  <c r="P62" i="2"/>
  <c r="M63" i="2"/>
  <c r="N63" i="2"/>
  <c r="O63" i="2"/>
  <c r="P63" i="2"/>
  <c r="M64" i="2"/>
  <c r="N64" i="2"/>
  <c r="O64" i="2"/>
  <c r="P64" i="2"/>
  <c r="M65" i="2"/>
  <c r="N65" i="2"/>
  <c r="O65" i="2"/>
  <c r="P65" i="2"/>
  <c r="M66" i="2"/>
  <c r="N66" i="2"/>
  <c r="O66" i="2"/>
  <c r="P66" i="2"/>
  <c r="M67" i="2"/>
  <c r="N67" i="2"/>
  <c r="O67" i="2"/>
  <c r="P67" i="2"/>
  <c r="M68" i="2"/>
  <c r="N68" i="2"/>
  <c r="O68" i="2"/>
  <c r="P68" i="2"/>
  <c r="M69" i="2"/>
  <c r="N69" i="2"/>
  <c r="O69" i="2"/>
  <c r="P69" i="2"/>
  <c r="M70" i="2"/>
  <c r="N70" i="2"/>
  <c r="O70" i="2"/>
  <c r="P70" i="2"/>
  <c r="M71" i="2"/>
  <c r="N71" i="2"/>
  <c r="O71" i="2"/>
  <c r="P71" i="2"/>
  <c r="M72" i="2"/>
  <c r="N72" i="2"/>
  <c r="O72" i="2"/>
  <c r="P72" i="2"/>
  <c r="M73" i="2"/>
  <c r="N73" i="2"/>
  <c r="O73" i="2"/>
  <c r="P73" i="2"/>
  <c r="M74" i="2"/>
  <c r="N74" i="2"/>
  <c r="O74" i="2"/>
  <c r="P74" i="2"/>
  <c r="M75" i="2"/>
  <c r="N75" i="2"/>
  <c r="O75" i="2"/>
  <c r="P75" i="2"/>
  <c r="M76" i="2"/>
  <c r="N76" i="2"/>
  <c r="O76" i="2"/>
  <c r="P76" i="2"/>
  <c r="M77" i="2"/>
  <c r="N77" i="2"/>
  <c r="O77" i="2"/>
  <c r="P77" i="2"/>
  <c r="M78" i="2"/>
  <c r="N78" i="2"/>
  <c r="O78" i="2"/>
  <c r="P78" i="2"/>
  <c r="M79" i="2"/>
  <c r="N79" i="2"/>
  <c r="O79" i="2"/>
  <c r="P79" i="2"/>
  <c r="M80" i="2"/>
  <c r="N80" i="2"/>
  <c r="O80" i="2"/>
  <c r="P80" i="2"/>
  <c r="M81" i="2"/>
  <c r="N81" i="2"/>
  <c r="O81" i="2"/>
  <c r="P81" i="2"/>
  <c r="M82" i="2"/>
  <c r="N82" i="2"/>
  <c r="O82" i="2"/>
  <c r="P82" i="2"/>
  <c r="M83" i="2"/>
  <c r="N83" i="2"/>
  <c r="O83" i="2"/>
  <c r="P83" i="2"/>
  <c r="M84" i="2"/>
  <c r="N84" i="2"/>
  <c r="O84" i="2"/>
  <c r="P84" i="2"/>
  <c r="M85" i="2"/>
  <c r="N85" i="2"/>
  <c r="O85" i="2"/>
  <c r="P85" i="2"/>
  <c r="M86" i="2"/>
  <c r="N86" i="2"/>
  <c r="O86" i="2"/>
  <c r="P86" i="2"/>
  <c r="M87" i="2"/>
  <c r="N87" i="2"/>
  <c r="O87" i="2"/>
  <c r="P87" i="2"/>
  <c r="M88" i="2"/>
  <c r="N88" i="2"/>
  <c r="O88" i="2"/>
  <c r="P88" i="2"/>
  <c r="M89" i="2"/>
  <c r="N89" i="2"/>
  <c r="O89" i="2"/>
  <c r="P89" i="2"/>
  <c r="M90" i="2"/>
  <c r="N90" i="2"/>
  <c r="O90" i="2"/>
  <c r="P90" i="2"/>
  <c r="M91" i="2"/>
  <c r="N91" i="2"/>
  <c r="O91" i="2"/>
  <c r="P91" i="2"/>
  <c r="M92" i="2"/>
  <c r="N92" i="2"/>
  <c r="O92" i="2"/>
  <c r="P92" i="2"/>
  <c r="M93" i="2"/>
  <c r="N93" i="2"/>
  <c r="O93" i="2"/>
  <c r="P93" i="2"/>
  <c r="M94" i="2"/>
  <c r="N94" i="2"/>
  <c r="O94" i="2"/>
  <c r="P94" i="2"/>
  <c r="M95" i="2"/>
  <c r="N95" i="2"/>
  <c r="O95" i="2"/>
  <c r="P95" i="2"/>
  <c r="M96" i="2"/>
  <c r="N96" i="2"/>
  <c r="O96" i="2"/>
  <c r="P96" i="2"/>
  <c r="M97" i="2"/>
  <c r="N97" i="2"/>
  <c r="O97" i="2"/>
  <c r="P97" i="2"/>
  <c r="M98" i="2"/>
  <c r="N98" i="2"/>
  <c r="O98" i="2"/>
  <c r="P98" i="2"/>
  <c r="M99" i="2"/>
  <c r="N99" i="2"/>
  <c r="O99" i="2"/>
  <c r="P99" i="2"/>
  <c r="M100" i="2"/>
  <c r="N100" i="2"/>
  <c r="O100" i="2"/>
  <c r="P100" i="2"/>
  <c r="M101" i="2"/>
  <c r="N101" i="2"/>
  <c r="O101" i="2"/>
  <c r="P101" i="2"/>
  <c r="M102" i="2"/>
  <c r="N102" i="2"/>
  <c r="O102" i="2"/>
  <c r="P102" i="2"/>
  <c r="M103" i="2"/>
  <c r="N103" i="2"/>
  <c r="O103" i="2"/>
  <c r="P103" i="2"/>
  <c r="M104" i="2"/>
  <c r="N104" i="2"/>
  <c r="O104" i="2"/>
  <c r="P104" i="2"/>
  <c r="M105" i="2"/>
  <c r="N105" i="2"/>
  <c r="O105" i="2"/>
  <c r="P105" i="2"/>
  <c r="M106" i="2"/>
  <c r="N106" i="2"/>
  <c r="O106" i="2"/>
  <c r="P106" i="2"/>
  <c r="M107" i="2"/>
  <c r="N107" i="2"/>
  <c r="O107" i="2"/>
  <c r="P107" i="2"/>
  <c r="M108" i="2"/>
  <c r="N108" i="2"/>
  <c r="O108" i="2"/>
  <c r="P108" i="2"/>
  <c r="M109" i="2"/>
  <c r="N109" i="2"/>
  <c r="O109" i="2"/>
  <c r="P109" i="2"/>
  <c r="M110" i="2"/>
  <c r="N110" i="2"/>
  <c r="O110" i="2"/>
  <c r="P110" i="2"/>
  <c r="M111" i="2"/>
  <c r="N111" i="2"/>
  <c r="O111" i="2"/>
  <c r="P111" i="2"/>
  <c r="M112" i="2"/>
  <c r="N112" i="2"/>
  <c r="O112" i="2"/>
  <c r="P112" i="2"/>
  <c r="M113" i="2"/>
  <c r="N113" i="2"/>
  <c r="O113" i="2"/>
  <c r="P113" i="2"/>
  <c r="M114" i="2"/>
  <c r="N114" i="2"/>
  <c r="O114" i="2"/>
  <c r="P114" i="2"/>
  <c r="M115" i="2"/>
  <c r="N115" i="2"/>
  <c r="O115" i="2"/>
  <c r="P115" i="2"/>
  <c r="M116" i="2"/>
  <c r="N116" i="2"/>
  <c r="O116" i="2"/>
  <c r="P116" i="2"/>
  <c r="M117" i="2"/>
  <c r="N117" i="2"/>
  <c r="O117" i="2"/>
  <c r="P117" i="2"/>
  <c r="M118" i="2"/>
  <c r="N118" i="2"/>
  <c r="O118" i="2"/>
  <c r="P118" i="2"/>
  <c r="M119" i="2"/>
  <c r="N119" i="2"/>
  <c r="O119" i="2"/>
  <c r="P119" i="2"/>
  <c r="M120" i="2"/>
  <c r="N120" i="2"/>
  <c r="O120" i="2"/>
  <c r="P120" i="2"/>
  <c r="M121" i="2"/>
  <c r="N121" i="2"/>
  <c r="O121" i="2"/>
  <c r="P121" i="2"/>
  <c r="M122" i="2"/>
  <c r="N122" i="2"/>
  <c r="O122" i="2"/>
  <c r="P122" i="2"/>
  <c r="M123" i="2"/>
  <c r="N123" i="2"/>
  <c r="O123" i="2"/>
  <c r="P123" i="2"/>
  <c r="M124" i="2"/>
  <c r="N124" i="2"/>
  <c r="O124" i="2"/>
  <c r="P124" i="2"/>
  <c r="M125" i="2"/>
  <c r="N125" i="2"/>
  <c r="O125" i="2"/>
  <c r="P125" i="2"/>
  <c r="M126" i="2"/>
  <c r="N126" i="2"/>
  <c r="O126" i="2"/>
  <c r="P126" i="2"/>
  <c r="M127" i="2"/>
  <c r="N127" i="2"/>
  <c r="O127" i="2"/>
  <c r="P127" i="2"/>
  <c r="M128" i="2"/>
  <c r="N128" i="2"/>
  <c r="O128" i="2"/>
  <c r="P128" i="2"/>
  <c r="M129" i="2"/>
  <c r="N129" i="2"/>
  <c r="O129" i="2"/>
  <c r="P129" i="2"/>
  <c r="M130" i="2"/>
  <c r="N130" i="2"/>
  <c r="O130" i="2"/>
  <c r="P130" i="2"/>
  <c r="M131" i="2"/>
  <c r="N131" i="2"/>
  <c r="O131" i="2"/>
  <c r="P131" i="2"/>
  <c r="M132" i="2"/>
  <c r="N132" i="2"/>
  <c r="O132" i="2"/>
  <c r="P132" i="2"/>
  <c r="M133" i="2"/>
  <c r="N133" i="2"/>
  <c r="O133" i="2"/>
  <c r="P133" i="2"/>
  <c r="M134" i="2"/>
  <c r="N134" i="2"/>
  <c r="O134" i="2"/>
  <c r="P134" i="2"/>
  <c r="M135" i="2"/>
  <c r="N135" i="2"/>
  <c r="O135" i="2"/>
  <c r="P135" i="2"/>
  <c r="M136" i="2"/>
  <c r="N136" i="2"/>
  <c r="O136" i="2"/>
  <c r="P136" i="2"/>
  <c r="M137" i="2"/>
  <c r="N137" i="2"/>
  <c r="O137" i="2"/>
  <c r="P137" i="2"/>
  <c r="M138" i="2"/>
  <c r="N138" i="2"/>
  <c r="O138" i="2"/>
  <c r="P138" i="2"/>
  <c r="M139" i="2"/>
  <c r="N139" i="2"/>
  <c r="O139" i="2"/>
  <c r="P139" i="2"/>
  <c r="M140" i="2"/>
  <c r="N140" i="2"/>
  <c r="O140" i="2"/>
  <c r="P140" i="2"/>
  <c r="M141" i="2"/>
  <c r="N141" i="2"/>
  <c r="O141" i="2"/>
  <c r="P141" i="2"/>
  <c r="M142" i="2"/>
  <c r="N142" i="2"/>
  <c r="O142" i="2"/>
  <c r="P142" i="2"/>
  <c r="M143" i="2"/>
  <c r="N143" i="2"/>
  <c r="O143" i="2"/>
  <c r="P143" i="2"/>
  <c r="M144" i="2"/>
  <c r="N144" i="2"/>
  <c r="O144" i="2"/>
  <c r="P144" i="2"/>
  <c r="M145" i="2"/>
  <c r="N145" i="2"/>
  <c r="O145" i="2"/>
  <c r="P145" i="2"/>
  <c r="M146" i="2"/>
  <c r="N146" i="2"/>
  <c r="O146" i="2"/>
  <c r="P146" i="2"/>
  <c r="M147" i="2"/>
  <c r="N147" i="2"/>
  <c r="O147" i="2"/>
  <c r="P147" i="2"/>
  <c r="M148" i="2"/>
  <c r="N148" i="2"/>
  <c r="O148" i="2"/>
  <c r="P148" i="2"/>
  <c r="M149" i="2"/>
  <c r="N149" i="2"/>
  <c r="O149" i="2"/>
  <c r="P149" i="2"/>
  <c r="M150" i="2"/>
  <c r="N150" i="2"/>
  <c r="O150" i="2"/>
  <c r="P150" i="2"/>
  <c r="M151" i="2"/>
  <c r="N151" i="2"/>
  <c r="O151" i="2"/>
  <c r="P151" i="2"/>
  <c r="M152" i="2"/>
  <c r="N152" i="2"/>
  <c r="O152" i="2"/>
  <c r="P152" i="2"/>
  <c r="M153" i="2"/>
  <c r="N153" i="2"/>
  <c r="O153" i="2"/>
  <c r="P153" i="2"/>
  <c r="M154" i="2"/>
  <c r="N154" i="2"/>
  <c r="O154" i="2"/>
  <c r="P154" i="2"/>
  <c r="M155" i="2"/>
  <c r="N155" i="2"/>
  <c r="O155" i="2"/>
  <c r="P155" i="2"/>
  <c r="M156" i="2"/>
  <c r="N156" i="2"/>
  <c r="O156" i="2"/>
  <c r="P156" i="2"/>
  <c r="M157" i="2"/>
  <c r="N157" i="2"/>
  <c r="O157" i="2"/>
  <c r="P157" i="2"/>
  <c r="M158" i="2"/>
  <c r="N158" i="2"/>
  <c r="O158" i="2"/>
  <c r="P158" i="2"/>
  <c r="M159" i="2"/>
  <c r="N159" i="2"/>
  <c r="O159" i="2"/>
  <c r="P159" i="2"/>
  <c r="M160" i="2"/>
  <c r="N160" i="2"/>
  <c r="O160" i="2"/>
  <c r="P160" i="2"/>
  <c r="M161" i="2"/>
  <c r="N161" i="2"/>
  <c r="O161" i="2"/>
  <c r="P161" i="2"/>
  <c r="M162" i="2"/>
  <c r="N162" i="2"/>
  <c r="O162" i="2"/>
  <c r="P162" i="2"/>
  <c r="M163" i="2"/>
  <c r="N163" i="2"/>
  <c r="O163" i="2"/>
  <c r="P163" i="2"/>
  <c r="M164" i="2"/>
  <c r="N164" i="2"/>
  <c r="O164" i="2"/>
  <c r="P164" i="2"/>
  <c r="M165" i="2"/>
  <c r="N165" i="2"/>
  <c r="O165" i="2"/>
  <c r="P165" i="2"/>
  <c r="M166" i="2"/>
  <c r="N166" i="2"/>
  <c r="O166" i="2"/>
  <c r="P166" i="2"/>
  <c r="M167" i="2"/>
  <c r="N167" i="2"/>
  <c r="O167" i="2"/>
  <c r="P167" i="2"/>
  <c r="M168" i="2"/>
  <c r="N168" i="2"/>
  <c r="O168" i="2"/>
  <c r="P168" i="2"/>
  <c r="M169" i="2"/>
  <c r="N169" i="2"/>
  <c r="O169" i="2"/>
  <c r="P169" i="2"/>
  <c r="M170" i="2"/>
  <c r="N170" i="2"/>
  <c r="O170" i="2"/>
  <c r="P170" i="2"/>
  <c r="M171" i="2"/>
  <c r="N171" i="2"/>
  <c r="O171" i="2"/>
  <c r="P171" i="2"/>
  <c r="M172" i="2"/>
  <c r="N172" i="2"/>
  <c r="O172" i="2"/>
  <c r="P172" i="2"/>
  <c r="M173" i="2"/>
  <c r="N173" i="2"/>
  <c r="O173" i="2"/>
  <c r="P173" i="2"/>
  <c r="M174" i="2"/>
  <c r="N174" i="2"/>
  <c r="O174" i="2"/>
  <c r="P174" i="2"/>
  <c r="M175" i="2"/>
  <c r="N175" i="2"/>
  <c r="O175" i="2"/>
  <c r="P175" i="2"/>
  <c r="M176" i="2"/>
  <c r="N176" i="2"/>
  <c r="O176" i="2"/>
  <c r="P176" i="2"/>
  <c r="M177" i="2"/>
  <c r="N177" i="2"/>
  <c r="O177" i="2"/>
  <c r="P177" i="2"/>
  <c r="M178" i="2"/>
  <c r="N178" i="2"/>
  <c r="O178" i="2"/>
  <c r="P178" i="2"/>
  <c r="M179" i="2"/>
  <c r="N179" i="2"/>
  <c r="O179" i="2"/>
  <c r="P179" i="2"/>
  <c r="M180" i="2"/>
  <c r="N180" i="2"/>
  <c r="O180" i="2"/>
  <c r="P180" i="2"/>
  <c r="M181" i="2"/>
  <c r="N181" i="2"/>
  <c r="O181" i="2"/>
  <c r="P181" i="2"/>
  <c r="M182" i="2"/>
  <c r="N182" i="2"/>
  <c r="O182" i="2"/>
  <c r="P182" i="2"/>
  <c r="M183" i="2"/>
  <c r="N183" i="2"/>
  <c r="O183" i="2"/>
  <c r="P183" i="2"/>
  <c r="M184" i="2"/>
  <c r="N184" i="2"/>
  <c r="O184" i="2"/>
  <c r="P184" i="2"/>
  <c r="M185" i="2"/>
  <c r="N185" i="2"/>
  <c r="O185" i="2"/>
  <c r="P185" i="2"/>
  <c r="M186" i="2"/>
  <c r="N186" i="2"/>
  <c r="O186" i="2"/>
  <c r="P186" i="2"/>
  <c r="M187" i="2"/>
  <c r="N187" i="2"/>
  <c r="O187" i="2"/>
  <c r="P187" i="2"/>
  <c r="M188" i="2"/>
  <c r="N188" i="2"/>
  <c r="O188" i="2"/>
  <c r="P188" i="2"/>
  <c r="M189" i="2"/>
  <c r="N189" i="2"/>
  <c r="O189" i="2"/>
  <c r="P189" i="2"/>
  <c r="M190" i="2"/>
  <c r="N190" i="2"/>
  <c r="O190" i="2"/>
  <c r="P190" i="2"/>
  <c r="M191" i="2"/>
  <c r="N191" i="2"/>
  <c r="O191" i="2"/>
  <c r="P191" i="2"/>
  <c r="M192" i="2"/>
  <c r="N192" i="2"/>
  <c r="O192" i="2"/>
  <c r="P192" i="2"/>
  <c r="M193" i="2"/>
  <c r="N193" i="2"/>
  <c r="O193" i="2"/>
  <c r="P193" i="2"/>
  <c r="M194" i="2"/>
  <c r="N194" i="2"/>
  <c r="O194" i="2"/>
  <c r="P194" i="2"/>
  <c r="M195" i="2"/>
  <c r="N195" i="2"/>
  <c r="O195" i="2"/>
  <c r="P195" i="2"/>
  <c r="M196" i="2"/>
  <c r="N196" i="2"/>
  <c r="O196" i="2"/>
  <c r="P196" i="2"/>
  <c r="M197" i="2"/>
  <c r="N197" i="2"/>
  <c r="O197" i="2"/>
  <c r="P197" i="2"/>
  <c r="M198" i="2"/>
  <c r="N198" i="2"/>
  <c r="O198" i="2"/>
  <c r="P198" i="2"/>
  <c r="M199" i="2"/>
  <c r="N199" i="2"/>
  <c r="O199" i="2"/>
  <c r="P199" i="2"/>
  <c r="M200" i="2"/>
  <c r="N200" i="2"/>
  <c r="O200" i="2"/>
  <c r="P200" i="2"/>
  <c r="M201" i="2"/>
  <c r="N201" i="2"/>
  <c r="O201" i="2"/>
  <c r="P201" i="2"/>
  <c r="M202" i="2"/>
  <c r="N202" i="2"/>
  <c r="O202" i="2"/>
  <c r="P202" i="2"/>
  <c r="M203" i="2"/>
  <c r="N203" i="2"/>
  <c r="O203" i="2"/>
  <c r="P203" i="2"/>
  <c r="M204" i="2"/>
  <c r="N204" i="2"/>
  <c r="O204" i="2"/>
  <c r="P204" i="2"/>
  <c r="M205" i="2"/>
  <c r="N205" i="2"/>
  <c r="O205" i="2"/>
  <c r="P205" i="2"/>
  <c r="M206" i="2"/>
  <c r="N206" i="2"/>
  <c r="O206" i="2"/>
  <c r="P206" i="2"/>
  <c r="M207" i="2"/>
  <c r="N207" i="2"/>
  <c r="O207" i="2"/>
  <c r="P207" i="2"/>
  <c r="M208" i="2"/>
  <c r="N208" i="2"/>
  <c r="O208" i="2"/>
  <c r="P208" i="2"/>
  <c r="M209" i="2"/>
  <c r="N209" i="2"/>
  <c r="O209" i="2"/>
  <c r="P209" i="2"/>
  <c r="M210" i="2"/>
  <c r="N210" i="2"/>
  <c r="O210" i="2"/>
  <c r="P210" i="2"/>
  <c r="M211" i="2"/>
  <c r="N211" i="2"/>
  <c r="O211" i="2"/>
  <c r="P211" i="2"/>
  <c r="M212" i="2"/>
  <c r="N212" i="2"/>
  <c r="O212" i="2"/>
  <c r="P212" i="2"/>
  <c r="M213" i="2"/>
  <c r="N213" i="2"/>
  <c r="O213" i="2"/>
  <c r="P213" i="2"/>
  <c r="M214" i="2"/>
  <c r="N214" i="2"/>
  <c r="O214" i="2"/>
  <c r="P214" i="2"/>
  <c r="M215" i="2"/>
  <c r="N215" i="2"/>
  <c r="O215" i="2"/>
  <c r="P215" i="2"/>
  <c r="M216" i="2"/>
  <c r="N216" i="2"/>
  <c r="O216" i="2"/>
  <c r="P216" i="2"/>
  <c r="M217" i="2"/>
  <c r="N217" i="2"/>
  <c r="O217" i="2"/>
  <c r="P217" i="2"/>
  <c r="M218" i="2"/>
  <c r="N218" i="2"/>
  <c r="O218" i="2"/>
  <c r="P218" i="2"/>
  <c r="M219" i="2"/>
  <c r="N219" i="2"/>
  <c r="O219" i="2"/>
  <c r="P219" i="2"/>
  <c r="M220" i="2"/>
  <c r="N220" i="2"/>
  <c r="O220" i="2"/>
  <c r="P220" i="2"/>
  <c r="M221" i="2"/>
  <c r="N221" i="2"/>
  <c r="O221" i="2"/>
  <c r="P221" i="2"/>
  <c r="M222" i="2"/>
  <c r="N222" i="2"/>
  <c r="O222" i="2"/>
  <c r="P222" i="2"/>
  <c r="M223" i="2"/>
  <c r="N223" i="2"/>
  <c r="O223" i="2"/>
  <c r="P223" i="2"/>
  <c r="M224" i="2"/>
  <c r="N224" i="2"/>
  <c r="O224" i="2"/>
  <c r="P224" i="2"/>
  <c r="M225" i="2"/>
  <c r="N225" i="2"/>
  <c r="O225" i="2"/>
  <c r="P225" i="2"/>
  <c r="M226" i="2"/>
  <c r="N226" i="2"/>
  <c r="O226" i="2"/>
  <c r="P226" i="2"/>
  <c r="M227" i="2"/>
  <c r="N227" i="2"/>
  <c r="O227" i="2"/>
  <c r="P227" i="2"/>
  <c r="M228" i="2"/>
  <c r="N228" i="2"/>
  <c r="O228" i="2"/>
  <c r="P228" i="2"/>
  <c r="M229" i="2"/>
  <c r="N229" i="2"/>
  <c r="O229" i="2"/>
  <c r="P229" i="2"/>
  <c r="M230" i="2"/>
  <c r="N230" i="2"/>
  <c r="O230" i="2"/>
  <c r="P230" i="2"/>
  <c r="M231" i="2"/>
  <c r="N231" i="2"/>
  <c r="O231" i="2"/>
  <c r="P231" i="2"/>
  <c r="M232" i="2"/>
  <c r="N232" i="2"/>
  <c r="O232" i="2"/>
  <c r="P232" i="2"/>
  <c r="M233" i="2"/>
  <c r="N233" i="2"/>
  <c r="O233" i="2"/>
  <c r="P233" i="2"/>
  <c r="M234" i="2"/>
  <c r="N234" i="2"/>
  <c r="O234" i="2"/>
  <c r="P234" i="2"/>
  <c r="M235" i="2"/>
  <c r="N235" i="2"/>
  <c r="O235" i="2"/>
  <c r="P235" i="2"/>
  <c r="M236" i="2"/>
  <c r="N236" i="2"/>
  <c r="O236" i="2"/>
  <c r="P236" i="2"/>
  <c r="M237" i="2"/>
  <c r="N237" i="2"/>
  <c r="O237" i="2"/>
  <c r="P237" i="2"/>
  <c r="M238" i="2"/>
  <c r="N238" i="2"/>
  <c r="O238" i="2"/>
  <c r="P238" i="2"/>
  <c r="M239" i="2"/>
  <c r="N239" i="2"/>
  <c r="O239" i="2"/>
  <c r="P239" i="2"/>
  <c r="M240" i="2"/>
  <c r="N240" i="2"/>
  <c r="O240" i="2"/>
  <c r="P240" i="2"/>
  <c r="M241" i="2"/>
  <c r="N241" i="2"/>
  <c r="O241" i="2"/>
  <c r="P241" i="2"/>
  <c r="M242" i="2"/>
  <c r="N242" i="2"/>
  <c r="O242" i="2"/>
  <c r="P242" i="2"/>
  <c r="M243" i="2"/>
  <c r="N243" i="2"/>
  <c r="O243" i="2"/>
  <c r="P243" i="2"/>
  <c r="M244" i="2"/>
  <c r="N244" i="2"/>
  <c r="O244" i="2"/>
  <c r="P244" i="2"/>
  <c r="M245" i="2"/>
  <c r="N245" i="2"/>
  <c r="O245" i="2"/>
  <c r="P245" i="2"/>
  <c r="M246" i="2"/>
  <c r="N246" i="2"/>
  <c r="O246" i="2"/>
  <c r="P246" i="2"/>
  <c r="M247" i="2"/>
  <c r="N247" i="2"/>
  <c r="O247" i="2"/>
  <c r="P247" i="2"/>
  <c r="M248" i="2"/>
  <c r="N248" i="2"/>
  <c r="O248" i="2"/>
  <c r="P248" i="2"/>
  <c r="M249" i="2"/>
  <c r="N249" i="2"/>
  <c r="O249" i="2"/>
  <c r="P249" i="2"/>
  <c r="M250" i="2"/>
  <c r="N250" i="2"/>
  <c r="O250" i="2"/>
  <c r="P250" i="2"/>
  <c r="M251" i="2"/>
  <c r="N251" i="2"/>
  <c r="O251" i="2"/>
  <c r="P251" i="2"/>
  <c r="M252" i="2"/>
  <c r="N252" i="2"/>
  <c r="O252" i="2"/>
  <c r="P252" i="2"/>
  <c r="M253" i="2"/>
  <c r="N253" i="2"/>
  <c r="O253" i="2"/>
  <c r="P253" i="2"/>
  <c r="M254" i="2"/>
  <c r="N254" i="2"/>
  <c r="O254" i="2"/>
  <c r="P254" i="2"/>
  <c r="M255" i="2"/>
  <c r="N255" i="2"/>
  <c r="O255" i="2"/>
  <c r="P255" i="2"/>
  <c r="M256" i="2"/>
  <c r="N256" i="2"/>
  <c r="O256" i="2"/>
  <c r="P256" i="2"/>
  <c r="M257" i="2"/>
  <c r="N257" i="2"/>
  <c r="O257" i="2"/>
  <c r="P257" i="2"/>
  <c r="M258" i="2"/>
  <c r="N258" i="2"/>
  <c r="O258" i="2"/>
  <c r="P258" i="2"/>
  <c r="M259" i="2"/>
  <c r="N259" i="2"/>
  <c r="O259" i="2"/>
  <c r="P259" i="2"/>
  <c r="M260" i="2"/>
  <c r="N260" i="2"/>
  <c r="O260" i="2"/>
  <c r="P260" i="2"/>
  <c r="M261" i="2"/>
  <c r="N261" i="2"/>
  <c r="O261" i="2"/>
  <c r="P261" i="2"/>
  <c r="M279" i="2"/>
  <c r="N279" i="2"/>
  <c r="O279" i="2"/>
  <c r="P279" i="2"/>
  <c r="M280" i="2"/>
  <c r="N280" i="2"/>
  <c r="O280" i="2"/>
  <c r="P280" i="2"/>
  <c r="M281" i="2"/>
  <c r="N281" i="2"/>
  <c r="O281" i="2"/>
  <c r="P281" i="2"/>
  <c r="M282" i="2"/>
  <c r="N282" i="2"/>
  <c r="O282" i="2"/>
  <c r="P282" i="2"/>
  <c r="M283" i="2"/>
  <c r="N283" i="2"/>
  <c r="O283" i="2"/>
  <c r="P283" i="2"/>
  <c r="M284" i="2"/>
  <c r="N284" i="2"/>
  <c r="O284" i="2"/>
  <c r="P284" i="2"/>
  <c r="M285" i="2"/>
  <c r="N285" i="2"/>
  <c r="O285" i="2"/>
  <c r="P285" i="2"/>
  <c r="M286" i="2"/>
  <c r="N286" i="2"/>
  <c r="O286" i="2"/>
  <c r="P286" i="2"/>
  <c r="M287" i="2"/>
  <c r="N287" i="2"/>
  <c r="O287" i="2"/>
  <c r="P287" i="2"/>
  <c r="M288" i="2"/>
  <c r="N288" i="2"/>
  <c r="O288" i="2"/>
  <c r="P288" i="2"/>
  <c r="M289" i="2"/>
  <c r="N289" i="2"/>
  <c r="O289" i="2"/>
  <c r="P289" i="2"/>
  <c r="M290" i="2"/>
  <c r="N290" i="2"/>
  <c r="O290" i="2"/>
  <c r="P290" i="2"/>
  <c r="M291" i="2"/>
  <c r="N291" i="2"/>
  <c r="O291" i="2"/>
  <c r="P291" i="2"/>
  <c r="M292" i="2"/>
  <c r="N292" i="2"/>
  <c r="O292" i="2"/>
  <c r="P292" i="2"/>
  <c r="M293" i="2"/>
  <c r="N293" i="2"/>
  <c r="O293" i="2"/>
  <c r="P293" i="2"/>
  <c r="M294" i="2"/>
  <c r="N294" i="2"/>
  <c r="O294" i="2"/>
  <c r="P294" i="2"/>
  <c r="M295" i="2"/>
  <c r="N295" i="2"/>
  <c r="O295" i="2"/>
  <c r="P295" i="2"/>
  <c r="M296" i="2"/>
  <c r="N296" i="2"/>
  <c r="O296" i="2"/>
  <c r="P296" i="2"/>
  <c r="M297" i="2"/>
  <c r="N297" i="2"/>
  <c r="O297" i="2"/>
  <c r="P297" i="2"/>
  <c r="M298" i="2"/>
  <c r="N298" i="2"/>
  <c r="O298" i="2"/>
  <c r="P298" i="2"/>
  <c r="M299" i="2"/>
  <c r="N299" i="2"/>
  <c r="O299" i="2"/>
  <c r="P299" i="2"/>
  <c r="M300" i="2"/>
  <c r="N300" i="2"/>
  <c r="O300" i="2"/>
  <c r="P300" i="2"/>
  <c r="M301" i="2"/>
  <c r="N301" i="2"/>
  <c r="O301" i="2"/>
  <c r="P301" i="2"/>
  <c r="M302" i="2"/>
  <c r="N302" i="2"/>
  <c r="O302" i="2"/>
  <c r="P302" i="2"/>
  <c r="M303" i="2"/>
  <c r="N303" i="2"/>
  <c r="O303" i="2"/>
  <c r="P303" i="2"/>
  <c r="M304" i="2"/>
  <c r="N304" i="2"/>
  <c r="O304" i="2"/>
  <c r="P304" i="2"/>
  <c r="M305" i="2"/>
  <c r="N305" i="2"/>
  <c r="O305" i="2"/>
  <c r="P305" i="2"/>
  <c r="M306" i="2"/>
  <c r="N306" i="2"/>
  <c r="O306" i="2"/>
  <c r="P306" i="2"/>
  <c r="M307" i="2"/>
  <c r="N307" i="2"/>
  <c r="O307" i="2"/>
  <c r="P307" i="2"/>
  <c r="M308" i="2"/>
  <c r="N308" i="2"/>
  <c r="O308" i="2"/>
  <c r="P308" i="2"/>
  <c r="M309" i="2"/>
  <c r="N309" i="2"/>
  <c r="O309" i="2"/>
  <c r="P309" i="2"/>
  <c r="M310" i="2"/>
  <c r="N310" i="2"/>
  <c r="O310" i="2"/>
  <c r="P310" i="2"/>
  <c r="M311" i="2"/>
  <c r="N311" i="2"/>
  <c r="O311" i="2"/>
  <c r="P311" i="2"/>
  <c r="M312" i="2"/>
  <c r="N312" i="2"/>
  <c r="O312" i="2"/>
  <c r="P312" i="2"/>
  <c r="M313" i="2"/>
  <c r="N313" i="2"/>
  <c r="O313" i="2"/>
  <c r="P313" i="2"/>
  <c r="M314" i="2"/>
  <c r="N314" i="2"/>
  <c r="O314" i="2"/>
  <c r="P314" i="2"/>
  <c r="M315" i="2"/>
  <c r="N315" i="2"/>
  <c r="O315" i="2"/>
  <c r="P315" i="2"/>
  <c r="M316" i="2"/>
  <c r="N316" i="2"/>
  <c r="O316" i="2"/>
  <c r="P316" i="2"/>
  <c r="M317" i="2"/>
  <c r="N317" i="2"/>
  <c r="O317" i="2"/>
  <c r="P317" i="2"/>
  <c r="M318" i="2"/>
  <c r="N318" i="2"/>
  <c r="O318" i="2"/>
  <c r="P318" i="2"/>
  <c r="M319" i="2"/>
  <c r="N319" i="2"/>
  <c r="O319" i="2"/>
  <c r="P319" i="2"/>
  <c r="M320" i="2"/>
  <c r="N320" i="2"/>
  <c r="O320" i="2"/>
  <c r="P320" i="2"/>
  <c r="M321" i="2"/>
  <c r="N321" i="2"/>
  <c r="O321" i="2"/>
  <c r="P321" i="2"/>
  <c r="M322" i="2"/>
  <c r="N322" i="2"/>
  <c r="O322" i="2"/>
  <c r="P322" i="2"/>
  <c r="M323" i="2"/>
  <c r="N323" i="2"/>
  <c r="O323" i="2"/>
  <c r="P323" i="2"/>
  <c r="M324" i="2"/>
  <c r="N324" i="2"/>
  <c r="O324" i="2"/>
  <c r="P324" i="2"/>
  <c r="M325" i="2"/>
  <c r="N325" i="2"/>
  <c r="O325" i="2"/>
  <c r="P325" i="2"/>
  <c r="M326" i="2"/>
  <c r="N326" i="2"/>
  <c r="O326" i="2"/>
  <c r="P326" i="2"/>
  <c r="M327" i="2"/>
  <c r="N327" i="2"/>
  <c r="O327" i="2"/>
  <c r="P327" i="2"/>
  <c r="M328" i="2"/>
  <c r="N328" i="2"/>
  <c r="O328" i="2"/>
  <c r="P328" i="2"/>
  <c r="M329" i="2"/>
  <c r="N329" i="2"/>
  <c r="O329" i="2"/>
  <c r="P329" i="2"/>
  <c r="M330" i="2"/>
  <c r="N330" i="2"/>
  <c r="O330" i="2"/>
  <c r="P330" i="2"/>
  <c r="M331" i="2"/>
  <c r="N331" i="2"/>
  <c r="O331" i="2"/>
  <c r="P331" i="2"/>
  <c r="M332" i="2"/>
  <c r="N332" i="2"/>
  <c r="O332" i="2"/>
  <c r="P332" i="2"/>
  <c r="M333" i="2"/>
  <c r="N333" i="2"/>
  <c r="O333" i="2"/>
  <c r="P333" i="2"/>
  <c r="M334" i="2"/>
  <c r="N334" i="2"/>
  <c r="O334" i="2"/>
  <c r="P334" i="2"/>
  <c r="M335" i="2"/>
  <c r="N335" i="2"/>
  <c r="O335" i="2"/>
  <c r="P335" i="2"/>
  <c r="M336" i="2"/>
  <c r="N336" i="2"/>
  <c r="O336" i="2"/>
  <c r="P336" i="2"/>
  <c r="M337" i="2"/>
  <c r="N337" i="2"/>
  <c r="O337" i="2"/>
  <c r="P337" i="2"/>
  <c r="M338" i="2"/>
  <c r="N338" i="2"/>
  <c r="O338" i="2"/>
  <c r="P338" i="2"/>
  <c r="M339" i="2"/>
  <c r="N339" i="2"/>
  <c r="O339" i="2"/>
  <c r="P339" i="2"/>
  <c r="M340" i="2"/>
  <c r="N340" i="2"/>
  <c r="O340" i="2"/>
  <c r="P340" i="2"/>
  <c r="M341" i="2"/>
  <c r="N341" i="2"/>
  <c r="O341" i="2"/>
  <c r="P341" i="2"/>
  <c r="M342" i="2"/>
  <c r="N342" i="2"/>
  <c r="O342" i="2"/>
  <c r="P342" i="2"/>
  <c r="M343" i="2"/>
  <c r="N343" i="2"/>
  <c r="O343" i="2"/>
  <c r="P343" i="2"/>
  <c r="M344" i="2"/>
  <c r="N344" i="2"/>
  <c r="O344" i="2"/>
  <c r="P344" i="2"/>
  <c r="M345" i="2"/>
  <c r="N345" i="2"/>
  <c r="O345" i="2"/>
  <c r="P345" i="2"/>
  <c r="M346" i="2"/>
  <c r="N346" i="2"/>
  <c r="O346" i="2"/>
  <c r="P346" i="2"/>
  <c r="M347" i="2"/>
  <c r="N347" i="2"/>
  <c r="O347" i="2"/>
  <c r="P347" i="2"/>
  <c r="M348" i="2"/>
  <c r="N348" i="2"/>
  <c r="O348" i="2"/>
  <c r="P348" i="2"/>
  <c r="M349" i="2"/>
  <c r="N349" i="2"/>
  <c r="O349" i="2"/>
  <c r="P349" i="2"/>
  <c r="M350" i="2"/>
  <c r="N350" i="2"/>
  <c r="O350" i="2"/>
  <c r="P350" i="2"/>
  <c r="M351" i="2"/>
  <c r="N351" i="2"/>
  <c r="O351" i="2"/>
  <c r="P351" i="2"/>
  <c r="M352" i="2"/>
  <c r="N352" i="2"/>
  <c r="O352" i="2"/>
  <c r="P352" i="2"/>
  <c r="M353" i="2"/>
  <c r="N353" i="2"/>
  <c r="O353" i="2"/>
  <c r="P353" i="2"/>
  <c r="M354" i="2"/>
  <c r="N354" i="2"/>
  <c r="O354" i="2"/>
  <c r="P354" i="2"/>
  <c r="M355" i="2"/>
  <c r="N355" i="2"/>
  <c r="O355" i="2"/>
  <c r="P355" i="2"/>
  <c r="M356" i="2"/>
  <c r="N356" i="2"/>
  <c r="O356" i="2"/>
  <c r="P356" i="2"/>
  <c r="M357" i="2"/>
  <c r="N357" i="2"/>
  <c r="O357" i="2"/>
  <c r="P357" i="2"/>
  <c r="M358" i="2"/>
  <c r="N358" i="2"/>
  <c r="O358" i="2"/>
  <c r="P358" i="2"/>
  <c r="M359" i="2"/>
  <c r="N359" i="2"/>
  <c r="O359" i="2"/>
  <c r="P359" i="2"/>
  <c r="M360" i="2"/>
  <c r="N360" i="2"/>
  <c r="O360" i="2"/>
  <c r="P360" i="2"/>
  <c r="M361" i="2"/>
  <c r="N361" i="2"/>
  <c r="O361" i="2"/>
  <c r="P361" i="2"/>
  <c r="M362" i="2"/>
  <c r="N362" i="2"/>
  <c r="O362" i="2"/>
  <c r="P362" i="2"/>
  <c r="M363" i="2"/>
  <c r="N363" i="2"/>
  <c r="O363" i="2"/>
  <c r="P363" i="2"/>
  <c r="M364" i="2"/>
  <c r="N364" i="2"/>
  <c r="O364" i="2"/>
  <c r="P364" i="2"/>
  <c r="M365" i="2"/>
  <c r="N365" i="2"/>
  <c r="O365" i="2"/>
  <c r="P365" i="2"/>
  <c r="M366" i="2"/>
  <c r="N366" i="2"/>
  <c r="O366" i="2"/>
  <c r="P366" i="2"/>
  <c r="M367" i="2"/>
  <c r="N367" i="2"/>
  <c r="O367" i="2"/>
  <c r="P367" i="2"/>
  <c r="M368" i="2"/>
  <c r="N368" i="2"/>
  <c r="O368" i="2"/>
  <c r="P368" i="2"/>
  <c r="M369" i="2"/>
  <c r="N369" i="2"/>
  <c r="O369" i="2"/>
  <c r="P369" i="2"/>
  <c r="M370" i="2"/>
  <c r="N370" i="2"/>
  <c r="O370" i="2"/>
  <c r="P370" i="2"/>
  <c r="M371" i="2"/>
  <c r="N371" i="2"/>
  <c r="O371" i="2"/>
  <c r="P371" i="2"/>
  <c r="M372" i="2"/>
  <c r="N372" i="2"/>
  <c r="O372" i="2"/>
  <c r="P372" i="2"/>
  <c r="M373" i="2"/>
  <c r="N373" i="2"/>
  <c r="O373" i="2"/>
  <c r="P373" i="2"/>
  <c r="M374" i="2"/>
  <c r="N374" i="2"/>
  <c r="O374" i="2"/>
  <c r="P374" i="2"/>
  <c r="M375" i="2"/>
  <c r="N375" i="2"/>
  <c r="O375" i="2"/>
  <c r="P375" i="2"/>
  <c r="M376" i="2"/>
  <c r="N376" i="2"/>
  <c r="O376" i="2"/>
  <c r="P376" i="2"/>
  <c r="M377" i="2"/>
  <c r="N377" i="2"/>
  <c r="O377" i="2"/>
  <c r="P377" i="2"/>
  <c r="M378" i="2"/>
  <c r="N378" i="2"/>
  <c r="O378" i="2"/>
  <c r="P378" i="2"/>
  <c r="M379" i="2"/>
  <c r="N379" i="2"/>
  <c r="O379" i="2"/>
  <c r="P379" i="2"/>
  <c r="M380" i="2"/>
  <c r="N380" i="2"/>
  <c r="O380" i="2"/>
  <c r="P380" i="2"/>
  <c r="M381" i="2"/>
  <c r="N381" i="2"/>
  <c r="O381" i="2"/>
  <c r="P381" i="2"/>
  <c r="M382" i="2"/>
  <c r="N382" i="2"/>
  <c r="O382" i="2"/>
  <c r="P382" i="2"/>
  <c r="M383" i="2"/>
  <c r="N383" i="2"/>
  <c r="O383" i="2"/>
  <c r="P383" i="2"/>
  <c r="M384" i="2"/>
  <c r="N384" i="2"/>
  <c r="O384" i="2"/>
  <c r="P384" i="2"/>
  <c r="M385" i="2"/>
  <c r="N385" i="2"/>
  <c r="O385" i="2"/>
  <c r="P385" i="2"/>
  <c r="M386" i="2"/>
  <c r="N386" i="2"/>
  <c r="O386" i="2"/>
  <c r="P386" i="2"/>
  <c r="M387" i="2"/>
  <c r="N387" i="2"/>
  <c r="O387" i="2"/>
  <c r="P387" i="2"/>
  <c r="M388" i="2"/>
  <c r="N388" i="2"/>
  <c r="O388" i="2"/>
  <c r="P388" i="2"/>
  <c r="M389" i="2"/>
  <c r="N389" i="2"/>
  <c r="O389" i="2"/>
  <c r="P389" i="2"/>
  <c r="M390" i="2"/>
  <c r="N390" i="2"/>
  <c r="O390" i="2"/>
  <c r="P390" i="2"/>
  <c r="M391" i="2"/>
  <c r="N391" i="2"/>
  <c r="O391" i="2"/>
  <c r="P391" i="2"/>
  <c r="M392" i="2"/>
  <c r="N392" i="2"/>
  <c r="O392" i="2"/>
  <c r="P392" i="2"/>
  <c r="M393" i="2"/>
  <c r="N393" i="2"/>
  <c r="O393" i="2"/>
  <c r="P393" i="2"/>
  <c r="M394" i="2"/>
  <c r="N394" i="2"/>
  <c r="O394" i="2"/>
  <c r="P394" i="2"/>
  <c r="M395" i="2"/>
  <c r="N395" i="2"/>
  <c r="O395" i="2"/>
  <c r="P395" i="2"/>
  <c r="M396" i="2"/>
  <c r="N396" i="2"/>
  <c r="O396" i="2"/>
  <c r="P396" i="2"/>
  <c r="M397" i="2"/>
  <c r="N397" i="2"/>
  <c r="O397" i="2"/>
  <c r="P397" i="2"/>
  <c r="M398" i="2"/>
  <c r="N398" i="2"/>
  <c r="O398" i="2"/>
  <c r="P398" i="2"/>
  <c r="M399" i="2"/>
  <c r="N399" i="2"/>
  <c r="O399" i="2"/>
  <c r="P399" i="2"/>
  <c r="M400" i="2"/>
  <c r="N400" i="2"/>
  <c r="O400" i="2"/>
  <c r="P400" i="2"/>
  <c r="M401" i="2"/>
  <c r="N401" i="2"/>
  <c r="O401" i="2"/>
  <c r="P401" i="2"/>
  <c r="M402" i="2"/>
  <c r="N402" i="2"/>
  <c r="O402" i="2"/>
  <c r="P402" i="2"/>
  <c r="M403" i="2"/>
  <c r="N403" i="2"/>
  <c r="O403" i="2"/>
  <c r="P403" i="2"/>
  <c r="M404" i="2"/>
  <c r="N404" i="2"/>
  <c r="O404" i="2"/>
  <c r="P404" i="2"/>
  <c r="M405" i="2"/>
  <c r="N405" i="2"/>
  <c r="O405" i="2"/>
  <c r="P405" i="2"/>
  <c r="M406" i="2"/>
  <c r="N406" i="2"/>
  <c r="O406" i="2"/>
  <c r="P406" i="2"/>
  <c r="M407" i="2"/>
  <c r="N407" i="2"/>
  <c r="O407" i="2"/>
  <c r="P407" i="2"/>
  <c r="M408" i="2"/>
  <c r="N408" i="2"/>
  <c r="O408" i="2"/>
  <c r="P408" i="2"/>
  <c r="M409" i="2"/>
  <c r="N409" i="2"/>
  <c r="O409" i="2"/>
  <c r="P409" i="2"/>
  <c r="M410" i="2"/>
  <c r="N410" i="2"/>
  <c r="O410" i="2"/>
  <c r="P410" i="2"/>
  <c r="M411" i="2"/>
  <c r="N411" i="2"/>
  <c r="O411" i="2"/>
  <c r="P411" i="2"/>
  <c r="M412" i="2"/>
  <c r="N412" i="2"/>
  <c r="O412" i="2"/>
  <c r="P412" i="2"/>
  <c r="M413" i="2"/>
  <c r="N413" i="2"/>
  <c r="O413" i="2"/>
  <c r="P413" i="2"/>
  <c r="M414" i="2"/>
  <c r="N414" i="2"/>
  <c r="O414" i="2"/>
  <c r="P414" i="2"/>
  <c r="M415" i="2"/>
  <c r="N415" i="2"/>
  <c r="O415" i="2"/>
  <c r="P415" i="2"/>
  <c r="M416" i="2"/>
  <c r="N416" i="2"/>
  <c r="O416" i="2"/>
  <c r="P416" i="2"/>
  <c r="M417" i="2"/>
  <c r="N417" i="2"/>
  <c r="O417" i="2"/>
  <c r="P417" i="2"/>
  <c r="M418" i="2"/>
  <c r="N418" i="2"/>
  <c r="O418" i="2"/>
  <c r="P418" i="2"/>
  <c r="M419" i="2"/>
  <c r="N419" i="2"/>
  <c r="O419" i="2"/>
  <c r="P419" i="2"/>
  <c r="M420" i="2"/>
  <c r="N420" i="2"/>
  <c r="O420" i="2"/>
  <c r="P420" i="2"/>
  <c r="M421" i="2"/>
  <c r="N421" i="2"/>
  <c r="O421" i="2"/>
  <c r="P421" i="2"/>
  <c r="M422" i="2"/>
  <c r="N422" i="2"/>
  <c r="O422" i="2"/>
  <c r="P422" i="2"/>
  <c r="M423" i="2"/>
  <c r="N423" i="2"/>
  <c r="O423" i="2"/>
  <c r="P423" i="2"/>
  <c r="M424" i="2"/>
  <c r="N424" i="2"/>
  <c r="O424" i="2"/>
  <c r="P424" i="2"/>
  <c r="M425" i="2"/>
  <c r="N425" i="2"/>
  <c r="O425" i="2"/>
  <c r="P425" i="2"/>
  <c r="M426" i="2"/>
  <c r="N426" i="2"/>
  <c r="O426" i="2"/>
  <c r="P426" i="2"/>
  <c r="M427" i="2"/>
  <c r="N427" i="2"/>
  <c r="O427" i="2"/>
  <c r="P427" i="2"/>
  <c r="M428" i="2"/>
  <c r="N428" i="2"/>
  <c r="O428" i="2"/>
  <c r="P428" i="2"/>
  <c r="M429" i="2"/>
  <c r="N429" i="2"/>
  <c r="O429" i="2"/>
  <c r="P429" i="2"/>
  <c r="M430" i="2"/>
  <c r="N430" i="2"/>
  <c r="O430" i="2"/>
  <c r="P430" i="2"/>
  <c r="M431" i="2"/>
  <c r="N431" i="2"/>
  <c r="O431" i="2"/>
  <c r="P431" i="2"/>
  <c r="M432" i="2"/>
  <c r="N432" i="2"/>
  <c r="O432" i="2"/>
  <c r="P432" i="2"/>
  <c r="M433" i="2"/>
  <c r="N433" i="2"/>
  <c r="O433" i="2"/>
  <c r="P433" i="2"/>
  <c r="M434" i="2"/>
  <c r="N434" i="2"/>
  <c r="O434" i="2"/>
  <c r="P434" i="2"/>
  <c r="M435" i="2"/>
  <c r="N435" i="2"/>
  <c r="O435" i="2"/>
  <c r="P435" i="2"/>
  <c r="M436" i="2"/>
  <c r="N436" i="2"/>
  <c r="O436" i="2"/>
  <c r="P436" i="2"/>
  <c r="M437" i="2"/>
  <c r="N437" i="2"/>
  <c r="O437" i="2"/>
  <c r="P437" i="2"/>
  <c r="M438" i="2"/>
  <c r="N438" i="2"/>
  <c r="O438" i="2"/>
  <c r="P438" i="2"/>
  <c r="M439" i="2"/>
  <c r="N439" i="2"/>
  <c r="O439" i="2"/>
  <c r="P439" i="2"/>
  <c r="M440" i="2"/>
  <c r="N440" i="2"/>
  <c r="O440" i="2"/>
  <c r="P440" i="2"/>
  <c r="M441" i="2"/>
  <c r="N441" i="2"/>
  <c r="O441" i="2"/>
  <c r="P441" i="2"/>
  <c r="M442" i="2"/>
  <c r="N442" i="2"/>
  <c r="O442" i="2"/>
  <c r="P442" i="2"/>
  <c r="M443" i="2"/>
  <c r="N443" i="2"/>
  <c r="O443" i="2"/>
  <c r="P443" i="2"/>
  <c r="M444" i="2"/>
  <c r="N444" i="2"/>
  <c r="O444" i="2"/>
  <c r="P444" i="2"/>
  <c r="M445" i="2"/>
  <c r="N445" i="2"/>
  <c r="O445" i="2"/>
  <c r="P445" i="2"/>
  <c r="M446" i="2"/>
  <c r="N446" i="2"/>
  <c r="O446" i="2"/>
  <c r="P446" i="2"/>
  <c r="M447" i="2"/>
  <c r="N447" i="2"/>
  <c r="O447" i="2"/>
  <c r="P447" i="2"/>
  <c r="M448" i="2"/>
  <c r="N448" i="2"/>
  <c r="O448" i="2"/>
  <c r="P448" i="2"/>
  <c r="M449" i="2"/>
  <c r="N449" i="2"/>
  <c r="O449" i="2"/>
  <c r="P449" i="2"/>
  <c r="M450" i="2"/>
  <c r="N450" i="2"/>
  <c r="O450" i="2"/>
  <c r="P450" i="2"/>
  <c r="M451" i="2"/>
  <c r="N451" i="2"/>
  <c r="O451" i="2"/>
  <c r="P451" i="2"/>
  <c r="M452" i="2"/>
  <c r="N452" i="2"/>
  <c r="O452" i="2"/>
  <c r="P452" i="2"/>
  <c r="M453" i="2"/>
  <c r="N453" i="2"/>
  <c r="O453" i="2"/>
  <c r="P453" i="2"/>
  <c r="M454" i="2"/>
  <c r="N454" i="2"/>
  <c r="O454" i="2"/>
  <c r="P454" i="2"/>
  <c r="M455" i="2"/>
  <c r="N455" i="2"/>
  <c r="O455" i="2"/>
  <c r="P455" i="2"/>
  <c r="M456" i="2"/>
  <c r="N456" i="2"/>
  <c r="O456" i="2"/>
  <c r="P456" i="2"/>
  <c r="M457" i="2"/>
  <c r="N457" i="2"/>
  <c r="O457" i="2"/>
  <c r="P457" i="2"/>
  <c r="M458" i="2"/>
  <c r="N458" i="2"/>
  <c r="O458" i="2"/>
  <c r="P458" i="2"/>
  <c r="M459" i="2"/>
  <c r="N459" i="2"/>
  <c r="O459" i="2"/>
  <c r="P459" i="2"/>
  <c r="M460" i="2"/>
  <c r="N460" i="2"/>
  <c r="O460" i="2"/>
  <c r="P460" i="2"/>
  <c r="M461" i="2"/>
  <c r="N461" i="2"/>
  <c r="O461" i="2"/>
  <c r="P461" i="2"/>
  <c r="M462" i="2"/>
  <c r="N462" i="2"/>
  <c r="O462" i="2"/>
  <c r="P462" i="2"/>
  <c r="M463" i="2"/>
  <c r="N463" i="2"/>
  <c r="O463" i="2"/>
  <c r="P463" i="2"/>
  <c r="M464" i="2"/>
  <c r="N464" i="2"/>
  <c r="O464" i="2"/>
  <c r="P464" i="2"/>
  <c r="M465" i="2"/>
  <c r="N465" i="2"/>
  <c r="O465" i="2"/>
  <c r="P465" i="2"/>
  <c r="M466" i="2"/>
  <c r="N466" i="2"/>
  <c r="O466" i="2"/>
  <c r="P466" i="2"/>
  <c r="M467" i="2"/>
  <c r="N467" i="2"/>
  <c r="O467" i="2"/>
  <c r="P467" i="2"/>
  <c r="M468" i="2"/>
  <c r="N468" i="2"/>
  <c r="O468" i="2"/>
  <c r="P468" i="2"/>
  <c r="M469" i="2"/>
  <c r="N469" i="2"/>
  <c r="O469" i="2"/>
  <c r="P469" i="2"/>
  <c r="M470" i="2"/>
  <c r="N470" i="2"/>
  <c r="O470" i="2"/>
  <c r="P470" i="2"/>
  <c r="M471" i="2"/>
  <c r="N471" i="2"/>
  <c r="O471" i="2"/>
  <c r="P471" i="2"/>
  <c r="M472" i="2"/>
  <c r="N472" i="2"/>
  <c r="O472" i="2"/>
  <c r="P472" i="2"/>
  <c r="M473" i="2"/>
  <c r="N473" i="2"/>
  <c r="O473" i="2"/>
  <c r="P473" i="2"/>
  <c r="M474" i="2"/>
  <c r="N474" i="2"/>
  <c r="O474" i="2"/>
  <c r="P474" i="2"/>
  <c r="M475" i="2"/>
  <c r="N475" i="2"/>
  <c r="O475" i="2"/>
  <c r="P475" i="2"/>
  <c r="M476" i="2"/>
  <c r="N476" i="2"/>
  <c r="O476" i="2"/>
  <c r="P476" i="2"/>
  <c r="M477" i="2"/>
  <c r="N477" i="2"/>
  <c r="O477" i="2"/>
  <c r="P477" i="2"/>
  <c r="M478" i="2"/>
  <c r="N478" i="2"/>
  <c r="O478" i="2"/>
  <c r="P478" i="2"/>
  <c r="M479" i="2"/>
  <c r="N479" i="2"/>
  <c r="O479" i="2"/>
  <c r="P479" i="2"/>
  <c r="M480" i="2"/>
  <c r="N480" i="2"/>
  <c r="O480" i="2"/>
  <c r="P480" i="2"/>
  <c r="M481" i="2"/>
  <c r="N481" i="2"/>
  <c r="O481" i="2"/>
  <c r="P481" i="2"/>
  <c r="M482" i="2"/>
  <c r="N482" i="2"/>
  <c r="O482" i="2"/>
  <c r="P482" i="2"/>
  <c r="M483" i="2"/>
  <c r="N483" i="2"/>
  <c r="O483" i="2"/>
  <c r="P483" i="2"/>
  <c r="M484" i="2"/>
  <c r="N484" i="2"/>
  <c r="O484" i="2"/>
  <c r="P484" i="2"/>
  <c r="M485" i="2"/>
  <c r="N485" i="2"/>
  <c r="O485" i="2"/>
  <c r="P485" i="2"/>
  <c r="M486" i="2"/>
  <c r="N486" i="2"/>
  <c r="O486" i="2"/>
  <c r="P486" i="2"/>
  <c r="M487" i="2"/>
  <c r="N487" i="2"/>
  <c r="O487" i="2"/>
  <c r="P487" i="2"/>
  <c r="M488" i="2"/>
  <c r="N488" i="2"/>
  <c r="O488" i="2"/>
  <c r="P488" i="2"/>
  <c r="M489" i="2"/>
  <c r="N489" i="2"/>
  <c r="O489" i="2"/>
  <c r="P489" i="2"/>
  <c r="M490" i="2"/>
  <c r="N490" i="2"/>
  <c r="O490" i="2"/>
  <c r="P490" i="2"/>
  <c r="M491" i="2"/>
  <c r="N491" i="2"/>
  <c r="O491" i="2"/>
  <c r="P491" i="2"/>
  <c r="M492" i="2"/>
  <c r="N492" i="2"/>
  <c r="O492" i="2"/>
  <c r="P492" i="2"/>
  <c r="M493" i="2"/>
  <c r="N493" i="2"/>
  <c r="O493" i="2"/>
  <c r="P493" i="2"/>
  <c r="M494" i="2"/>
  <c r="N494" i="2"/>
  <c r="O494" i="2"/>
  <c r="P494" i="2"/>
  <c r="M495" i="2"/>
  <c r="N495" i="2"/>
  <c r="O495" i="2"/>
  <c r="P495" i="2"/>
  <c r="M496" i="2"/>
  <c r="N496" i="2"/>
  <c r="O496" i="2"/>
  <c r="P496" i="2"/>
  <c r="M497" i="2"/>
  <c r="N497" i="2"/>
  <c r="O497" i="2"/>
  <c r="P497" i="2"/>
  <c r="M498" i="2"/>
  <c r="N498" i="2"/>
  <c r="O498" i="2"/>
  <c r="P498" i="2"/>
  <c r="M499" i="2"/>
  <c r="N499" i="2"/>
  <c r="O499" i="2"/>
  <c r="P499" i="2"/>
  <c r="M500" i="2"/>
  <c r="N500" i="2"/>
  <c r="O500" i="2"/>
  <c r="P500" i="2"/>
  <c r="M501" i="2"/>
  <c r="N501" i="2"/>
  <c r="O501" i="2"/>
  <c r="P501" i="2"/>
  <c r="M502" i="2"/>
  <c r="N502" i="2"/>
  <c r="O502" i="2"/>
  <c r="P502" i="2"/>
  <c r="M503" i="2"/>
  <c r="N503" i="2"/>
  <c r="O503" i="2"/>
  <c r="P503" i="2"/>
  <c r="M504" i="2"/>
  <c r="N504" i="2"/>
  <c r="O504" i="2"/>
  <c r="P504" i="2"/>
  <c r="M505" i="2"/>
  <c r="N505" i="2"/>
  <c r="O505" i="2"/>
  <c r="P505" i="2"/>
  <c r="M506" i="2"/>
  <c r="N506" i="2"/>
  <c r="O506" i="2"/>
  <c r="P506" i="2"/>
  <c r="M507" i="2"/>
  <c r="N507" i="2"/>
  <c r="O507" i="2"/>
  <c r="P507" i="2"/>
  <c r="M508" i="2"/>
  <c r="N508" i="2"/>
  <c r="O508" i="2"/>
  <c r="P508" i="2"/>
  <c r="M509" i="2"/>
  <c r="N509" i="2"/>
  <c r="O509" i="2"/>
  <c r="P509" i="2"/>
  <c r="M510" i="2"/>
  <c r="N510" i="2"/>
  <c r="O510" i="2"/>
  <c r="P510" i="2"/>
  <c r="M511" i="2"/>
  <c r="N511" i="2"/>
  <c r="O511" i="2"/>
  <c r="P511" i="2"/>
  <c r="M512" i="2"/>
  <c r="N512" i="2"/>
  <c r="O512" i="2"/>
  <c r="P512" i="2"/>
  <c r="M513" i="2"/>
  <c r="N513" i="2"/>
  <c r="O513" i="2"/>
  <c r="P513" i="2"/>
  <c r="M514" i="2"/>
  <c r="N514" i="2"/>
  <c r="O514" i="2"/>
  <c r="P514" i="2"/>
  <c r="M515" i="2"/>
  <c r="N515" i="2"/>
  <c r="O515" i="2"/>
  <c r="P515" i="2"/>
  <c r="M516" i="2"/>
  <c r="N516" i="2"/>
  <c r="O516" i="2"/>
  <c r="P516" i="2"/>
  <c r="M517" i="2"/>
  <c r="N517" i="2"/>
  <c r="O517" i="2"/>
  <c r="P517" i="2"/>
  <c r="M518" i="2"/>
  <c r="N518" i="2"/>
  <c r="O518" i="2"/>
  <c r="P518" i="2"/>
  <c r="M519" i="2"/>
  <c r="N519" i="2"/>
  <c r="O519" i="2"/>
  <c r="P519" i="2"/>
  <c r="M520" i="2"/>
  <c r="N520" i="2"/>
  <c r="O520" i="2"/>
  <c r="P520" i="2"/>
  <c r="M521" i="2"/>
  <c r="N521" i="2"/>
  <c r="O521" i="2"/>
  <c r="P521" i="2"/>
  <c r="M522" i="2"/>
  <c r="N522" i="2"/>
  <c r="O522" i="2"/>
  <c r="P522" i="2"/>
  <c r="M523" i="2"/>
  <c r="N523" i="2"/>
  <c r="O523" i="2"/>
  <c r="P523" i="2"/>
  <c r="M524" i="2"/>
  <c r="N524" i="2"/>
  <c r="O524" i="2"/>
  <c r="P524" i="2"/>
  <c r="M525" i="2"/>
  <c r="N525" i="2"/>
  <c r="O525" i="2"/>
  <c r="P525" i="2"/>
  <c r="M526" i="2"/>
  <c r="N526" i="2"/>
  <c r="O526" i="2"/>
  <c r="P526" i="2"/>
  <c r="M527" i="2"/>
  <c r="N527" i="2"/>
  <c r="O527" i="2"/>
  <c r="P527" i="2"/>
  <c r="M528" i="2"/>
  <c r="N528" i="2"/>
  <c r="O528" i="2"/>
  <c r="P528" i="2"/>
  <c r="M529" i="2"/>
  <c r="N529" i="2"/>
  <c r="O529" i="2"/>
  <c r="P529" i="2"/>
  <c r="M530" i="2"/>
  <c r="N530" i="2"/>
  <c r="O530" i="2"/>
  <c r="P530" i="2"/>
  <c r="M531" i="2"/>
  <c r="N531" i="2"/>
  <c r="O531" i="2"/>
  <c r="P531" i="2"/>
  <c r="M532" i="2"/>
  <c r="N532" i="2"/>
  <c r="O532" i="2"/>
  <c r="P532" i="2"/>
  <c r="M533" i="2"/>
  <c r="N533" i="2"/>
  <c r="O533" i="2"/>
  <c r="P533" i="2"/>
  <c r="M534" i="2"/>
  <c r="N534" i="2"/>
  <c r="O534" i="2"/>
  <c r="P534" i="2"/>
  <c r="M535" i="2"/>
  <c r="N535" i="2"/>
  <c r="O535" i="2"/>
  <c r="P535" i="2"/>
  <c r="M536" i="2"/>
  <c r="N536" i="2"/>
  <c r="O536" i="2"/>
  <c r="P536" i="2"/>
  <c r="M537" i="2"/>
  <c r="N537" i="2"/>
  <c r="O537" i="2"/>
  <c r="P537" i="2"/>
  <c r="M538" i="2"/>
  <c r="N538" i="2"/>
  <c r="O538" i="2"/>
  <c r="P538" i="2"/>
  <c r="M539" i="2"/>
  <c r="N539" i="2"/>
  <c r="O539" i="2"/>
  <c r="P539" i="2"/>
  <c r="M540" i="2"/>
  <c r="N540" i="2"/>
  <c r="O540" i="2"/>
  <c r="P540" i="2"/>
  <c r="M541" i="2"/>
  <c r="N541" i="2"/>
  <c r="O541" i="2"/>
  <c r="P541" i="2"/>
  <c r="M542" i="2"/>
  <c r="N542" i="2"/>
  <c r="O542" i="2"/>
  <c r="P542" i="2"/>
  <c r="M543" i="2"/>
  <c r="N543" i="2"/>
  <c r="O543" i="2"/>
  <c r="P543" i="2"/>
  <c r="M544" i="2"/>
  <c r="N544" i="2"/>
  <c r="O544" i="2"/>
  <c r="P544" i="2"/>
  <c r="M545" i="2"/>
  <c r="N545" i="2"/>
  <c r="O545" i="2"/>
  <c r="P545" i="2"/>
  <c r="M546" i="2"/>
  <c r="N546" i="2"/>
  <c r="O546" i="2"/>
  <c r="P546" i="2"/>
  <c r="M547" i="2"/>
  <c r="N547" i="2"/>
  <c r="O547" i="2"/>
  <c r="P547" i="2"/>
  <c r="M548" i="2"/>
  <c r="N548" i="2"/>
  <c r="O548" i="2"/>
  <c r="P548" i="2"/>
  <c r="M549" i="2"/>
  <c r="N549" i="2"/>
  <c r="O549" i="2"/>
  <c r="P549" i="2"/>
  <c r="M550" i="2"/>
  <c r="N550" i="2"/>
  <c r="O550" i="2"/>
  <c r="P550" i="2"/>
  <c r="M551" i="2"/>
  <c r="N551" i="2"/>
  <c r="O551" i="2"/>
  <c r="P551" i="2"/>
  <c r="M552" i="2"/>
  <c r="N552" i="2"/>
  <c r="O552" i="2"/>
  <c r="P552" i="2"/>
  <c r="M553" i="2"/>
  <c r="N553" i="2"/>
  <c r="O553" i="2"/>
  <c r="P553" i="2"/>
  <c r="M554" i="2"/>
  <c r="N554" i="2"/>
  <c r="O554" i="2"/>
  <c r="P554" i="2"/>
  <c r="M555" i="2"/>
  <c r="N555" i="2"/>
  <c r="O555" i="2"/>
  <c r="P555" i="2"/>
  <c r="M556" i="2"/>
  <c r="N556" i="2"/>
  <c r="O556" i="2"/>
  <c r="P556" i="2"/>
  <c r="M557" i="2"/>
  <c r="N557" i="2"/>
  <c r="O557" i="2"/>
  <c r="P557" i="2"/>
  <c r="M558" i="2"/>
  <c r="N558" i="2"/>
  <c r="O558" i="2"/>
  <c r="P558" i="2"/>
  <c r="M559" i="2"/>
  <c r="N559" i="2"/>
  <c r="O559" i="2"/>
  <c r="P559" i="2"/>
  <c r="M560" i="2"/>
  <c r="N560" i="2"/>
  <c r="O560" i="2"/>
  <c r="P560" i="2"/>
  <c r="M561" i="2"/>
  <c r="N561" i="2"/>
  <c r="O561" i="2"/>
  <c r="P561" i="2"/>
  <c r="M562" i="2"/>
  <c r="N562" i="2"/>
  <c r="O562" i="2"/>
  <c r="P562" i="2"/>
  <c r="M563" i="2"/>
  <c r="N563" i="2"/>
  <c r="O563" i="2"/>
  <c r="P563" i="2"/>
  <c r="M564" i="2"/>
  <c r="N564" i="2"/>
  <c r="O564" i="2"/>
  <c r="P564" i="2"/>
  <c r="M565" i="2"/>
  <c r="N565" i="2"/>
  <c r="O565" i="2"/>
  <c r="P565" i="2"/>
  <c r="M566" i="2"/>
  <c r="N566" i="2"/>
  <c r="O566" i="2"/>
  <c r="P566" i="2"/>
  <c r="M567" i="2"/>
  <c r="N567" i="2"/>
  <c r="O567" i="2"/>
  <c r="P567" i="2"/>
  <c r="M568" i="2"/>
  <c r="N568" i="2"/>
  <c r="O568" i="2"/>
  <c r="P568" i="2"/>
  <c r="M569" i="2"/>
  <c r="N569" i="2"/>
  <c r="O569" i="2"/>
  <c r="P569" i="2"/>
  <c r="M570" i="2"/>
  <c r="N570" i="2"/>
  <c r="O570" i="2"/>
  <c r="P570" i="2"/>
  <c r="M571" i="2"/>
  <c r="N571" i="2"/>
  <c r="O571" i="2"/>
  <c r="P571" i="2"/>
  <c r="M572" i="2"/>
  <c r="N572" i="2"/>
  <c r="O572" i="2"/>
  <c r="P572" i="2"/>
  <c r="M573" i="2"/>
  <c r="N573" i="2"/>
  <c r="O573" i="2"/>
  <c r="P573" i="2"/>
  <c r="M574" i="2"/>
  <c r="N574" i="2"/>
  <c r="O574" i="2"/>
  <c r="P574" i="2"/>
  <c r="M575" i="2"/>
  <c r="N575" i="2"/>
  <c r="O575" i="2"/>
  <c r="P575" i="2"/>
  <c r="M576" i="2"/>
  <c r="N576" i="2"/>
  <c r="O576" i="2"/>
  <c r="P576" i="2"/>
  <c r="M577" i="2"/>
  <c r="N577" i="2"/>
  <c r="O577" i="2"/>
  <c r="P577" i="2"/>
  <c r="M578" i="2"/>
  <c r="N578" i="2"/>
  <c r="O578" i="2"/>
  <c r="P578" i="2"/>
  <c r="M579" i="2"/>
  <c r="N579" i="2"/>
  <c r="O579" i="2"/>
  <c r="P579" i="2"/>
  <c r="M580" i="2"/>
  <c r="N580" i="2"/>
  <c r="O580" i="2"/>
  <c r="P580" i="2"/>
  <c r="M581" i="2"/>
  <c r="N581" i="2"/>
  <c r="O581" i="2"/>
  <c r="P581" i="2"/>
  <c r="M582" i="2"/>
  <c r="N582" i="2"/>
  <c r="O582" i="2"/>
  <c r="P582" i="2"/>
  <c r="M583" i="2"/>
  <c r="N583" i="2"/>
  <c r="O583" i="2"/>
  <c r="P583" i="2"/>
  <c r="M584" i="2"/>
  <c r="N584" i="2"/>
  <c r="O584" i="2"/>
  <c r="P584" i="2"/>
  <c r="M585" i="2"/>
  <c r="N585" i="2"/>
  <c r="O585" i="2"/>
  <c r="P585" i="2"/>
  <c r="M586" i="2"/>
  <c r="N586" i="2"/>
  <c r="O586" i="2"/>
  <c r="P586" i="2"/>
  <c r="M587" i="2"/>
  <c r="N587" i="2"/>
  <c r="O587" i="2"/>
  <c r="P587" i="2"/>
  <c r="M588" i="2"/>
  <c r="N588" i="2"/>
  <c r="O588" i="2"/>
  <c r="P588" i="2"/>
  <c r="M589" i="2"/>
  <c r="N589" i="2"/>
  <c r="O589" i="2"/>
  <c r="P589" i="2"/>
  <c r="M590" i="2"/>
  <c r="N590" i="2"/>
  <c r="O590" i="2"/>
  <c r="P590" i="2"/>
  <c r="M591" i="2"/>
  <c r="N591" i="2"/>
  <c r="O591" i="2"/>
  <c r="P591" i="2"/>
  <c r="M592" i="2"/>
  <c r="N592" i="2"/>
  <c r="O592" i="2"/>
  <c r="P592" i="2"/>
  <c r="M593" i="2"/>
  <c r="N593" i="2"/>
  <c r="O593" i="2"/>
  <c r="P593" i="2"/>
  <c r="M594" i="2"/>
  <c r="N594" i="2"/>
  <c r="O594" i="2"/>
  <c r="P594" i="2"/>
  <c r="M595" i="2"/>
  <c r="N595" i="2"/>
  <c r="O595" i="2"/>
  <c r="P595" i="2"/>
  <c r="M596" i="2"/>
  <c r="N596" i="2"/>
  <c r="O596" i="2"/>
  <c r="P596" i="2"/>
  <c r="M597" i="2"/>
  <c r="N597" i="2"/>
  <c r="O597" i="2"/>
  <c r="P597" i="2"/>
  <c r="M598" i="2"/>
  <c r="N598" i="2"/>
  <c r="O598" i="2"/>
  <c r="P598" i="2"/>
  <c r="M599" i="2"/>
  <c r="N599" i="2"/>
  <c r="O599" i="2"/>
  <c r="P599" i="2"/>
  <c r="M600" i="2"/>
  <c r="N600" i="2"/>
  <c r="O600" i="2"/>
  <c r="P600" i="2"/>
  <c r="M601" i="2"/>
  <c r="N601" i="2"/>
  <c r="O601" i="2"/>
  <c r="P601" i="2"/>
  <c r="M602" i="2"/>
  <c r="N602" i="2"/>
  <c r="O602" i="2"/>
  <c r="P602" i="2"/>
  <c r="M603" i="2"/>
  <c r="N603" i="2"/>
  <c r="O603" i="2"/>
  <c r="P603" i="2"/>
  <c r="M604" i="2"/>
  <c r="N604" i="2"/>
  <c r="O604" i="2"/>
  <c r="P604" i="2"/>
  <c r="M605" i="2"/>
  <c r="N605" i="2"/>
  <c r="O605" i="2"/>
  <c r="P605" i="2"/>
  <c r="M606" i="2"/>
  <c r="N606" i="2"/>
  <c r="O606" i="2"/>
  <c r="P606" i="2"/>
  <c r="M607" i="2"/>
  <c r="N607" i="2"/>
  <c r="O607" i="2"/>
  <c r="P607" i="2"/>
  <c r="M608" i="2"/>
  <c r="N608" i="2"/>
  <c r="O608" i="2"/>
  <c r="P608" i="2"/>
  <c r="M609" i="2"/>
  <c r="N609" i="2"/>
  <c r="O609" i="2"/>
  <c r="P609" i="2"/>
  <c r="M610" i="2"/>
  <c r="N610" i="2"/>
  <c r="O610" i="2"/>
  <c r="P610" i="2"/>
  <c r="M611" i="2"/>
  <c r="N611" i="2"/>
  <c r="O611" i="2"/>
  <c r="P611" i="2"/>
  <c r="M612" i="2"/>
  <c r="N612" i="2"/>
  <c r="O612" i="2"/>
  <c r="P612" i="2"/>
  <c r="M613" i="2"/>
  <c r="N613" i="2"/>
  <c r="O613" i="2"/>
  <c r="P613" i="2"/>
  <c r="M614" i="2"/>
  <c r="N614" i="2"/>
  <c r="O614" i="2"/>
  <c r="P614" i="2"/>
  <c r="M615" i="2"/>
  <c r="N615" i="2"/>
  <c r="O615" i="2"/>
  <c r="P615" i="2"/>
  <c r="M616" i="2"/>
  <c r="N616" i="2"/>
  <c r="O616" i="2"/>
  <c r="P616" i="2"/>
  <c r="M617" i="2"/>
  <c r="N617" i="2"/>
  <c r="O617" i="2"/>
  <c r="P617" i="2"/>
  <c r="M618" i="2"/>
  <c r="N618" i="2"/>
  <c r="O618" i="2"/>
  <c r="P618" i="2"/>
  <c r="M619" i="2"/>
  <c r="N619" i="2"/>
  <c r="O619" i="2"/>
  <c r="P619" i="2"/>
  <c r="M620" i="2"/>
  <c r="N620" i="2"/>
  <c r="O620" i="2"/>
  <c r="P620" i="2"/>
  <c r="M621" i="2"/>
  <c r="N621" i="2"/>
  <c r="O621" i="2"/>
  <c r="P621" i="2"/>
  <c r="M622" i="2"/>
  <c r="N622" i="2"/>
  <c r="O622" i="2"/>
  <c r="P622" i="2"/>
  <c r="M623" i="2"/>
  <c r="N623" i="2"/>
  <c r="O623" i="2"/>
  <c r="P623" i="2"/>
  <c r="M624" i="2"/>
  <c r="N624" i="2"/>
  <c r="O624" i="2"/>
  <c r="P624" i="2"/>
  <c r="M625" i="2"/>
  <c r="N625" i="2"/>
  <c r="O625" i="2"/>
  <c r="P625" i="2"/>
  <c r="M626" i="2"/>
  <c r="N626" i="2"/>
  <c r="O626" i="2"/>
  <c r="P626" i="2"/>
  <c r="M627" i="2"/>
  <c r="N627" i="2"/>
  <c r="O627" i="2"/>
  <c r="P627" i="2"/>
  <c r="M628" i="2"/>
  <c r="N628" i="2"/>
  <c r="O628" i="2"/>
  <c r="P628" i="2"/>
  <c r="M629" i="2"/>
  <c r="N629" i="2"/>
  <c r="O629" i="2"/>
  <c r="P629" i="2"/>
  <c r="M630" i="2"/>
  <c r="N630" i="2"/>
  <c r="O630" i="2"/>
  <c r="P630" i="2"/>
  <c r="M631" i="2"/>
  <c r="N631" i="2"/>
  <c r="O631" i="2"/>
  <c r="P631" i="2"/>
  <c r="M632" i="2"/>
  <c r="N632" i="2"/>
  <c r="O632" i="2"/>
  <c r="P632" i="2"/>
  <c r="M633" i="2"/>
  <c r="N633" i="2"/>
  <c r="O633" i="2"/>
  <c r="P633" i="2"/>
  <c r="M634" i="2"/>
  <c r="N634" i="2"/>
  <c r="O634" i="2"/>
  <c r="P634" i="2"/>
  <c r="M635" i="2"/>
  <c r="N635" i="2"/>
  <c r="O635" i="2"/>
  <c r="P635" i="2"/>
  <c r="M636" i="2"/>
  <c r="N636" i="2"/>
  <c r="O636" i="2"/>
  <c r="P636" i="2"/>
  <c r="M637" i="2"/>
  <c r="N637" i="2"/>
  <c r="O637" i="2"/>
  <c r="P637" i="2"/>
  <c r="M638" i="2"/>
  <c r="N638" i="2"/>
  <c r="O638" i="2"/>
  <c r="P638" i="2"/>
  <c r="M639" i="2"/>
  <c r="N639" i="2"/>
  <c r="O639" i="2"/>
  <c r="P639" i="2"/>
  <c r="M640" i="2"/>
  <c r="N640" i="2"/>
  <c r="O640" i="2"/>
  <c r="P640" i="2"/>
  <c r="M641" i="2"/>
  <c r="N641" i="2"/>
  <c r="O641" i="2"/>
  <c r="P641" i="2"/>
  <c r="M642" i="2"/>
  <c r="N642" i="2"/>
  <c r="O642" i="2"/>
  <c r="P642" i="2"/>
  <c r="M643" i="2"/>
  <c r="N643" i="2"/>
  <c r="O643" i="2"/>
  <c r="P643" i="2"/>
  <c r="M644" i="2"/>
  <c r="N644" i="2"/>
  <c r="O644" i="2"/>
  <c r="P644" i="2"/>
  <c r="M645" i="2"/>
  <c r="N645" i="2"/>
  <c r="O645" i="2"/>
  <c r="P645" i="2"/>
  <c r="M646" i="2"/>
  <c r="N646" i="2"/>
  <c r="O646" i="2"/>
  <c r="P646" i="2"/>
  <c r="M647" i="2"/>
  <c r="N647" i="2"/>
  <c r="O647" i="2"/>
  <c r="P647" i="2"/>
  <c r="M648" i="2"/>
  <c r="N648" i="2"/>
  <c r="O648" i="2"/>
  <c r="P648" i="2"/>
  <c r="M649" i="2"/>
  <c r="N649" i="2"/>
  <c r="O649" i="2"/>
  <c r="P649" i="2"/>
  <c r="M650" i="2"/>
  <c r="N650" i="2"/>
  <c r="O650" i="2"/>
  <c r="P650" i="2"/>
  <c r="M651" i="2"/>
  <c r="N651" i="2"/>
  <c r="O651" i="2"/>
  <c r="P651" i="2"/>
  <c r="M652" i="2"/>
  <c r="N652" i="2"/>
  <c r="O652" i="2"/>
  <c r="P652" i="2"/>
  <c r="M653" i="2"/>
  <c r="N653" i="2"/>
  <c r="O653" i="2"/>
  <c r="P653" i="2"/>
  <c r="M654" i="2"/>
  <c r="N654" i="2"/>
  <c r="O654" i="2"/>
  <c r="P654" i="2"/>
  <c r="M655" i="2"/>
  <c r="N655" i="2"/>
  <c r="O655" i="2"/>
  <c r="P655" i="2"/>
  <c r="M657" i="2"/>
  <c r="N657" i="2"/>
  <c r="O657" i="2"/>
  <c r="P657" i="2"/>
  <c r="M658" i="2"/>
  <c r="N658" i="2"/>
  <c r="O658" i="2"/>
  <c r="P658" i="2"/>
  <c r="M659" i="2"/>
  <c r="N659" i="2"/>
  <c r="O659" i="2"/>
  <c r="P659" i="2"/>
  <c r="M660" i="2"/>
  <c r="N660" i="2"/>
  <c r="O660" i="2"/>
  <c r="P660" i="2"/>
  <c r="M662" i="2"/>
  <c r="N662" i="2"/>
  <c r="O662" i="2"/>
  <c r="P662" i="2"/>
  <c r="M663" i="2"/>
  <c r="N663" i="2"/>
  <c r="O663" i="2"/>
  <c r="P663" i="2"/>
  <c r="M664" i="2"/>
  <c r="N664" i="2"/>
  <c r="O664" i="2"/>
  <c r="P664" i="2"/>
  <c r="M666" i="2"/>
  <c r="N666" i="2"/>
  <c r="O666" i="2"/>
  <c r="P666" i="2"/>
  <c r="M667" i="2"/>
  <c r="N667" i="2"/>
  <c r="O667" i="2"/>
  <c r="P667" i="2"/>
  <c r="M670" i="2"/>
  <c r="N670" i="2"/>
  <c r="O670" i="2"/>
  <c r="P670" i="2"/>
  <c r="M671" i="2"/>
  <c r="N671" i="2"/>
  <c r="O671" i="2"/>
  <c r="P671" i="2"/>
  <c r="M672" i="2"/>
  <c r="N672" i="2"/>
  <c r="O672" i="2"/>
  <c r="P672" i="2"/>
  <c r="M673" i="2"/>
  <c r="N673" i="2"/>
  <c r="O673" i="2"/>
  <c r="P673" i="2"/>
  <c r="M674" i="2"/>
  <c r="N674" i="2"/>
  <c r="O674" i="2"/>
  <c r="P674" i="2"/>
  <c r="M675" i="2"/>
  <c r="N675" i="2"/>
  <c r="O675" i="2"/>
  <c r="P675" i="2"/>
  <c r="M676" i="2"/>
  <c r="N676" i="2"/>
  <c r="O676" i="2"/>
  <c r="P676" i="2"/>
  <c r="M677" i="2"/>
  <c r="N677" i="2"/>
  <c r="O677" i="2"/>
  <c r="P677" i="2"/>
  <c r="M678" i="2"/>
  <c r="N678" i="2"/>
  <c r="O678" i="2"/>
  <c r="P678" i="2"/>
  <c r="M679" i="2"/>
  <c r="N679" i="2"/>
  <c r="O679" i="2"/>
  <c r="P679" i="2"/>
  <c r="M680" i="2"/>
  <c r="N680" i="2"/>
  <c r="O680" i="2"/>
  <c r="P680" i="2"/>
  <c r="M681" i="2"/>
  <c r="N681" i="2"/>
  <c r="O681" i="2"/>
  <c r="P681" i="2"/>
  <c r="M682" i="2"/>
  <c r="N682" i="2"/>
  <c r="O682" i="2"/>
  <c r="P682" i="2"/>
  <c r="M683" i="2"/>
  <c r="N683" i="2"/>
  <c r="O683" i="2"/>
  <c r="P683" i="2"/>
  <c r="M684" i="2"/>
  <c r="N684" i="2"/>
  <c r="O684" i="2"/>
  <c r="P684" i="2"/>
  <c r="M685" i="2"/>
  <c r="N685" i="2"/>
  <c r="O685" i="2"/>
  <c r="P685" i="2"/>
  <c r="M686" i="2"/>
  <c r="N686" i="2"/>
  <c r="O686" i="2"/>
  <c r="P686" i="2"/>
  <c r="M687" i="2"/>
  <c r="N687" i="2"/>
  <c r="O687" i="2"/>
  <c r="P687" i="2"/>
  <c r="M688" i="2"/>
  <c r="N688" i="2"/>
  <c r="O688" i="2"/>
  <c r="P688" i="2"/>
  <c r="M689" i="2"/>
  <c r="N689" i="2"/>
  <c r="O689" i="2"/>
  <c r="P689" i="2"/>
  <c r="M690" i="2"/>
  <c r="N690" i="2"/>
  <c r="O690" i="2"/>
  <c r="P690" i="2"/>
  <c r="M691" i="2"/>
  <c r="N691" i="2"/>
  <c r="O691" i="2"/>
  <c r="P691" i="2"/>
  <c r="M692" i="2"/>
  <c r="N692" i="2"/>
  <c r="O692" i="2"/>
  <c r="P692" i="2"/>
  <c r="M693" i="2"/>
  <c r="N693" i="2"/>
  <c r="O693" i="2"/>
  <c r="P693" i="2"/>
  <c r="M694" i="2"/>
  <c r="N694" i="2"/>
  <c r="O694" i="2"/>
  <c r="P694" i="2"/>
  <c r="M695" i="2"/>
  <c r="N695" i="2"/>
  <c r="O695" i="2"/>
  <c r="P695" i="2"/>
  <c r="M696" i="2"/>
  <c r="N696" i="2"/>
  <c r="O696" i="2"/>
  <c r="P696" i="2"/>
  <c r="M697" i="2"/>
  <c r="N697" i="2"/>
  <c r="O697" i="2"/>
  <c r="P697" i="2"/>
  <c r="M698" i="2"/>
  <c r="N698" i="2"/>
  <c r="O698" i="2"/>
  <c r="P698" i="2"/>
  <c r="M699" i="2"/>
  <c r="N699" i="2"/>
  <c r="O699" i="2"/>
  <c r="P699" i="2"/>
  <c r="M700" i="2"/>
  <c r="N700" i="2"/>
  <c r="O700" i="2"/>
  <c r="P700" i="2"/>
  <c r="M701" i="2"/>
  <c r="N701" i="2"/>
  <c r="O701" i="2"/>
  <c r="P701" i="2"/>
  <c r="M702" i="2"/>
  <c r="N702" i="2"/>
  <c r="O702" i="2"/>
  <c r="P702" i="2"/>
  <c r="M704" i="2"/>
  <c r="N704" i="2"/>
  <c r="O704" i="2"/>
  <c r="P704" i="2"/>
  <c r="M705" i="2"/>
  <c r="N705" i="2"/>
  <c r="O705" i="2"/>
  <c r="P705" i="2"/>
  <c r="M706" i="2"/>
  <c r="N706" i="2"/>
  <c r="O706" i="2"/>
  <c r="P706" i="2"/>
  <c r="M707" i="2"/>
  <c r="N707" i="2"/>
  <c r="O707" i="2"/>
  <c r="P707" i="2"/>
  <c r="M708" i="2"/>
  <c r="N708" i="2"/>
  <c r="O708" i="2"/>
  <c r="P708" i="2"/>
  <c r="M709" i="2"/>
  <c r="N709" i="2"/>
  <c r="O709" i="2"/>
  <c r="P709" i="2"/>
  <c r="M710" i="2"/>
  <c r="N710" i="2"/>
  <c r="O710" i="2"/>
  <c r="P710" i="2"/>
  <c r="M711" i="2"/>
  <c r="N711" i="2"/>
  <c r="O711" i="2"/>
  <c r="P711" i="2"/>
  <c r="M712" i="2"/>
  <c r="N712" i="2"/>
  <c r="O712" i="2"/>
  <c r="P712" i="2"/>
  <c r="M713" i="2"/>
  <c r="N713" i="2"/>
  <c r="O713" i="2"/>
  <c r="P713" i="2"/>
  <c r="M714" i="2"/>
  <c r="N714" i="2"/>
  <c r="O714" i="2"/>
  <c r="P714" i="2"/>
  <c r="M715" i="2"/>
  <c r="N715" i="2"/>
  <c r="O715" i="2"/>
  <c r="P715" i="2"/>
  <c r="M716" i="2"/>
  <c r="N716" i="2"/>
  <c r="O716" i="2"/>
  <c r="P716" i="2"/>
  <c r="M717" i="2"/>
  <c r="N717" i="2"/>
  <c r="O717" i="2"/>
  <c r="P717" i="2"/>
  <c r="M718" i="2"/>
  <c r="N718" i="2"/>
  <c r="O718" i="2"/>
  <c r="P718" i="2"/>
  <c r="M719" i="2"/>
  <c r="N719" i="2"/>
  <c r="O719" i="2"/>
  <c r="P719" i="2"/>
  <c r="M720" i="2"/>
  <c r="N720" i="2"/>
  <c r="O720" i="2"/>
  <c r="P720" i="2"/>
  <c r="M721" i="2"/>
  <c r="N721" i="2"/>
  <c r="O721" i="2"/>
  <c r="P721" i="2"/>
  <c r="M722" i="2"/>
  <c r="N722" i="2"/>
  <c r="O722" i="2"/>
  <c r="P722" i="2"/>
  <c r="M723" i="2"/>
  <c r="N723" i="2"/>
  <c r="O723" i="2"/>
  <c r="P723" i="2"/>
  <c r="M724" i="2"/>
  <c r="N724" i="2"/>
  <c r="O724" i="2"/>
  <c r="P724" i="2"/>
  <c r="M725" i="2"/>
  <c r="N725" i="2"/>
  <c r="O725" i="2"/>
  <c r="P725" i="2"/>
  <c r="M726" i="2"/>
  <c r="N726" i="2"/>
  <c r="O726" i="2"/>
  <c r="P726" i="2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2" i="1"/>
  <c r="K11" i="4"/>
  <c r="K12" i="4"/>
  <c r="K16" i="4"/>
  <c r="L9" i="4"/>
  <c r="L10" i="4"/>
  <c r="L11" i="4"/>
  <c r="L12" i="4"/>
  <c r="L13" i="4"/>
  <c r="L14" i="4"/>
  <c r="L15" i="4"/>
  <c r="L16" i="4"/>
  <c r="L17" i="4"/>
  <c r="K9" i="4"/>
  <c r="M9" i="4"/>
  <c r="N9" i="4"/>
  <c r="M10" i="4"/>
  <c r="M11" i="4"/>
  <c r="N10" i="4"/>
  <c r="K10" i="4"/>
  <c r="O10" i="4"/>
  <c r="O11" i="4"/>
  <c r="O12" i="4"/>
  <c r="O13" i="4"/>
  <c r="O14" i="4"/>
  <c r="O15" i="4"/>
  <c r="O16" i="4"/>
  <c r="O17" i="4"/>
  <c r="N11" i="4"/>
  <c r="M12" i="4"/>
  <c r="K726" i="2"/>
  <c r="L726" i="2"/>
  <c r="K725" i="2"/>
  <c r="L725" i="2"/>
  <c r="K724" i="2"/>
  <c r="L724" i="2"/>
  <c r="K723" i="2"/>
  <c r="L723" i="2"/>
  <c r="K722" i="2"/>
  <c r="L722" i="2"/>
  <c r="K721" i="2"/>
  <c r="L721" i="2"/>
  <c r="K720" i="2"/>
  <c r="L720" i="2"/>
  <c r="K719" i="2"/>
  <c r="L719" i="2"/>
  <c r="K718" i="2"/>
  <c r="L718" i="2"/>
  <c r="K717" i="2"/>
  <c r="L717" i="2"/>
  <c r="K716" i="2"/>
  <c r="L716" i="2"/>
  <c r="K715" i="2"/>
  <c r="L715" i="2"/>
  <c r="K714" i="2"/>
  <c r="L714" i="2"/>
  <c r="K713" i="2"/>
  <c r="L713" i="2"/>
  <c r="K712" i="2"/>
  <c r="L712" i="2"/>
  <c r="K711" i="2"/>
  <c r="L711" i="2"/>
  <c r="K710" i="2"/>
  <c r="L710" i="2"/>
  <c r="K709" i="2"/>
  <c r="L709" i="2"/>
  <c r="K708" i="2"/>
  <c r="L708" i="2"/>
  <c r="K707" i="2"/>
  <c r="L707" i="2"/>
  <c r="N12" i="4"/>
  <c r="M13" i="4"/>
  <c r="K706" i="2"/>
  <c r="L706" i="2"/>
  <c r="N13" i="4"/>
  <c r="M14" i="4"/>
  <c r="K13" i="4"/>
  <c r="K705" i="2"/>
  <c r="L705" i="2"/>
  <c r="K704" i="2"/>
  <c r="L704" i="2"/>
  <c r="N14" i="4"/>
  <c r="K14" i="4"/>
  <c r="J29" i="8"/>
  <c r="C26" i="3"/>
  <c r="E9" i="3"/>
  <c r="M15" i="4"/>
  <c r="K703" i="2"/>
  <c r="L703" i="2"/>
  <c r="K702" i="2"/>
  <c r="L702" i="2"/>
  <c r="K701" i="2"/>
  <c r="L701" i="2"/>
  <c r="K700" i="2"/>
  <c r="L700" i="2"/>
  <c r="K699" i="2"/>
  <c r="L699" i="2"/>
  <c r="K698" i="2"/>
  <c r="L698" i="2"/>
  <c r="K697" i="2"/>
  <c r="L697" i="2"/>
  <c r="K696" i="2"/>
  <c r="L696" i="2"/>
  <c r="K695" i="2"/>
  <c r="L695" i="2"/>
  <c r="K694" i="2"/>
  <c r="L694" i="2"/>
  <c r="K693" i="2"/>
  <c r="L693" i="2"/>
  <c r="O9" i="4"/>
  <c r="K658" i="2"/>
  <c r="L658" i="2"/>
  <c r="K657" i="2"/>
  <c r="L657" i="2"/>
  <c r="K656" i="2"/>
  <c r="L656" i="2"/>
  <c r="K659" i="2"/>
  <c r="L659" i="2"/>
  <c r="N15" i="4"/>
  <c r="K15" i="4"/>
  <c r="M16" i="4"/>
  <c r="K663" i="2"/>
  <c r="L663" i="2"/>
  <c r="K662" i="2"/>
  <c r="L662" i="2"/>
  <c r="K660" i="2"/>
  <c r="L660" i="2"/>
  <c r="K661" i="2"/>
  <c r="L661" i="2"/>
  <c r="N16" i="4"/>
  <c r="M17" i="4"/>
  <c r="N17" i="4"/>
  <c r="K17" i="4"/>
  <c r="K692" i="2"/>
  <c r="L692" i="2"/>
  <c r="K664" i="2"/>
  <c r="L664" i="2"/>
  <c r="K666" i="2"/>
  <c r="L666" i="2"/>
  <c r="A244" i="3"/>
  <c r="B244" i="3"/>
  <c r="D244" i="3"/>
  <c r="C244" i="3"/>
  <c r="E244" i="3"/>
  <c r="A245" i="3"/>
  <c r="B245" i="3"/>
  <c r="D245" i="3"/>
  <c r="C245" i="3"/>
  <c r="E245" i="3"/>
  <c r="A246" i="3"/>
  <c r="B246" i="3"/>
  <c r="D246" i="3"/>
  <c r="C246" i="3"/>
  <c r="E246" i="3"/>
  <c r="A247" i="3"/>
  <c r="B247" i="3"/>
  <c r="D247" i="3"/>
  <c r="C247" i="3"/>
  <c r="E247" i="3"/>
  <c r="A248" i="3"/>
  <c r="B248" i="3"/>
  <c r="D248" i="3"/>
  <c r="C248" i="3"/>
  <c r="E248" i="3"/>
  <c r="A249" i="3"/>
  <c r="B249" i="3"/>
  <c r="D249" i="3"/>
  <c r="C249" i="3"/>
  <c r="E249" i="3"/>
  <c r="A250" i="3"/>
  <c r="B250" i="3"/>
  <c r="D250" i="3"/>
  <c r="C250" i="3"/>
  <c r="E250" i="3"/>
  <c r="A251" i="3"/>
  <c r="B251" i="3"/>
  <c r="D251" i="3"/>
  <c r="C251" i="3"/>
  <c r="E251" i="3"/>
  <c r="A252" i="3"/>
  <c r="B252" i="3"/>
  <c r="D252" i="3"/>
  <c r="C252" i="3"/>
  <c r="E252" i="3"/>
  <c r="A253" i="3"/>
  <c r="B253" i="3"/>
  <c r="D253" i="3"/>
  <c r="C253" i="3"/>
  <c r="E253" i="3"/>
  <c r="A254" i="3"/>
  <c r="B254" i="3"/>
  <c r="D254" i="3"/>
  <c r="C254" i="3"/>
  <c r="E254" i="3"/>
  <c r="A255" i="3"/>
  <c r="B255" i="3"/>
  <c r="D255" i="3"/>
  <c r="C255" i="3"/>
  <c r="E255" i="3"/>
  <c r="A256" i="3"/>
  <c r="B256" i="3"/>
  <c r="D256" i="3"/>
  <c r="C256" i="3"/>
  <c r="E256" i="3"/>
  <c r="A257" i="3"/>
  <c r="B257" i="3"/>
  <c r="D257" i="3"/>
  <c r="C257" i="3"/>
  <c r="E257" i="3"/>
  <c r="A258" i="3"/>
  <c r="B258" i="3"/>
  <c r="D258" i="3"/>
  <c r="C258" i="3"/>
  <c r="E258" i="3"/>
  <c r="A259" i="3"/>
  <c r="B259" i="3"/>
  <c r="D259" i="3"/>
  <c r="C259" i="3"/>
  <c r="E259" i="3"/>
  <c r="A260" i="3"/>
  <c r="B260" i="3"/>
  <c r="D260" i="3"/>
  <c r="C260" i="3"/>
  <c r="E260" i="3"/>
  <c r="A261" i="3"/>
  <c r="B261" i="3"/>
  <c r="D261" i="3"/>
  <c r="C261" i="3"/>
  <c r="E261" i="3"/>
  <c r="A262" i="3"/>
  <c r="B262" i="3"/>
  <c r="D262" i="3"/>
  <c r="C262" i="3"/>
  <c r="E262" i="3"/>
  <c r="A263" i="3"/>
  <c r="B263" i="3"/>
  <c r="D263" i="3"/>
  <c r="C263" i="3"/>
  <c r="E263" i="3"/>
  <c r="A264" i="3"/>
  <c r="B264" i="3"/>
  <c r="D264" i="3"/>
  <c r="C264" i="3"/>
  <c r="E264" i="3"/>
  <c r="A265" i="3"/>
  <c r="B265" i="3"/>
  <c r="D265" i="3"/>
  <c r="C265" i="3"/>
  <c r="E265" i="3"/>
  <c r="A266" i="3"/>
  <c r="B266" i="3"/>
  <c r="D266" i="3"/>
  <c r="C266" i="3"/>
  <c r="E266" i="3"/>
  <c r="A267" i="3"/>
  <c r="B267" i="3"/>
  <c r="D267" i="3"/>
  <c r="C267" i="3"/>
  <c r="E267" i="3"/>
  <c r="A268" i="3"/>
  <c r="B268" i="3"/>
  <c r="D268" i="3"/>
  <c r="C268" i="3"/>
  <c r="E268" i="3"/>
  <c r="A269" i="3"/>
  <c r="B269" i="3"/>
  <c r="D269" i="3"/>
  <c r="C269" i="3"/>
  <c r="E269" i="3"/>
  <c r="A270" i="3"/>
  <c r="B270" i="3"/>
  <c r="D270" i="3"/>
  <c r="C270" i="3"/>
  <c r="E270" i="3"/>
  <c r="A271" i="3"/>
  <c r="B271" i="3"/>
  <c r="D271" i="3"/>
  <c r="C271" i="3"/>
  <c r="E271" i="3"/>
  <c r="A272" i="3"/>
  <c r="B272" i="3"/>
  <c r="D272" i="3"/>
  <c r="C272" i="3"/>
  <c r="E272" i="3"/>
  <c r="A273" i="3"/>
  <c r="B273" i="3"/>
  <c r="D273" i="3"/>
  <c r="C273" i="3"/>
  <c r="E273" i="3"/>
  <c r="A274" i="3"/>
  <c r="B274" i="3"/>
  <c r="D274" i="3"/>
  <c r="C274" i="3"/>
  <c r="E274" i="3"/>
  <c r="A275" i="3"/>
  <c r="B275" i="3"/>
  <c r="D275" i="3"/>
  <c r="C275" i="3"/>
  <c r="E275" i="3"/>
  <c r="A276" i="3"/>
  <c r="B276" i="3"/>
  <c r="D276" i="3"/>
  <c r="C276" i="3"/>
  <c r="E276" i="3"/>
  <c r="A277" i="3"/>
  <c r="B277" i="3"/>
  <c r="D277" i="3"/>
  <c r="C277" i="3"/>
  <c r="E277" i="3"/>
  <c r="A278" i="3"/>
  <c r="B278" i="3"/>
  <c r="D278" i="3"/>
  <c r="C278" i="3"/>
  <c r="E278" i="3"/>
  <c r="A279" i="3"/>
  <c r="B279" i="3"/>
  <c r="D279" i="3"/>
  <c r="C279" i="3"/>
  <c r="E279" i="3"/>
  <c r="A280" i="3"/>
  <c r="B280" i="3"/>
  <c r="D280" i="3"/>
  <c r="C280" i="3"/>
  <c r="E280" i="3"/>
  <c r="A281" i="3"/>
  <c r="B281" i="3"/>
  <c r="D281" i="3"/>
  <c r="C281" i="3"/>
  <c r="E281" i="3"/>
  <c r="A282" i="3"/>
  <c r="B282" i="3"/>
  <c r="D282" i="3"/>
  <c r="C282" i="3"/>
  <c r="E282" i="3"/>
  <c r="A283" i="3"/>
  <c r="B283" i="3"/>
  <c r="D283" i="3"/>
  <c r="C283" i="3"/>
  <c r="E283" i="3"/>
  <c r="A284" i="3"/>
  <c r="B284" i="3"/>
  <c r="D284" i="3"/>
  <c r="C284" i="3"/>
  <c r="E284" i="3"/>
  <c r="A285" i="3"/>
  <c r="B285" i="3"/>
  <c r="D285" i="3"/>
  <c r="C285" i="3"/>
  <c r="E285" i="3"/>
  <c r="A286" i="3"/>
  <c r="B286" i="3"/>
  <c r="D286" i="3"/>
  <c r="C286" i="3"/>
  <c r="E286" i="3"/>
  <c r="A287" i="3"/>
  <c r="B287" i="3"/>
  <c r="D287" i="3"/>
  <c r="C287" i="3"/>
  <c r="E287" i="3"/>
  <c r="A288" i="3"/>
  <c r="B288" i="3"/>
  <c r="D288" i="3"/>
  <c r="C288" i="3"/>
  <c r="E288" i="3"/>
  <c r="A289" i="3"/>
  <c r="B289" i="3"/>
  <c r="D289" i="3"/>
  <c r="C289" i="3"/>
  <c r="E289" i="3"/>
  <c r="A290" i="3"/>
  <c r="B290" i="3"/>
  <c r="D290" i="3"/>
  <c r="C290" i="3"/>
  <c r="E290" i="3"/>
  <c r="A291" i="3"/>
  <c r="B291" i="3"/>
  <c r="D291" i="3"/>
  <c r="C291" i="3"/>
  <c r="E291" i="3"/>
  <c r="A292" i="3"/>
  <c r="B292" i="3"/>
  <c r="D292" i="3"/>
  <c r="C292" i="3"/>
  <c r="E292" i="3"/>
  <c r="A293" i="3"/>
  <c r="B293" i="3"/>
  <c r="D293" i="3"/>
  <c r="C293" i="3"/>
  <c r="E293" i="3"/>
  <c r="A294" i="3"/>
  <c r="B294" i="3"/>
  <c r="D294" i="3"/>
  <c r="C294" i="3"/>
  <c r="E294" i="3"/>
  <c r="A295" i="3"/>
  <c r="B295" i="3"/>
  <c r="D295" i="3"/>
  <c r="C295" i="3"/>
  <c r="E295" i="3"/>
  <c r="A296" i="3"/>
  <c r="B296" i="3"/>
  <c r="D296" i="3"/>
  <c r="C296" i="3"/>
  <c r="E296" i="3"/>
  <c r="A297" i="3"/>
  <c r="B297" i="3"/>
  <c r="D297" i="3"/>
  <c r="C297" i="3"/>
  <c r="E297" i="3"/>
  <c r="A298" i="3"/>
  <c r="B298" i="3"/>
  <c r="D298" i="3"/>
  <c r="C298" i="3"/>
  <c r="E298" i="3"/>
  <c r="A299" i="3"/>
  <c r="B299" i="3"/>
  <c r="D299" i="3"/>
  <c r="C299" i="3"/>
  <c r="E299" i="3"/>
  <c r="A300" i="3"/>
  <c r="B300" i="3"/>
  <c r="D300" i="3"/>
  <c r="C300" i="3"/>
  <c r="E300" i="3"/>
  <c r="A301" i="3"/>
  <c r="B301" i="3"/>
  <c r="D301" i="3"/>
  <c r="C301" i="3"/>
  <c r="E301" i="3"/>
  <c r="A302" i="3"/>
  <c r="B302" i="3"/>
  <c r="D302" i="3"/>
  <c r="C302" i="3"/>
  <c r="E302" i="3"/>
  <c r="A303" i="3"/>
  <c r="B303" i="3"/>
  <c r="D303" i="3"/>
  <c r="C303" i="3"/>
  <c r="E303" i="3"/>
  <c r="A304" i="3"/>
  <c r="B304" i="3"/>
  <c r="D304" i="3"/>
  <c r="C304" i="3"/>
  <c r="E304" i="3"/>
  <c r="A305" i="3"/>
  <c r="B305" i="3"/>
  <c r="D305" i="3"/>
  <c r="C305" i="3"/>
  <c r="E305" i="3"/>
  <c r="A306" i="3"/>
  <c r="B306" i="3"/>
  <c r="D306" i="3"/>
  <c r="C306" i="3"/>
  <c r="E306" i="3"/>
  <c r="A307" i="3"/>
  <c r="B307" i="3"/>
  <c r="D307" i="3"/>
  <c r="C307" i="3"/>
  <c r="E307" i="3"/>
  <c r="A308" i="3"/>
  <c r="B308" i="3"/>
  <c r="D308" i="3"/>
  <c r="C308" i="3"/>
  <c r="E308" i="3"/>
  <c r="A309" i="3"/>
  <c r="B309" i="3"/>
  <c r="D309" i="3"/>
  <c r="C309" i="3"/>
  <c r="E309" i="3"/>
  <c r="A310" i="3"/>
  <c r="B310" i="3"/>
  <c r="D310" i="3"/>
  <c r="C310" i="3"/>
  <c r="E310" i="3"/>
  <c r="A311" i="3"/>
  <c r="B311" i="3"/>
  <c r="D311" i="3"/>
  <c r="C311" i="3"/>
  <c r="E311" i="3"/>
  <c r="A312" i="3"/>
  <c r="B312" i="3"/>
  <c r="D312" i="3"/>
  <c r="C312" i="3"/>
  <c r="E312" i="3"/>
  <c r="A313" i="3"/>
  <c r="B313" i="3"/>
  <c r="D313" i="3"/>
  <c r="C313" i="3"/>
  <c r="E313" i="3"/>
  <c r="A314" i="3"/>
  <c r="B314" i="3"/>
  <c r="D314" i="3"/>
  <c r="C314" i="3"/>
  <c r="E314" i="3"/>
  <c r="A315" i="3"/>
  <c r="B315" i="3"/>
  <c r="D315" i="3"/>
  <c r="C315" i="3"/>
  <c r="E315" i="3"/>
  <c r="A316" i="3"/>
  <c r="B316" i="3"/>
  <c r="D316" i="3"/>
  <c r="C316" i="3"/>
  <c r="E316" i="3"/>
  <c r="A317" i="3"/>
  <c r="B317" i="3"/>
  <c r="D317" i="3"/>
  <c r="C317" i="3"/>
  <c r="E317" i="3"/>
  <c r="A318" i="3"/>
  <c r="B318" i="3"/>
  <c r="D318" i="3"/>
  <c r="C318" i="3"/>
  <c r="E318" i="3"/>
  <c r="A319" i="3"/>
  <c r="B319" i="3"/>
  <c r="D319" i="3"/>
  <c r="C319" i="3"/>
  <c r="E319" i="3"/>
  <c r="A320" i="3"/>
  <c r="B320" i="3"/>
  <c r="D320" i="3"/>
  <c r="C320" i="3"/>
  <c r="E320" i="3"/>
  <c r="A321" i="3"/>
  <c r="B321" i="3"/>
  <c r="D321" i="3"/>
  <c r="C321" i="3"/>
  <c r="E321" i="3"/>
  <c r="A322" i="3"/>
  <c r="B322" i="3"/>
  <c r="D322" i="3"/>
  <c r="C322" i="3"/>
  <c r="E322" i="3"/>
  <c r="A323" i="3"/>
  <c r="B323" i="3"/>
  <c r="D323" i="3"/>
  <c r="C323" i="3"/>
  <c r="E323" i="3"/>
  <c r="A324" i="3"/>
  <c r="B324" i="3"/>
  <c r="D324" i="3"/>
  <c r="C324" i="3"/>
  <c r="E324" i="3"/>
  <c r="A325" i="3"/>
  <c r="B325" i="3"/>
  <c r="D325" i="3"/>
  <c r="C325" i="3"/>
  <c r="E325" i="3"/>
  <c r="A326" i="3"/>
  <c r="B326" i="3"/>
  <c r="D326" i="3"/>
  <c r="C326" i="3"/>
  <c r="E326" i="3"/>
  <c r="A327" i="3"/>
  <c r="B327" i="3"/>
  <c r="D327" i="3"/>
  <c r="C327" i="3"/>
  <c r="E327" i="3"/>
  <c r="A328" i="3"/>
  <c r="B328" i="3"/>
  <c r="D328" i="3"/>
  <c r="C328" i="3"/>
  <c r="E328" i="3"/>
  <c r="A329" i="3"/>
  <c r="B329" i="3"/>
  <c r="D329" i="3"/>
  <c r="C329" i="3"/>
  <c r="E329" i="3"/>
  <c r="A330" i="3"/>
  <c r="B330" i="3"/>
  <c r="D330" i="3"/>
  <c r="C330" i="3"/>
  <c r="E330" i="3"/>
  <c r="A331" i="3"/>
  <c r="B331" i="3"/>
  <c r="D331" i="3"/>
  <c r="C331" i="3"/>
  <c r="E331" i="3"/>
  <c r="A332" i="3"/>
  <c r="B332" i="3"/>
  <c r="D332" i="3"/>
  <c r="C332" i="3"/>
  <c r="E332" i="3"/>
  <c r="A333" i="3"/>
  <c r="B333" i="3"/>
  <c r="D333" i="3"/>
  <c r="C333" i="3"/>
  <c r="E333" i="3"/>
  <c r="A334" i="3"/>
  <c r="B334" i="3"/>
  <c r="D334" i="3"/>
  <c r="C334" i="3"/>
  <c r="E334" i="3"/>
  <c r="A335" i="3"/>
  <c r="B335" i="3"/>
  <c r="D335" i="3"/>
  <c r="C335" i="3"/>
  <c r="E335" i="3"/>
  <c r="A336" i="3"/>
  <c r="B336" i="3"/>
  <c r="D336" i="3"/>
  <c r="C336" i="3"/>
  <c r="E336" i="3"/>
  <c r="A337" i="3"/>
  <c r="B337" i="3"/>
  <c r="D337" i="3"/>
  <c r="C337" i="3"/>
  <c r="E337" i="3"/>
  <c r="A338" i="3"/>
  <c r="B338" i="3"/>
  <c r="D338" i="3"/>
  <c r="C338" i="3"/>
  <c r="E338" i="3"/>
  <c r="A339" i="3"/>
  <c r="B339" i="3"/>
  <c r="D339" i="3"/>
  <c r="C339" i="3"/>
  <c r="E339" i="3"/>
  <c r="A340" i="3"/>
  <c r="B340" i="3"/>
  <c r="D340" i="3"/>
  <c r="C340" i="3"/>
  <c r="E340" i="3"/>
  <c r="A341" i="3"/>
  <c r="B341" i="3"/>
  <c r="D341" i="3"/>
  <c r="C341" i="3"/>
  <c r="E341" i="3"/>
  <c r="A342" i="3"/>
  <c r="B342" i="3"/>
  <c r="D342" i="3"/>
  <c r="C342" i="3"/>
  <c r="E342" i="3"/>
  <c r="A343" i="3"/>
  <c r="B343" i="3"/>
  <c r="D343" i="3"/>
  <c r="C343" i="3"/>
  <c r="E343" i="3"/>
  <c r="A344" i="3"/>
  <c r="B344" i="3"/>
  <c r="D344" i="3"/>
  <c r="C344" i="3"/>
  <c r="E344" i="3"/>
  <c r="A345" i="3"/>
  <c r="B345" i="3"/>
  <c r="D345" i="3"/>
  <c r="C345" i="3"/>
  <c r="E345" i="3"/>
  <c r="A346" i="3"/>
  <c r="B346" i="3"/>
  <c r="D346" i="3"/>
  <c r="C346" i="3"/>
  <c r="E346" i="3"/>
  <c r="A347" i="3"/>
  <c r="B347" i="3"/>
  <c r="D347" i="3"/>
  <c r="C347" i="3"/>
  <c r="E347" i="3"/>
  <c r="A348" i="3"/>
  <c r="B348" i="3"/>
  <c r="D348" i="3"/>
  <c r="C348" i="3"/>
  <c r="E348" i="3"/>
  <c r="A349" i="3"/>
  <c r="B349" i="3"/>
  <c r="D349" i="3"/>
  <c r="C349" i="3"/>
  <c r="E349" i="3"/>
  <c r="A350" i="3"/>
  <c r="B350" i="3"/>
  <c r="D350" i="3"/>
  <c r="C350" i="3"/>
  <c r="E350" i="3"/>
  <c r="A351" i="3"/>
  <c r="B351" i="3"/>
  <c r="D351" i="3"/>
  <c r="C351" i="3"/>
  <c r="E351" i="3"/>
  <c r="A352" i="3"/>
  <c r="B352" i="3"/>
  <c r="D352" i="3"/>
  <c r="C352" i="3"/>
  <c r="E352" i="3"/>
  <c r="A353" i="3"/>
  <c r="B353" i="3"/>
  <c r="D353" i="3"/>
  <c r="C353" i="3"/>
  <c r="E353" i="3"/>
  <c r="A354" i="3"/>
  <c r="B354" i="3"/>
  <c r="D354" i="3"/>
  <c r="C354" i="3"/>
  <c r="E354" i="3"/>
  <c r="A355" i="3"/>
  <c r="B355" i="3"/>
  <c r="D355" i="3"/>
  <c r="C355" i="3"/>
  <c r="E355" i="3"/>
  <c r="A356" i="3"/>
  <c r="B356" i="3"/>
  <c r="D356" i="3"/>
  <c r="C356" i="3"/>
  <c r="E356" i="3"/>
  <c r="A357" i="3"/>
  <c r="B357" i="3"/>
  <c r="D357" i="3"/>
  <c r="C357" i="3"/>
  <c r="E357" i="3"/>
  <c r="A358" i="3"/>
  <c r="B358" i="3"/>
  <c r="D358" i="3"/>
  <c r="C358" i="3"/>
  <c r="E358" i="3"/>
  <c r="A359" i="3"/>
  <c r="B359" i="3"/>
  <c r="D359" i="3"/>
  <c r="C359" i="3"/>
  <c r="E359" i="3"/>
  <c r="A360" i="3"/>
  <c r="B360" i="3"/>
  <c r="D360" i="3"/>
  <c r="C360" i="3"/>
  <c r="E360" i="3"/>
  <c r="A361" i="3"/>
  <c r="B361" i="3"/>
  <c r="D361" i="3"/>
  <c r="C361" i="3"/>
  <c r="E361" i="3"/>
  <c r="A362" i="3"/>
  <c r="B362" i="3"/>
  <c r="D362" i="3"/>
  <c r="C362" i="3"/>
  <c r="E362" i="3"/>
  <c r="A363" i="3"/>
  <c r="B363" i="3"/>
  <c r="D363" i="3"/>
  <c r="C363" i="3"/>
  <c r="E363" i="3"/>
  <c r="A364" i="3"/>
  <c r="B364" i="3"/>
  <c r="D364" i="3"/>
  <c r="C364" i="3"/>
  <c r="E364" i="3"/>
  <c r="A365" i="3"/>
  <c r="B365" i="3"/>
  <c r="D365" i="3"/>
  <c r="C365" i="3"/>
  <c r="E365" i="3"/>
  <c r="A366" i="3"/>
  <c r="B366" i="3"/>
  <c r="D366" i="3"/>
  <c r="C366" i="3"/>
  <c r="E366" i="3"/>
  <c r="A367" i="3"/>
  <c r="B367" i="3"/>
  <c r="D367" i="3"/>
  <c r="C367" i="3"/>
  <c r="E367" i="3"/>
  <c r="A368" i="3"/>
  <c r="B368" i="3"/>
  <c r="D368" i="3"/>
  <c r="C368" i="3"/>
  <c r="E368" i="3"/>
  <c r="A369" i="3"/>
  <c r="B369" i="3"/>
  <c r="D369" i="3"/>
  <c r="C369" i="3"/>
  <c r="E369" i="3"/>
  <c r="A370" i="3"/>
  <c r="B370" i="3"/>
  <c r="D370" i="3"/>
  <c r="C370" i="3"/>
  <c r="E370" i="3"/>
  <c r="A371" i="3"/>
  <c r="B371" i="3"/>
  <c r="D371" i="3"/>
  <c r="C371" i="3"/>
  <c r="E371" i="3"/>
  <c r="A372" i="3"/>
  <c r="B372" i="3"/>
  <c r="D372" i="3"/>
  <c r="C372" i="3"/>
  <c r="E372" i="3"/>
  <c r="A373" i="3"/>
  <c r="B373" i="3"/>
  <c r="D373" i="3"/>
  <c r="C373" i="3"/>
  <c r="E373" i="3"/>
  <c r="A374" i="3"/>
  <c r="B374" i="3"/>
  <c r="D374" i="3"/>
  <c r="C374" i="3"/>
  <c r="E374" i="3"/>
  <c r="A375" i="3"/>
  <c r="B375" i="3"/>
  <c r="D375" i="3"/>
  <c r="C375" i="3"/>
  <c r="E375" i="3"/>
  <c r="A376" i="3"/>
  <c r="B376" i="3"/>
  <c r="D376" i="3"/>
  <c r="C376" i="3"/>
  <c r="E376" i="3"/>
  <c r="A377" i="3"/>
  <c r="B377" i="3"/>
  <c r="D377" i="3"/>
  <c r="C377" i="3"/>
  <c r="E377" i="3"/>
  <c r="A378" i="3"/>
  <c r="B378" i="3"/>
  <c r="D378" i="3"/>
  <c r="C378" i="3"/>
  <c r="E378" i="3"/>
  <c r="A379" i="3"/>
  <c r="B379" i="3"/>
  <c r="D379" i="3"/>
  <c r="C379" i="3"/>
  <c r="E379" i="3"/>
  <c r="A380" i="3"/>
  <c r="B380" i="3"/>
  <c r="D380" i="3"/>
  <c r="C380" i="3"/>
  <c r="E380" i="3"/>
  <c r="A381" i="3"/>
  <c r="B381" i="3"/>
  <c r="D381" i="3"/>
  <c r="C381" i="3"/>
  <c r="E381" i="3"/>
  <c r="A382" i="3"/>
  <c r="B382" i="3"/>
  <c r="D382" i="3"/>
  <c r="C382" i="3"/>
  <c r="E382" i="3"/>
  <c r="A383" i="3"/>
  <c r="B383" i="3"/>
  <c r="D383" i="3"/>
  <c r="C383" i="3"/>
  <c r="E383" i="3"/>
  <c r="A384" i="3"/>
  <c r="B384" i="3"/>
  <c r="D384" i="3"/>
  <c r="C384" i="3"/>
  <c r="E384" i="3"/>
  <c r="A385" i="3"/>
  <c r="B385" i="3"/>
  <c r="D385" i="3"/>
  <c r="C385" i="3"/>
  <c r="E385" i="3"/>
  <c r="A386" i="3"/>
  <c r="B386" i="3"/>
  <c r="D386" i="3"/>
  <c r="C386" i="3"/>
  <c r="E386" i="3"/>
  <c r="A387" i="3"/>
  <c r="B387" i="3"/>
  <c r="D387" i="3"/>
  <c r="C387" i="3"/>
  <c r="E387" i="3"/>
  <c r="A388" i="3"/>
  <c r="B388" i="3"/>
  <c r="D388" i="3"/>
  <c r="C388" i="3"/>
  <c r="E388" i="3"/>
  <c r="A389" i="3"/>
  <c r="B389" i="3"/>
  <c r="D389" i="3"/>
  <c r="C389" i="3"/>
  <c r="E389" i="3"/>
  <c r="A390" i="3"/>
  <c r="B390" i="3"/>
  <c r="D390" i="3"/>
  <c r="C390" i="3"/>
  <c r="E390" i="3"/>
  <c r="A391" i="3"/>
  <c r="B391" i="3"/>
  <c r="D391" i="3"/>
  <c r="C391" i="3"/>
  <c r="E391" i="3"/>
  <c r="A392" i="3"/>
  <c r="B392" i="3"/>
  <c r="D392" i="3"/>
  <c r="C392" i="3"/>
  <c r="E392" i="3"/>
  <c r="A393" i="3"/>
  <c r="B393" i="3"/>
  <c r="D393" i="3"/>
  <c r="C393" i="3"/>
  <c r="E393" i="3"/>
  <c r="A394" i="3"/>
  <c r="B394" i="3"/>
  <c r="D394" i="3"/>
  <c r="C394" i="3"/>
  <c r="E394" i="3"/>
  <c r="A395" i="3"/>
  <c r="B395" i="3"/>
  <c r="D395" i="3"/>
  <c r="C395" i="3"/>
  <c r="E395" i="3"/>
  <c r="A396" i="3"/>
  <c r="B396" i="3"/>
  <c r="D396" i="3"/>
  <c r="C396" i="3"/>
  <c r="E396" i="3"/>
  <c r="A397" i="3"/>
  <c r="B397" i="3"/>
  <c r="D397" i="3"/>
  <c r="C397" i="3"/>
  <c r="E397" i="3"/>
  <c r="A398" i="3"/>
  <c r="B398" i="3"/>
  <c r="D398" i="3"/>
  <c r="C398" i="3"/>
  <c r="E398" i="3"/>
  <c r="A399" i="3"/>
  <c r="B399" i="3"/>
  <c r="D399" i="3"/>
  <c r="C399" i="3"/>
  <c r="E399" i="3"/>
  <c r="A400" i="3"/>
  <c r="B400" i="3"/>
  <c r="D400" i="3"/>
  <c r="C400" i="3"/>
  <c r="E400" i="3"/>
  <c r="A401" i="3"/>
  <c r="B401" i="3"/>
  <c r="D401" i="3"/>
  <c r="C401" i="3"/>
  <c r="E401" i="3"/>
  <c r="A402" i="3"/>
  <c r="B402" i="3"/>
  <c r="D402" i="3"/>
  <c r="C402" i="3"/>
  <c r="E402" i="3"/>
  <c r="A403" i="3"/>
  <c r="B403" i="3"/>
  <c r="D403" i="3"/>
  <c r="C403" i="3"/>
  <c r="E403" i="3"/>
  <c r="A404" i="3"/>
  <c r="B404" i="3"/>
  <c r="D404" i="3"/>
  <c r="C404" i="3"/>
  <c r="E404" i="3"/>
  <c r="A405" i="3"/>
  <c r="B405" i="3"/>
  <c r="D405" i="3"/>
  <c r="C405" i="3"/>
  <c r="E405" i="3"/>
  <c r="A406" i="3"/>
  <c r="B406" i="3"/>
  <c r="D406" i="3"/>
  <c r="C406" i="3"/>
  <c r="E406" i="3"/>
  <c r="A407" i="3"/>
  <c r="B407" i="3"/>
  <c r="D407" i="3"/>
  <c r="C407" i="3"/>
  <c r="E407" i="3"/>
  <c r="A408" i="3"/>
  <c r="B408" i="3"/>
  <c r="D408" i="3"/>
  <c r="C408" i="3"/>
  <c r="E408" i="3"/>
  <c r="A409" i="3"/>
  <c r="B409" i="3"/>
  <c r="D409" i="3"/>
  <c r="C409" i="3"/>
  <c r="E409" i="3"/>
  <c r="A410" i="3"/>
  <c r="B410" i="3"/>
  <c r="D410" i="3"/>
  <c r="C410" i="3"/>
  <c r="E410" i="3"/>
  <c r="A411" i="3"/>
  <c r="B411" i="3"/>
  <c r="D411" i="3"/>
  <c r="C411" i="3"/>
  <c r="E411" i="3"/>
  <c r="A412" i="3"/>
  <c r="B412" i="3"/>
  <c r="D412" i="3"/>
  <c r="C412" i="3"/>
  <c r="E412" i="3"/>
  <c r="A413" i="3"/>
  <c r="B413" i="3"/>
  <c r="D413" i="3"/>
  <c r="C413" i="3"/>
  <c r="E413" i="3"/>
  <c r="A414" i="3"/>
  <c r="B414" i="3"/>
  <c r="D414" i="3"/>
  <c r="C414" i="3"/>
  <c r="E414" i="3"/>
  <c r="A415" i="3"/>
  <c r="B415" i="3"/>
  <c r="D415" i="3"/>
  <c r="C415" i="3"/>
  <c r="E415" i="3"/>
  <c r="A416" i="3"/>
  <c r="B416" i="3"/>
  <c r="D416" i="3"/>
  <c r="C416" i="3"/>
  <c r="E416" i="3"/>
  <c r="A417" i="3"/>
  <c r="B417" i="3"/>
  <c r="D417" i="3"/>
  <c r="C417" i="3"/>
  <c r="E417" i="3"/>
  <c r="A418" i="3"/>
  <c r="B418" i="3"/>
  <c r="D418" i="3"/>
  <c r="C418" i="3"/>
  <c r="E418" i="3"/>
  <c r="A419" i="3"/>
  <c r="B419" i="3"/>
  <c r="D419" i="3"/>
  <c r="C419" i="3"/>
  <c r="E419" i="3"/>
  <c r="A420" i="3"/>
  <c r="B420" i="3"/>
  <c r="D420" i="3"/>
  <c r="C420" i="3"/>
  <c r="E420" i="3"/>
  <c r="A421" i="3"/>
  <c r="B421" i="3"/>
  <c r="D421" i="3"/>
  <c r="C421" i="3"/>
  <c r="E421" i="3"/>
  <c r="A422" i="3"/>
  <c r="B422" i="3"/>
  <c r="D422" i="3"/>
  <c r="C422" i="3"/>
  <c r="E422" i="3"/>
  <c r="A423" i="3"/>
  <c r="B423" i="3"/>
  <c r="D423" i="3"/>
  <c r="C423" i="3"/>
  <c r="E423" i="3"/>
  <c r="A424" i="3"/>
  <c r="B424" i="3"/>
  <c r="D424" i="3"/>
  <c r="C424" i="3"/>
  <c r="E424" i="3"/>
  <c r="A425" i="3"/>
  <c r="B425" i="3"/>
  <c r="D425" i="3"/>
  <c r="C425" i="3"/>
  <c r="E425" i="3"/>
  <c r="A426" i="3"/>
  <c r="B426" i="3"/>
  <c r="D426" i="3"/>
  <c r="C426" i="3"/>
  <c r="E426" i="3"/>
  <c r="A427" i="3"/>
  <c r="B427" i="3"/>
  <c r="D427" i="3"/>
  <c r="C427" i="3"/>
  <c r="E427" i="3"/>
  <c r="A428" i="3"/>
  <c r="B428" i="3"/>
  <c r="D428" i="3"/>
  <c r="C428" i="3"/>
  <c r="E428" i="3"/>
  <c r="A429" i="3"/>
  <c r="B429" i="3"/>
  <c r="D429" i="3"/>
  <c r="C429" i="3"/>
  <c r="E429" i="3"/>
  <c r="A430" i="3"/>
  <c r="B430" i="3"/>
  <c r="D430" i="3"/>
  <c r="C430" i="3"/>
  <c r="E430" i="3"/>
  <c r="A431" i="3"/>
  <c r="B431" i="3"/>
  <c r="D431" i="3"/>
  <c r="C431" i="3"/>
  <c r="E431" i="3"/>
  <c r="A432" i="3"/>
  <c r="B432" i="3"/>
  <c r="D432" i="3"/>
  <c r="C432" i="3"/>
  <c r="E432" i="3"/>
  <c r="A433" i="3"/>
  <c r="B433" i="3"/>
  <c r="D433" i="3"/>
  <c r="C433" i="3"/>
  <c r="E433" i="3"/>
  <c r="A434" i="3"/>
  <c r="B434" i="3"/>
  <c r="D434" i="3"/>
  <c r="C434" i="3"/>
  <c r="E434" i="3"/>
  <c r="A435" i="3"/>
  <c r="B435" i="3"/>
  <c r="D435" i="3"/>
  <c r="C435" i="3"/>
  <c r="E435" i="3"/>
  <c r="A436" i="3"/>
  <c r="B436" i="3"/>
  <c r="D436" i="3"/>
  <c r="C436" i="3"/>
  <c r="E436" i="3"/>
  <c r="A437" i="3"/>
  <c r="B437" i="3"/>
  <c r="D437" i="3"/>
  <c r="C437" i="3"/>
  <c r="E437" i="3"/>
  <c r="A438" i="3"/>
  <c r="B438" i="3"/>
  <c r="D438" i="3"/>
  <c r="C438" i="3"/>
  <c r="E438" i="3"/>
  <c r="A439" i="3"/>
  <c r="B439" i="3"/>
  <c r="D439" i="3"/>
  <c r="C439" i="3"/>
  <c r="E439" i="3"/>
  <c r="A440" i="3"/>
  <c r="B440" i="3"/>
  <c r="D440" i="3"/>
  <c r="C440" i="3"/>
  <c r="E440" i="3"/>
  <c r="A441" i="3"/>
  <c r="B441" i="3"/>
  <c r="D441" i="3"/>
  <c r="C441" i="3"/>
  <c r="E441" i="3"/>
  <c r="A442" i="3"/>
  <c r="B442" i="3"/>
  <c r="D442" i="3"/>
  <c r="C442" i="3"/>
  <c r="E442" i="3"/>
  <c r="A443" i="3"/>
  <c r="B443" i="3"/>
  <c r="D443" i="3"/>
  <c r="C443" i="3"/>
  <c r="E443" i="3"/>
  <c r="A444" i="3"/>
  <c r="B444" i="3"/>
  <c r="D444" i="3"/>
  <c r="C444" i="3"/>
  <c r="E444" i="3"/>
  <c r="A445" i="3"/>
  <c r="B445" i="3"/>
  <c r="D445" i="3"/>
  <c r="C445" i="3"/>
  <c r="E445" i="3"/>
  <c r="A446" i="3"/>
  <c r="B446" i="3"/>
  <c r="D446" i="3"/>
  <c r="C446" i="3"/>
  <c r="E446" i="3"/>
  <c r="A447" i="3"/>
  <c r="B447" i="3"/>
  <c r="D447" i="3"/>
  <c r="C447" i="3"/>
  <c r="E447" i="3"/>
  <c r="A448" i="3"/>
  <c r="B448" i="3"/>
  <c r="D448" i="3"/>
  <c r="C448" i="3"/>
  <c r="E448" i="3"/>
  <c r="A449" i="3"/>
  <c r="B449" i="3"/>
  <c r="D449" i="3"/>
  <c r="C449" i="3"/>
  <c r="E449" i="3"/>
  <c r="A450" i="3"/>
  <c r="B450" i="3"/>
  <c r="D450" i="3"/>
  <c r="C450" i="3"/>
  <c r="E450" i="3"/>
  <c r="A451" i="3"/>
  <c r="B451" i="3"/>
  <c r="D451" i="3"/>
  <c r="C451" i="3"/>
  <c r="E451" i="3"/>
  <c r="A452" i="3"/>
  <c r="B452" i="3"/>
  <c r="D452" i="3"/>
  <c r="C452" i="3"/>
  <c r="E452" i="3"/>
  <c r="A453" i="3"/>
  <c r="B453" i="3"/>
  <c r="D453" i="3"/>
  <c r="C453" i="3"/>
  <c r="E453" i="3"/>
  <c r="A454" i="3"/>
  <c r="B454" i="3"/>
  <c r="D454" i="3"/>
  <c r="C454" i="3"/>
  <c r="E454" i="3"/>
  <c r="A455" i="3"/>
  <c r="B455" i="3"/>
  <c r="D455" i="3"/>
  <c r="C455" i="3"/>
  <c r="E455" i="3"/>
  <c r="A456" i="3"/>
  <c r="B456" i="3"/>
  <c r="D456" i="3"/>
  <c r="C456" i="3"/>
  <c r="E456" i="3"/>
  <c r="A457" i="3"/>
  <c r="B457" i="3"/>
  <c r="D457" i="3"/>
  <c r="C457" i="3"/>
  <c r="E457" i="3"/>
  <c r="A458" i="3"/>
  <c r="B458" i="3"/>
  <c r="D458" i="3"/>
  <c r="C458" i="3"/>
  <c r="E458" i="3"/>
  <c r="A459" i="3"/>
  <c r="B459" i="3"/>
  <c r="D459" i="3"/>
  <c r="C459" i="3"/>
  <c r="E459" i="3"/>
  <c r="A460" i="3"/>
  <c r="B460" i="3"/>
  <c r="D460" i="3"/>
  <c r="C460" i="3"/>
  <c r="E460" i="3"/>
  <c r="A461" i="3"/>
  <c r="B461" i="3"/>
  <c r="D461" i="3"/>
  <c r="C461" i="3"/>
  <c r="E461" i="3"/>
  <c r="A462" i="3"/>
  <c r="B462" i="3"/>
  <c r="D462" i="3"/>
  <c r="C462" i="3"/>
  <c r="E462" i="3"/>
  <c r="A463" i="3"/>
  <c r="B463" i="3"/>
  <c r="D463" i="3"/>
  <c r="C463" i="3"/>
  <c r="E463" i="3"/>
  <c r="A464" i="3"/>
  <c r="B464" i="3"/>
  <c r="D464" i="3"/>
  <c r="C464" i="3"/>
  <c r="E464" i="3"/>
  <c r="A465" i="3"/>
  <c r="B465" i="3"/>
  <c r="D465" i="3"/>
  <c r="C465" i="3"/>
  <c r="E465" i="3"/>
  <c r="A466" i="3"/>
  <c r="B466" i="3"/>
  <c r="D466" i="3"/>
  <c r="C466" i="3"/>
  <c r="E466" i="3"/>
  <c r="A467" i="3"/>
  <c r="B467" i="3"/>
  <c r="D467" i="3"/>
  <c r="C467" i="3"/>
  <c r="E467" i="3"/>
  <c r="A468" i="3"/>
  <c r="B468" i="3"/>
  <c r="D468" i="3"/>
  <c r="C468" i="3"/>
  <c r="E468" i="3"/>
  <c r="A469" i="3"/>
  <c r="B469" i="3"/>
  <c r="D469" i="3"/>
  <c r="C469" i="3"/>
  <c r="E469" i="3"/>
  <c r="A470" i="3"/>
  <c r="B470" i="3"/>
  <c r="D470" i="3"/>
  <c r="C470" i="3"/>
  <c r="E470" i="3"/>
  <c r="A471" i="3"/>
  <c r="B471" i="3"/>
  <c r="D471" i="3"/>
  <c r="C471" i="3"/>
  <c r="E471" i="3"/>
  <c r="A472" i="3"/>
  <c r="B472" i="3"/>
  <c r="D472" i="3"/>
  <c r="C472" i="3"/>
  <c r="E472" i="3"/>
  <c r="A473" i="3"/>
  <c r="B473" i="3"/>
  <c r="D473" i="3"/>
  <c r="C473" i="3"/>
  <c r="E473" i="3"/>
  <c r="A474" i="3"/>
  <c r="B474" i="3"/>
  <c r="D474" i="3"/>
  <c r="C474" i="3"/>
  <c r="E474" i="3"/>
  <c r="A475" i="3"/>
  <c r="B475" i="3"/>
  <c r="D475" i="3"/>
  <c r="C475" i="3"/>
  <c r="E475" i="3"/>
  <c r="A476" i="3"/>
  <c r="B476" i="3"/>
  <c r="D476" i="3"/>
  <c r="C476" i="3"/>
  <c r="E476" i="3"/>
  <c r="A477" i="3"/>
  <c r="B477" i="3"/>
  <c r="D477" i="3"/>
  <c r="C477" i="3"/>
  <c r="E477" i="3"/>
  <c r="A478" i="3"/>
  <c r="B478" i="3"/>
  <c r="D478" i="3"/>
  <c r="C478" i="3"/>
  <c r="E478" i="3"/>
  <c r="A479" i="3"/>
  <c r="B479" i="3"/>
  <c r="D479" i="3"/>
  <c r="C479" i="3"/>
  <c r="E479" i="3"/>
  <c r="A480" i="3"/>
  <c r="B480" i="3"/>
  <c r="D480" i="3"/>
  <c r="C480" i="3"/>
  <c r="E480" i="3"/>
  <c r="A481" i="3"/>
  <c r="B481" i="3"/>
  <c r="D481" i="3"/>
  <c r="C481" i="3"/>
  <c r="E481" i="3"/>
  <c r="A482" i="3"/>
  <c r="B482" i="3"/>
  <c r="D482" i="3"/>
  <c r="C482" i="3"/>
  <c r="E482" i="3"/>
  <c r="A483" i="3"/>
  <c r="B483" i="3"/>
  <c r="D483" i="3"/>
  <c r="C483" i="3"/>
  <c r="E483" i="3"/>
  <c r="A484" i="3"/>
  <c r="B484" i="3"/>
  <c r="D484" i="3"/>
  <c r="C484" i="3"/>
  <c r="E484" i="3"/>
  <c r="A485" i="3"/>
  <c r="B485" i="3"/>
  <c r="D485" i="3"/>
  <c r="C485" i="3"/>
  <c r="E485" i="3"/>
  <c r="A486" i="3"/>
  <c r="B486" i="3"/>
  <c r="D486" i="3"/>
  <c r="C486" i="3"/>
  <c r="E486" i="3"/>
  <c r="A487" i="3"/>
  <c r="B487" i="3"/>
  <c r="D487" i="3"/>
  <c r="C487" i="3"/>
  <c r="E487" i="3"/>
  <c r="A488" i="3"/>
  <c r="B488" i="3"/>
  <c r="D488" i="3"/>
  <c r="C488" i="3"/>
  <c r="E488" i="3"/>
  <c r="A489" i="3"/>
  <c r="B489" i="3"/>
  <c r="D489" i="3"/>
  <c r="C489" i="3"/>
  <c r="E489" i="3"/>
  <c r="A490" i="3"/>
  <c r="B490" i="3"/>
  <c r="D490" i="3"/>
  <c r="C490" i="3"/>
  <c r="E490" i="3"/>
  <c r="A491" i="3"/>
  <c r="B491" i="3"/>
  <c r="D491" i="3"/>
  <c r="C491" i="3"/>
  <c r="E491" i="3"/>
  <c r="A492" i="3"/>
  <c r="B492" i="3"/>
  <c r="D492" i="3"/>
  <c r="C492" i="3"/>
  <c r="E492" i="3"/>
  <c r="A493" i="3"/>
  <c r="B493" i="3"/>
  <c r="D493" i="3"/>
  <c r="C493" i="3"/>
  <c r="E493" i="3"/>
  <c r="A494" i="3"/>
  <c r="B494" i="3"/>
  <c r="D494" i="3"/>
  <c r="C494" i="3"/>
  <c r="E494" i="3"/>
  <c r="A495" i="3"/>
  <c r="B495" i="3"/>
  <c r="D495" i="3"/>
  <c r="C495" i="3"/>
  <c r="E495" i="3"/>
  <c r="A496" i="3"/>
  <c r="B496" i="3"/>
  <c r="D496" i="3"/>
  <c r="C496" i="3"/>
  <c r="E496" i="3"/>
  <c r="A497" i="3"/>
  <c r="B497" i="3"/>
  <c r="D497" i="3"/>
  <c r="C497" i="3"/>
  <c r="E497" i="3"/>
  <c r="A498" i="3"/>
  <c r="B498" i="3"/>
  <c r="D498" i="3"/>
  <c r="C498" i="3"/>
  <c r="E498" i="3"/>
  <c r="A499" i="3"/>
  <c r="B499" i="3"/>
  <c r="D499" i="3"/>
  <c r="C499" i="3"/>
  <c r="E499" i="3"/>
  <c r="A500" i="3"/>
  <c r="B500" i="3"/>
  <c r="D500" i="3"/>
  <c r="C500" i="3"/>
  <c r="E500" i="3"/>
  <c r="A501" i="3"/>
  <c r="B501" i="3"/>
  <c r="D501" i="3"/>
  <c r="C501" i="3"/>
  <c r="E501" i="3"/>
  <c r="A502" i="3"/>
  <c r="B502" i="3"/>
  <c r="D502" i="3"/>
  <c r="C502" i="3"/>
  <c r="E502" i="3"/>
  <c r="A503" i="3"/>
  <c r="B503" i="3"/>
  <c r="D503" i="3"/>
  <c r="C503" i="3"/>
  <c r="E503" i="3"/>
  <c r="A504" i="3"/>
  <c r="B504" i="3"/>
  <c r="D504" i="3"/>
  <c r="C504" i="3"/>
  <c r="E504" i="3"/>
  <c r="A505" i="3"/>
  <c r="B505" i="3"/>
  <c r="D505" i="3"/>
  <c r="C505" i="3"/>
  <c r="E505" i="3"/>
  <c r="A506" i="3"/>
  <c r="B506" i="3"/>
  <c r="D506" i="3"/>
  <c r="C506" i="3"/>
  <c r="E506" i="3"/>
  <c r="A507" i="3"/>
  <c r="B507" i="3"/>
  <c r="D507" i="3"/>
  <c r="C507" i="3"/>
  <c r="E507" i="3"/>
  <c r="A508" i="3"/>
  <c r="B508" i="3"/>
  <c r="D508" i="3"/>
  <c r="C508" i="3"/>
  <c r="E508" i="3"/>
  <c r="A509" i="3"/>
  <c r="B509" i="3"/>
  <c r="D509" i="3"/>
  <c r="C509" i="3"/>
  <c r="E509" i="3"/>
  <c r="A510" i="3"/>
  <c r="B510" i="3"/>
  <c r="D510" i="3"/>
  <c r="C510" i="3"/>
  <c r="E510" i="3"/>
  <c r="A511" i="3"/>
  <c r="B511" i="3"/>
  <c r="D511" i="3"/>
  <c r="C511" i="3"/>
  <c r="E511" i="3"/>
  <c r="A512" i="3"/>
  <c r="B512" i="3"/>
  <c r="D512" i="3"/>
  <c r="C512" i="3"/>
  <c r="E512" i="3"/>
  <c r="A513" i="3"/>
  <c r="B513" i="3"/>
  <c r="D513" i="3"/>
  <c r="C513" i="3"/>
  <c r="E513" i="3"/>
  <c r="A514" i="3"/>
  <c r="B514" i="3"/>
  <c r="D514" i="3"/>
  <c r="C514" i="3"/>
  <c r="E514" i="3"/>
  <c r="A515" i="3"/>
  <c r="B515" i="3"/>
  <c r="D515" i="3"/>
  <c r="C515" i="3"/>
  <c r="E515" i="3"/>
  <c r="A516" i="3"/>
  <c r="B516" i="3"/>
  <c r="D516" i="3"/>
  <c r="C516" i="3"/>
  <c r="E516" i="3"/>
  <c r="A517" i="3"/>
  <c r="B517" i="3"/>
  <c r="D517" i="3"/>
  <c r="C517" i="3"/>
  <c r="E517" i="3"/>
  <c r="A518" i="3"/>
  <c r="B518" i="3"/>
  <c r="D518" i="3"/>
  <c r="C518" i="3"/>
  <c r="E518" i="3"/>
  <c r="A519" i="3"/>
  <c r="B519" i="3"/>
  <c r="D519" i="3"/>
  <c r="C519" i="3"/>
  <c r="E519" i="3"/>
  <c r="A520" i="3"/>
  <c r="B520" i="3"/>
  <c r="D520" i="3"/>
  <c r="C520" i="3"/>
  <c r="E520" i="3"/>
  <c r="A521" i="3"/>
  <c r="B521" i="3"/>
  <c r="D521" i="3"/>
  <c r="C521" i="3"/>
  <c r="E521" i="3"/>
  <c r="A522" i="3"/>
  <c r="B522" i="3"/>
  <c r="D522" i="3"/>
  <c r="C522" i="3"/>
  <c r="E522" i="3"/>
  <c r="A523" i="3"/>
  <c r="B523" i="3"/>
  <c r="D523" i="3"/>
  <c r="C523" i="3"/>
  <c r="E523" i="3"/>
  <c r="A524" i="3"/>
  <c r="B524" i="3"/>
  <c r="D524" i="3"/>
  <c r="C524" i="3"/>
  <c r="E524" i="3"/>
  <c r="A525" i="3"/>
  <c r="B525" i="3"/>
  <c r="D525" i="3"/>
  <c r="C525" i="3"/>
  <c r="E525" i="3"/>
  <c r="A526" i="3"/>
  <c r="B526" i="3"/>
  <c r="D526" i="3"/>
  <c r="C526" i="3"/>
  <c r="E526" i="3"/>
  <c r="A527" i="3"/>
  <c r="B527" i="3"/>
  <c r="D527" i="3"/>
  <c r="C527" i="3"/>
  <c r="E527" i="3"/>
  <c r="A528" i="3"/>
  <c r="B528" i="3"/>
  <c r="D528" i="3"/>
  <c r="C528" i="3"/>
  <c r="E528" i="3"/>
  <c r="A529" i="3"/>
  <c r="B529" i="3"/>
  <c r="D529" i="3"/>
  <c r="C529" i="3"/>
  <c r="E529" i="3"/>
  <c r="A530" i="3"/>
  <c r="B530" i="3"/>
  <c r="D530" i="3"/>
  <c r="C530" i="3"/>
  <c r="E530" i="3"/>
  <c r="A531" i="3"/>
  <c r="B531" i="3"/>
  <c r="D531" i="3"/>
  <c r="C531" i="3"/>
  <c r="E531" i="3"/>
  <c r="A532" i="3"/>
  <c r="B532" i="3"/>
  <c r="D532" i="3"/>
  <c r="C532" i="3"/>
  <c r="E532" i="3"/>
  <c r="A533" i="3"/>
  <c r="B533" i="3"/>
  <c r="D533" i="3"/>
  <c r="C533" i="3"/>
  <c r="E533" i="3"/>
  <c r="A534" i="3"/>
  <c r="B534" i="3"/>
  <c r="D534" i="3"/>
  <c r="C534" i="3"/>
  <c r="E534" i="3"/>
  <c r="A535" i="3"/>
  <c r="B535" i="3"/>
  <c r="D535" i="3"/>
  <c r="C535" i="3"/>
  <c r="E535" i="3"/>
  <c r="A536" i="3"/>
  <c r="B536" i="3"/>
  <c r="D536" i="3"/>
  <c r="C536" i="3"/>
  <c r="E536" i="3"/>
  <c r="A537" i="3"/>
  <c r="B537" i="3"/>
  <c r="D537" i="3"/>
  <c r="C537" i="3"/>
  <c r="E537" i="3"/>
  <c r="A538" i="3"/>
  <c r="B538" i="3"/>
  <c r="D538" i="3"/>
  <c r="C538" i="3"/>
  <c r="E538" i="3"/>
  <c r="A539" i="3"/>
  <c r="B539" i="3"/>
  <c r="D539" i="3"/>
  <c r="C539" i="3"/>
  <c r="E539" i="3"/>
  <c r="A540" i="3"/>
  <c r="B540" i="3"/>
  <c r="D540" i="3"/>
  <c r="C540" i="3"/>
  <c r="E540" i="3"/>
  <c r="A541" i="3"/>
  <c r="B541" i="3"/>
  <c r="D541" i="3"/>
  <c r="C541" i="3"/>
  <c r="E541" i="3"/>
  <c r="A542" i="3"/>
  <c r="B542" i="3"/>
  <c r="D542" i="3"/>
  <c r="C542" i="3"/>
  <c r="E542" i="3"/>
  <c r="A543" i="3"/>
  <c r="B543" i="3"/>
  <c r="D543" i="3"/>
  <c r="C543" i="3"/>
  <c r="E543" i="3"/>
  <c r="A544" i="3"/>
  <c r="B544" i="3"/>
  <c r="D544" i="3"/>
  <c r="C544" i="3"/>
  <c r="E544" i="3"/>
  <c r="A545" i="3"/>
  <c r="B545" i="3"/>
  <c r="D545" i="3"/>
  <c r="C545" i="3"/>
  <c r="E545" i="3"/>
  <c r="A546" i="3"/>
  <c r="B546" i="3"/>
  <c r="D546" i="3"/>
  <c r="C546" i="3"/>
  <c r="E546" i="3"/>
  <c r="A547" i="3"/>
  <c r="B547" i="3"/>
  <c r="D547" i="3"/>
  <c r="C547" i="3"/>
  <c r="E547" i="3"/>
  <c r="A548" i="3"/>
  <c r="B548" i="3"/>
  <c r="D548" i="3"/>
  <c r="C548" i="3"/>
  <c r="E548" i="3"/>
  <c r="A549" i="3"/>
  <c r="B549" i="3"/>
  <c r="D549" i="3"/>
  <c r="C549" i="3"/>
  <c r="E549" i="3"/>
  <c r="A550" i="3"/>
  <c r="B550" i="3"/>
  <c r="D550" i="3"/>
  <c r="C550" i="3"/>
  <c r="E550" i="3"/>
  <c r="A551" i="3"/>
  <c r="B551" i="3"/>
  <c r="D551" i="3"/>
  <c r="C551" i="3"/>
  <c r="E551" i="3"/>
  <c r="A552" i="3"/>
  <c r="B552" i="3"/>
  <c r="D552" i="3"/>
  <c r="C552" i="3"/>
  <c r="E552" i="3"/>
  <c r="A553" i="3"/>
  <c r="B553" i="3"/>
  <c r="D553" i="3"/>
  <c r="C553" i="3"/>
  <c r="E553" i="3"/>
  <c r="A554" i="3"/>
  <c r="B554" i="3"/>
  <c r="D554" i="3"/>
  <c r="C554" i="3"/>
  <c r="E554" i="3"/>
  <c r="A555" i="3"/>
  <c r="B555" i="3"/>
  <c r="D555" i="3"/>
  <c r="C555" i="3"/>
  <c r="E555" i="3"/>
  <c r="A556" i="3"/>
  <c r="B556" i="3"/>
  <c r="D556" i="3"/>
  <c r="C556" i="3"/>
  <c r="E556" i="3"/>
  <c r="A557" i="3"/>
  <c r="B557" i="3"/>
  <c r="D557" i="3"/>
  <c r="C557" i="3"/>
  <c r="E557" i="3"/>
  <c r="A558" i="3"/>
  <c r="B558" i="3"/>
  <c r="D558" i="3"/>
  <c r="C558" i="3"/>
  <c r="E558" i="3"/>
  <c r="A559" i="3"/>
  <c r="B559" i="3"/>
  <c r="D559" i="3"/>
  <c r="C559" i="3"/>
  <c r="E559" i="3"/>
  <c r="A560" i="3"/>
  <c r="B560" i="3"/>
  <c r="D560" i="3"/>
  <c r="C560" i="3"/>
  <c r="E560" i="3"/>
  <c r="A561" i="3"/>
  <c r="B561" i="3"/>
  <c r="D561" i="3"/>
  <c r="C561" i="3"/>
  <c r="E561" i="3"/>
  <c r="A562" i="3"/>
  <c r="B562" i="3"/>
  <c r="D562" i="3"/>
  <c r="C562" i="3"/>
  <c r="E562" i="3"/>
  <c r="A563" i="3"/>
  <c r="B563" i="3"/>
  <c r="D563" i="3"/>
  <c r="C563" i="3"/>
  <c r="E563" i="3"/>
  <c r="A564" i="3"/>
  <c r="B564" i="3"/>
  <c r="D564" i="3"/>
  <c r="C564" i="3"/>
  <c r="E564" i="3"/>
  <c r="A565" i="3"/>
  <c r="B565" i="3"/>
  <c r="D565" i="3"/>
  <c r="C565" i="3"/>
  <c r="E565" i="3"/>
  <c r="A566" i="3"/>
  <c r="B566" i="3"/>
  <c r="D566" i="3"/>
  <c r="C566" i="3"/>
  <c r="E566" i="3"/>
  <c r="A567" i="3"/>
  <c r="B567" i="3"/>
  <c r="D567" i="3"/>
  <c r="C567" i="3"/>
  <c r="E567" i="3"/>
  <c r="A568" i="3"/>
  <c r="B568" i="3"/>
  <c r="D568" i="3"/>
  <c r="C568" i="3"/>
  <c r="E568" i="3"/>
  <c r="A569" i="3"/>
  <c r="B569" i="3"/>
  <c r="D569" i="3"/>
  <c r="C569" i="3"/>
  <c r="E569" i="3"/>
  <c r="A570" i="3"/>
  <c r="B570" i="3"/>
  <c r="D570" i="3"/>
  <c r="C570" i="3"/>
  <c r="E570" i="3"/>
  <c r="A571" i="3"/>
  <c r="B571" i="3"/>
  <c r="D571" i="3"/>
  <c r="C571" i="3"/>
  <c r="E571" i="3"/>
  <c r="A572" i="3"/>
  <c r="B572" i="3"/>
  <c r="D572" i="3"/>
  <c r="C572" i="3"/>
  <c r="E572" i="3"/>
  <c r="A573" i="3"/>
  <c r="B573" i="3"/>
  <c r="D573" i="3"/>
  <c r="C573" i="3"/>
  <c r="E573" i="3"/>
  <c r="A574" i="3"/>
  <c r="B574" i="3"/>
  <c r="D574" i="3"/>
  <c r="C574" i="3"/>
  <c r="E574" i="3"/>
  <c r="A575" i="3"/>
  <c r="B575" i="3"/>
  <c r="D575" i="3"/>
  <c r="C575" i="3"/>
  <c r="E575" i="3"/>
  <c r="A576" i="3"/>
  <c r="B576" i="3"/>
  <c r="D576" i="3"/>
  <c r="C576" i="3"/>
  <c r="E576" i="3"/>
  <c r="A577" i="3"/>
  <c r="B577" i="3"/>
  <c r="D577" i="3"/>
  <c r="C577" i="3"/>
  <c r="E577" i="3"/>
  <c r="A578" i="3"/>
  <c r="B578" i="3"/>
  <c r="D578" i="3"/>
  <c r="C578" i="3"/>
  <c r="E578" i="3"/>
  <c r="A579" i="3"/>
  <c r="B579" i="3"/>
  <c r="D579" i="3"/>
  <c r="C579" i="3"/>
  <c r="E579" i="3"/>
  <c r="A580" i="3"/>
  <c r="B580" i="3"/>
  <c r="D580" i="3"/>
  <c r="C580" i="3"/>
  <c r="E580" i="3"/>
  <c r="A581" i="3"/>
  <c r="B581" i="3"/>
  <c r="D581" i="3"/>
  <c r="C581" i="3"/>
  <c r="E581" i="3"/>
  <c r="A582" i="3"/>
  <c r="B582" i="3"/>
  <c r="D582" i="3"/>
  <c r="C582" i="3"/>
  <c r="E582" i="3"/>
  <c r="A583" i="3"/>
  <c r="B583" i="3"/>
  <c r="D583" i="3"/>
  <c r="C583" i="3"/>
  <c r="E583" i="3"/>
  <c r="A584" i="3"/>
  <c r="B584" i="3"/>
  <c r="D584" i="3"/>
  <c r="C584" i="3"/>
  <c r="E584" i="3"/>
  <c r="A585" i="3"/>
  <c r="B585" i="3"/>
  <c r="D585" i="3"/>
  <c r="C585" i="3"/>
  <c r="E585" i="3"/>
  <c r="A586" i="3"/>
  <c r="B586" i="3"/>
  <c r="D586" i="3"/>
  <c r="C586" i="3"/>
  <c r="E586" i="3"/>
  <c r="A587" i="3"/>
  <c r="B587" i="3"/>
  <c r="D587" i="3"/>
  <c r="C587" i="3"/>
  <c r="E587" i="3"/>
  <c r="A588" i="3"/>
  <c r="B588" i="3"/>
  <c r="D588" i="3"/>
  <c r="C588" i="3"/>
  <c r="E588" i="3"/>
  <c r="A589" i="3"/>
  <c r="B589" i="3"/>
  <c r="D589" i="3"/>
  <c r="C589" i="3"/>
  <c r="E589" i="3"/>
  <c r="A590" i="3"/>
  <c r="B590" i="3"/>
  <c r="D590" i="3"/>
  <c r="C590" i="3"/>
  <c r="E590" i="3"/>
  <c r="A591" i="3"/>
  <c r="B591" i="3"/>
  <c r="D591" i="3"/>
  <c r="C591" i="3"/>
  <c r="E591" i="3"/>
  <c r="A592" i="3"/>
  <c r="B592" i="3"/>
  <c r="D592" i="3"/>
  <c r="C592" i="3"/>
  <c r="E592" i="3"/>
  <c r="A593" i="3"/>
  <c r="B593" i="3"/>
  <c r="D593" i="3"/>
  <c r="C593" i="3"/>
  <c r="E593" i="3"/>
  <c r="A594" i="3"/>
  <c r="B594" i="3"/>
  <c r="D594" i="3"/>
  <c r="C594" i="3"/>
  <c r="E594" i="3"/>
  <c r="A595" i="3"/>
  <c r="B595" i="3"/>
  <c r="D595" i="3"/>
  <c r="C595" i="3"/>
  <c r="E595" i="3"/>
  <c r="A596" i="3"/>
  <c r="B596" i="3"/>
  <c r="D596" i="3"/>
  <c r="C596" i="3"/>
  <c r="E596" i="3"/>
  <c r="A597" i="3"/>
  <c r="B597" i="3"/>
  <c r="D597" i="3"/>
  <c r="C597" i="3"/>
  <c r="E597" i="3"/>
  <c r="A598" i="3"/>
  <c r="B598" i="3"/>
  <c r="D598" i="3"/>
  <c r="C598" i="3"/>
  <c r="E598" i="3"/>
  <c r="A599" i="3"/>
  <c r="B599" i="3"/>
  <c r="D599" i="3"/>
  <c r="C599" i="3"/>
  <c r="E599" i="3"/>
  <c r="A600" i="3"/>
  <c r="B600" i="3"/>
  <c r="D600" i="3"/>
  <c r="C600" i="3"/>
  <c r="E600" i="3"/>
  <c r="A601" i="3"/>
  <c r="B601" i="3"/>
  <c r="D601" i="3"/>
  <c r="C601" i="3"/>
  <c r="E601" i="3"/>
  <c r="A602" i="3"/>
  <c r="B602" i="3"/>
  <c r="D602" i="3"/>
  <c r="C602" i="3"/>
  <c r="E602" i="3"/>
  <c r="A603" i="3"/>
  <c r="B603" i="3"/>
  <c r="D603" i="3"/>
  <c r="C603" i="3"/>
  <c r="E603" i="3"/>
  <c r="A604" i="3"/>
  <c r="B604" i="3"/>
  <c r="D604" i="3"/>
  <c r="C604" i="3"/>
  <c r="E604" i="3"/>
  <c r="A605" i="3"/>
  <c r="B605" i="3"/>
  <c r="D605" i="3"/>
  <c r="C605" i="3"/>
  <c r="E605" i="3"/>
  <c r="A606" i="3"/>
  <c r="B606" i="3"/>
  <c r="D606" i="3"/>
  <c r="C606" i="3"/>
  <c r="E606" i="3"/>
  <c r="A607" i="3"/>
  <c r="B607" i="3"/>
  <c r="D607" i="3"/>
  <c r="C607" i="3"/>
  <c r="E607" i="3"/>
  <c r="A608" i="3"/>
  <c r="B608" i="3"/>
  <c r="D608" i="3"/>
  <c r="C608" i="3"/>
  <c r="E608" i="3"/>
  <c r="A609" i="3"/>
  <c r="B609" i="3"/>
  <c r="D609" i="3"/>
  <c r="C609" i="3"/>
  <c r="E609" i="3"/>
  <c r="A610" i="3"/>
  <c r="B610" i="3"/>
  <c r="D610" i="3"/>
  <c r="C610" i="3"/>
  <c r="E610" i="3"/>
  <c r="A611" i="3"/>
  <c r="B611" i="3"/>
  <c r="D611" i="3"/>
  <c r="C611" i="3"/>
  <c r="E611" i="3"/>
  <c r="A612" i="3"/>
  <c r="B612" i="3"/>
  <c r="D612" i="3"/>
  <c r="C612" i="3"/>
  <c r="E612" i="3"/>
  <c r="A613" i="3"/>
  <c r="B613" i="3"/>
  <c r="D613" i="3"/>
  <c r="C613" i="3"/>
  <c r="E613" i="3"/>
  <c r="A614" i="3"/>
  <c r="B614" i="3"/>
  <c r="D614" i="3"/>
  <c r="C614" i="3"/>
  <c r="E614" i="3"/>
  <c r="A615" i="3"/>
  <c r="B615" i="3"/>
  <c r="D615" i="3"/>
  <c r="C615" i="3"/>
  <c r="E615" i="3"/>
  <c r="A616" i="3"/>
  <c r="B616" i="3"/>
  <c r="D616" i="3"/>
  <c r="C616" i="3"/>
  <c r="E616" i="3"/>
  <c r="A617" i="3"/>
  <c r="B617" i="3"/>
  <c r="D617" i="3"/>
  <c r="C617" i="3"/>
  <c r="E617" i="3"/>
  <c r="A618" i="3"/>
  <c r="B618" i="3"/>
  <c r="D618" i="3"/>
  <c r="C618" i="3"/>
  <c r="E618" i="3"/>
  <c r="A619" i="3"/>
  <c r="B619" i="3"/>
  <c r="D619" i="3"/>
  <c r="C619" i="3"/>
  <c r="E619" i="3"/>
  <c r="A620" i="3"/>
  <c r="B620" i="3"/>
  <c r="D620" i="3"/>
  <c r="C620" i="3"/>
  <c r="E620" i="3"/>
  <c r="A621" i="3"/>
  <c r="B621" i="3"/>
  <c r="D621" i="3"/>
  <c r="C621" i="3"/>
  <c r="E621" i="3"/>
  <c r="A622" i="3"/>
  <c r="B622" i="3"/>
  <c r="D622" i="3"/>
  <c r="C622" i="3"/>
  <c r="E622" i="3"/>
  <c r="A623" i="3"/>
  <c r="B623" i="3"/>
  <c r="D623" i="3"/>
  <c r="C623" i="3"/>
  <c r="E623" i="3"/>
  <c r="A624" i="3"/>
  <c r="B624" i="3"/>
  <c r="D624" i="3"/>
  <c r="C624" i="3"/>
  <c r="E624" i="3"/>
  <c r="A625" i="3"/>
  <c r="B625" i="3"/>
  <c r="D625" i="3"/>
  <c r="C625" i="3"/>
  <c r="E625" i="3"/>
  <c r="A626" i="3"/>
  <c r="B626" i="3"/>
  <c r="D626" i="3"/>
  <c r="C626" i="3"/>
  <c r="E626" i="3"/>
  <c r="A627" i="3"/>
  <c r="B627" i="3"/>
  <c r="D627" i="3"/>
  <c r="C627" i="3"/>
  <c r="E627" i="3"/>
  <c r="A628" i="3"/>
  <c r="B628" i="3"/>
  <c r="D628" i="3"/>
  <c r="C628" i="3"/>
  <c r="E628" i="3"/>
  <c r="A629" i="3"/>
  <c r="B629" i="3"/>
  <c r="D629" i="3"/>
  <c r="C629" i="3"/>
  <c r="E629" i="3"/>
  <c r="A630" i="3"/>
  <c r="B630" i="3"/>
  <c r="D630" i="3"/>
  <c r="C630" i="3"/>
  <c r="E630" i="3"/>
  <c r="A631" i="3"/>
  <c r="B631" i="3"/>
  <c r="D631" i="3"/>
  <c r="C631" i="3"/>
  <c r="E631" i="3"/>
  <c r="A632" i="3"/>
  <c r="B632" i="3"/>
  <c r="D632" i="3"/>
  <c r="C632" i="3"/>
  <c r="E632" i="3"/>
  <c r="A633" i="3"/>
  <c r="B633" i="3"/>
  <c r="D633" i="3"/>
  <c r="C633" i="3"/>
  <c r="E633" i="3"/>
  <c r="A634" i="3"/>
  <c r="B634" i="3"/>
  <c r="D634" i="3"/>
  <c r="C634" i="3"/>
  <c r="E634" i="3"/>
  <c r="A635" i="3"/>
  <c r="B635" i="3"/>
  <c r="D635" i="3"/>
  <c r="C635" i="3"/>
  <c r="E635" i="3"/>
  <c r="A636" i="3"/>
  <c r="B636" i="3"/>
  <c r="D636" i="3"/>
  <c r="C636" i="3"/>
  <c r="E636" i="3"/>
  <c r="A637" i="3"/>
  <c r="B637" i="3"/>
  <c r="D637" i="3"/>
  <c r="C637" i="3"/>
  <c r="E637" i="3"/>
  <c r="A638" i="3"/>
  <c r="B638" i="3"/>
  <c r="D638" i="3"/>
  <c r="C638" i="3"/>
  <c r="E638" i="3"/>
  <c r="A639" i="3"/>
  <c r="B639" i="3"/>
  <c r="D639" i="3"/>
  <c r="C639" i="3"/>
  <c r="E639" i="3"/>
  <c r="A640" i="3"/>
  <c r="B640" i="3"/>
  <c r="D640" i="3"/>
  <c r="C640" i="3"/>
  <c r="E640" i="3"/>
  <c r="A641" i="3"/>
  <c r="B641" i="3"/>
  <c r="D641" i="3"/>
  <c r="C641" i="3"/>
  <c r="E641" i="3"/>
  <c r="A642" i="3"/>
  <c r="B642" i="3"/>
  <c r="D642" i="3"/>
  <c r="C642" i="3"/>
  <c r="E642" i="3"/>
  <c r="A643" i="3"/>
  <c r="B643" i="3"/>
  <c r="D643" i="3"/>
  <c r="C643" i="3"/>
  <c r="E643" i="3"/>
  <c r="A644" i="3"/>
  <c r="B644" i="3"/>
  <c r="D644" i="3"/>
  <c r="C644" i="3"/>
  <c r="E644" i="3"/>
  <c r="A645" i="3"/>
  <c r="B645" i="3"/>
  <c r="D645" i="3"/>
  <c r="C645" i="3"/>
  <c r="E645" i="3"/>
  <c r="A646" i="3"/>
  <c r="B646" i="3"/>
  <c r="D646" i="3"/>
  <c r="C646" i="3"/>
  <c r="E646" i="3"/>
  <c r="A647" i="3"/>
  <c r="B647" i="3"/>
  <c r="D647" i="3"/>
  <c r="C647" i="3"/>
  <c r="E647" i="3"/>
  <c r="A648" i="3"/>
  <c r="B648" i="3"/>
  <c r="D648" i="3"/>
  <c r="C648" i="3"/>
  <c r="E648" i="3"/>
  <c r="A649" i="3"/>
  <c r="B649" i="3"/>
  <c r="D649" i="3"/>
  <c r="C649" i="3"/>
  <c r="E649" i="3"/>
  <c r="A650" i="3"/>
  <c r="B650" i="3"/>
  <c r="D650" i="3"/>
  <c r="C650" i="3"/>
  <c r="E650" i="3"/>
  <c r="A651" i="3"/>
  <c r="B651" i="3"/>
  <c r="D651" i="3"/>
  <c r="C651" i="3"/>
  <c r="E651" i="3"/>
  <c r="A652" i="3"/>
  <c r="B652" i="3"/>
  <c r="D652" i="3"/>
  <c r="C652" i="3"/>
  <c r="E652" i="3"/>
  <c r="A653" i="3"/>
  <c r="B653" i="3"/>
  <c r="D653" i="3"/>
  <c r="C653" i="3"/>
  <c r="E653" i="3"/>
  <c r="A654" i="3"/>
  <c r="B654" i="3"/>
  <c r="D654" i="3"/>
  <c r="C654" i="3"/>
  <c r="E654" i="3"/>
  <c r="A655" i="3"/>
  <c r="B655" i="3"/>
  <c r="D655" i="3"/>
  <c r="C655" i="3"/>
  <c r="E655" i="3"/>
  <c r="A656" i="3"/>
  <c r="B656" i="3"/>
  <c r="D656" i="3"/>
  <c r="C656" i="3"/>
  <c r="E656" i="3"/>
  <c r="A657" i="3"/>
  <c r="B657" i="3"/>
  <c r="D657" i="3"/>
  <c r="C657" i="3"/>
  <c r="E657" i="3"/>
  <c r="A658" i="3"/>
  <c r="B658" i="3"/>
  <c r="D658" i="3"/>
  <c r="C658" i="3"/>
  <c r="E658" i="3"/>
  <c r="A659" i="3"/>
  <c r="B659" i="3"/>
  <c r="D659" i="3"/>
  <c r="C659" i="3"/>
  <c r="E659" i="3"/>
  <c r="A660" i="3"/>
  <c r="B660" i="3"/>
  <c r="D660" i="3"/>
  <c r="C660" i="3"/>
  <c r="E660" i="3"/>
  <c r="A661" i="3"/>
  <c r="B661" i="3"/>
  <c r="D661" i="3"/>
  <c r="C661" i="3"/>
  <c r="E661" i="3"/>
  <c r="A662" i="3"/>
  <c r="B662" i="3"/>
  <c r="D662" i="3"/>
  <c r="C662" i="3"/>
  <c r="E662" i="3"/>
  <c r="A663" i="3"/>
  <c r="B663" i="3"/>
  <c r="D663" i="3"/>
  <c r="C663" i="3"/>
  <c r="E663" i="3"/>
  <c r="A664" i="3"/>
  <c r="B664" i="3"/>
  <c r="D664" i="3"/>
  <c r="C664" i="3"/>
  <c r="E664" i="3"/>
  <c r="A665" i="3"/>
  <c r="B665" i="3"/>
  <c r="D665" i="3"/>
  <c r="C665" i="3"/>
  <c r="E665" i="3"/>
  <c r="A666" i="3"/>
  <c r="B666" i="3"/>
  <c r="D666" i="3"/>
  <c r="C666" i="3"/>
  <c r="E666" i="3"/>
  <c r="A667" i="3"/>
  <c r="B667" i="3"/>
  <c r="D667" i="3"/>
  <c r="C667" i="3"/>
  <c r="E667" i="3"/>
  <c r="A668" i="3"/>
  <c r="B668" i="3"/>
  <c r="D668" i="3"/>
  <c r="C668" i="3"/>
  <c r="E668" i="3"/>
  <c r="A669" i="3"/>
  <c r="B669" i="3"/>
  <c r="D669" i="3"/>
  <c r="C669" i="3"/>
  <c r="E669" i="3"/>
  <c r="A670" i="3"/>
  <c r="B670" i="3"/>
  <c r="D670" i="3"/>
  <c r="C670" i="3"/>
  <c r="E670" i="3"/>
  <c r="A671" i="3"/>
  <c r="B671" i="3"/>
  <c r="D671" i="3"/>
  <c r="C671" i="3"/>
  <c r="E671" i="3"/>
  <c r="A672" i="3"/>
  <c r="B672" i="3"/>
  <c r="D672" i="3"/>
  <c r="C672" i="3"/>
  <c r="E672" i="3"/>
  <c r="A673" i="3"/>
  <c r="B673" i="3"/>
  <c r="D673" i="3"/>
  <c r="C673" i="3"/>
  <c r="E673" i="3"/>
  <c r="A674" i="3"/>
  <c r="B674" i="3"/>
  <c r="D674" i="3"/>
  <c r="C674" i="3"/>
  <c r="E674" i="3"/>
  <c r="A675" i="3"/>
  <c r="B675" i="3"/>
  <c r="D675" i="3"/>
  <c r="C675" i="3"/>
  <c r="E675" i="3"/>
  <c r="A676" i="3"/>
  <c r="B676" i="3"/>
  <c r="D676" i="3"/>
  <c r="C676" i="3"/>
  <c r="E676" i="3"/>
  <c r="A677" i="3"/>
  <c r="B677" i="3"/>
  <c r="D677" i="3"/>
  <c r="C677" i="3"/>
  <c r="E677" i="3"/>
  <c r="A678" i="3"/>
  <c r="B678" i="3"/>
  <c r="D678" i="3"/>
  <c r="C678" i="3"/>
  <c r="E678" i="3"/>
  <c r="A679" i="3"/>
  <c r="B679" i="3"/>
  <c r="D679" i="3"/>
  <c r="C679" i="3"/>
  <c r="E679" i="3"/>
  <c r="A680" i="3"/>
  <c r="B680" i="3"/>
  <c r="D680" i="3"/>
  <c r="C680" i="3"/>
  <c r="E680" i="3"/>
  <c r="A681" i="3"/>
  <c r="B681" i="3"/>
  <c r="D681" i="3"/>
  <c r="C681" i="3"/>
  <c r="E681" i="3"/>
  <c r="A682" i="3"/>
  <c r="B682" i="3"/>
  <c r="D682" i="3"/>
  <c r="C682" i="3"/>
  <c r="E682" i="3"/>
  <c r="A683" i="3"/>
  <c r="B683" i="3"/>
  <c r="D683" i="3"/>
  <c r="C683" i="3"/>
  <c r="E683" i="3"/>
  <c r="A684" i="3"/>
  <c r="B684" i="3"/>
  <c r="D684" i="3"/>
  <c r="C684" i="3"/>
  <c r="E684" i="3"/>
  <c r="A685" i="3"/>
  <c r="B685" i="3"/>
  <c r="D685" i="3"/>
  <c r="C685" i="3"/>
  <c r="E685" i="3"/>
  <c r="A686" i="3"/>
  <c r="B686" i="3"/>
  <c r="D686" i="3"/>
  <c r="C686" i="3"/>
  <c r="E686" i="3"/>
  <c r="A687" i="3"/>
  <c r="B687" i="3"/>
  <c r="D687" i="3"/>
  <c r="C687" i="3"/>
  <c r="E687" i="3"/>
  <c r="A688" i="3"/>
  <c r="B688" i="3"/>
  <c r="D688" i="3"/>
  <c r="C688" i="3"/>
  <c r="E688" i="3"/>
  <c r="A689" i="3"/>
  <c r="B689" i="3"/>
  <c r="D689" i="3"/>
  <c r="C689" i="3"/>
  <c r="E689" i="3"/>
  <c r="A690" i="3"/>
  <c r="B690" i="3"/>
  <c r="D690" i="3"/>
  <c r="C690" i="3"/>
  <c r="E690" i="3"/>
  <c r="A691" i="3"/>
  <c r="B691" i="3"/>
  <c r="D691" i="3"/>
  <c r="C691" i="3"/>
  <c r="E691" i="3"/>
  <c r="A692" i="3"/>
  <c r="B692" i="3"/>
  <c r="D692" i="3"/>
  <c r="C692" i="3"/>
  <c r="E692" i="3"/>
  <c r="A693" i="3"/>
  <c r="B693" i="3"/>
  <c r="D693" i="3"/>
  <c r="C693" i="3"/>
  <c r="E693" i="3"/>
  <c r="A694" i="3"/>
  <c r="B694" i="3"/>
  <c r="D694" i="3"/>
  <c r="C694" i="3"/>
  <c r="E694" i="3"/>
  <c r="A695" i="3"/>
  <c r="B695" i="3"/>
  <c r="D695" i="3"/>
  <c r="C695" i="3"/>
  <c r="E695" i="3"/>
  <c r="A696" i="3"/>
  <c r="B696" i="3"/>
  <c r="D696" i="3"/>
  <c r="C696" i="3"/>
  <c r="E696" i="3"/>
  <c r="A697" i="3"/>
  <c r="B697" i="3"/>
  <c r="D697" i="3"/>
  <c r="C697" i="3"/>
  <c r="E697" i="3"/>
  <c r="A698" i="3"/>
  <c r="B698" i="3"/>
  <c r="D698" i="3"/>
  <c r="C698" i="3"/>
  <c r="E698" i="3"/>
  <c r="A699" i="3"/>
  <c r="B699" i="3"/>
  <c r="D699" i="3"/>
  <c r="C699" i="3"/>
  <c r="E699" i="3"/>
  <c r="A700" i="3"/>
  <c r="B700" i="3"/>
  <c r="D700" i="3"/>
  <c r="C700" i="3"/>
  <c r="E700" i="3"/>
  <c r="A701" i="3"/>
  <c r="B701" i="3"/>
  <c r="D701" i="3"/>
  <c r="C701" i="3"/>
  <c r="E701" i="3"/>
  <c r="A702" i="3"/>
  <c r="B702" i="3"/>
  <c r="D702" i="3"/>
  <c r="C702" i="3"/>
  <c r="E702" i="3"/>
  <c r="A703" i="3"/>
  <c r="B703" i="3"/>
  <c r="D703" i="3"/>
  <c r="C703" i="3"/>
  <c r="E703" i="3"/>
  <c r="A704" i="3"/>
  <c r="B704" i="3"/>
  <c r="D704" i="3"/>
  <c r="C704" i="3"/>
  <c r="E704" i="3"/>
  <c r="A705" i="3"/>
  <c r="B705" i="3"/>
  <c r="D705" i="3"/>
  <c r="C705" i="3"/>
  <c r="E705" i="3"/>
  <c r="A706" i="3"/>
  <c r="B706" i="3"/>
  <c r="D706" i="3"/>
  <c r="C706" i="3"/>
  <c r="E706" i="3"/>
  <c r="A707" i="3"/>
  <c r="B707" i="3"/>
  <c r="D707" i="3"/>
  <c r="C707" i="3"/>
  <c r="E707" i="3"/>
  <c r="A708" i="3"/>
  <c r="B708" i="3"/>
  <c r="D708" i="3"/>
  <c r="C708" i="3"/>
  <c r="E708" i="3"/>
  <c r="A709" i="3"/>
  <c r="B709" i="3"/>
  <c r="D709" i="3"/>
  <c r="C709" i="3"/>
  <c r="E709" i="3"/>
  <c r="A710" i="3"/>
  <c r="B710" i="3"/>
  <c r="D710" i="3"/>
  <c r="C710" i="3"/>
  <c r="E710" i="3"/>
  <c r="A711" i="3"/>
  <c r="B711" i="3"/>
  <c r="D711" i="3"/>
  <c r="C711" i="3"/>
  <c r="E711" i="3"/>
  <c r="A712" i="3"/>
  <c r="B712" i="3"/>
  <c r="D712" i="3"/>
  <c r="C712" i="3"/>
  <c r="E712" i="3"/>
  <c r="A713" i="3"/>
  <c r="B713" i="3"/>
  <c r="D713" i="3"/>
  <c r="C713" i="3"/>
  <c r="E713" i="3"/>
  <c r="A714" i="3"/>
  <c r="B714" i="3"/>
  <c r="D714" i="3"/>
  <c r="C714" i="3"/>
  <c r="E714" i="3"/>
  <c r="A715" i="3"/>
  <c r="B715" i="3"/>
  <c r="D715" i="3"/>
  <c r="C715" i="3"/>
  <c r="E715" i="3"/>
  <c r="A716" i="3"/>
  <c r="B716" i="3"/>
  <c r="D716" i="3"/>
  <c r="C716" i="3"/>
  <c r="E716" i="3"/>
  <c r="A717" i="3"/>
  <c r="B717" i="3"/>
  <c r="D717" i="3"/>
  <c r="C717" i="3"/>
  <c r="E717" i="3"/>
  <c r="A718" i="3"/>
  <c r="B718" i="3"/>
  <c r="D718" i="3"/>
  <c r="C718" i="3"/>
  <c r="E718" i="3"/>
  <c r="A719" i="3"/>
  <c r="B719" i="3"/>
  <c r="D719" i="3"/>
  <c r="C719" i="3"/>
  <c r="E719" i="3"/>
  <c r="A720" i="3"/>
  <c r="B720" i="3"/>
  <c r="D720" i="3"/>
  <c r="C720" i="3"/>
  <c r="E720" i="3"/>
  <c r="A721" i="3"/>
  <c r="B721" i="3"/>
  <c r="D721" i="3"/>
  <c r="C721" i="3"/>
  <c r="E721" i="3"/>
  <c r="A722" i="3"/>
  <c r="B722" i="3"/>
  <c r="D722" i="3"/>
  <c r="C722" i="3"/>
  <c r="E722" i="3"/>
  <c r="A723" i="3"/>
  <c r="B723" i="3"/>
  <c r="D723" i="3"/>
  <c r="C723" i="3"/>
  <c r="E723" i="3"/>
  <c r="A724" i="3"/>
  <c r="B724" i="3"/>
  <c r="D724" i="3"/>
  <c r="C724" i="3"/>
  <c r="E724" i="3"/>
  <c r="A725" i="3"/>
  <c r="B725" i="3"/>
  <c r="D725" i="3"/>
  <c r="C725" i="3"/>
  <c r="E725" i="3"/>
  <c r="A726" i="3"/>
  <c r="B726" i="3"/>
  <c r="D726" i="3"/>
  <c r="C726" i="3"/>
  <c r="E726" i="3"/>
  <c r="A727" i="3"/>
  <c r="B727" i="3"/>
  <c r="D727" i="3"/>
  <c r="C727" i="3"/>
  <c r="E727" i="3"/>
  <c r="A728" i="3"/>
  <c r="B728" i="3"/>
  <c r="D728" i="3"/>
  <c r="C728" i="3"/>
  <c r="E728" i="3"/>
  <c r="A729" i="3"/>
  <c r="B729" i="3"/>
  <c r="D729" i="3"/>
  <c r="C729" i="3"/>
  <c r="E729" i="3"/>
  <c r="A730" i="3"/>
  <c r="B730" i="3"/>
  <c r="D730" i="3"/>
  <c r="C730" i="3"/>
  <c r="E730" i="3"/>
  <c r="A731" i="3"/>
  <c r="B731" i="3"/>
  <c r="D731" i="3"/>
  <c r="C731" i="3"/>
  <c r="E731" i="3"/>
  <c r="A732" i="3"/>
  <c r="B732" i="3"/>
  <c r="D732" i="3"/>
  <c r="C732" i="3"/>
  <c r="E732" i="3"/>
  <c r="A733" i="3"/>
  <c r="B733" i="3"/>
  <c r="D733" i="3"/>
  <c r="C733" i="3"/>
  <c r="E733" i="3"/>
  <c r="A734" i="3"/>
  <c r="B734" i="3"/>
  <c r="D734" i="3"/>
  <c r="C734" i="3"/>
  <c r="E734" i="3"/>
  <c r="A735" i="3"/>
  <c r="B735" i="3"/>
  <c r="D735" i="3"/>
  <c r="C735" i="3"/>
  <c r="E735" i="3"/>
  <c r="A736" i="3"/>
  <c r="B736" i="3"/>
  <c r="D736" i="3"/>
  <c r="C736" i="3"/>
  <c r="E736" i="3"/>
  <c r="A737" i="3"/>
  <c r="B737" i="3"/>
  <c r="D737" i="3"/>
  <c r="C737" i="3"/>
  <c r="E737" i="3"/>
  <c r="A738" i="3"/>
  <c r="B738" i="3"/>
  <c r="D738" i="3"/>
  <c r="C738" i="3"/>
  <c r="E738" i="3"/>
  <c r="A739" i="3"/>
  <c r="B739" i="3"/>
  <c r="D739" i="3"/>
  <c r="C739" i="3"/>
  <c r="E739" i="3"/>
  <c r="A740" i="3"/>
  <c r="B740" i="3"/>
  <c r="D740" i="3"/>
  <c r="C740" i="3"/>
  <c r="E740" i="3"/>
  <c r="A741" i="3"/>
  <c r="B741" i="3"/>
  <c r="D741" i="3"/>
  <c r="C741" i="3"/>
  <c r="E741" i="3"/>
  <c r="A742" i="3"/>
  <c r="B742" i="3"/>
  <c r="D742" i="3"/>
  <c r="C742" i="3"/>
  <c r="E742" i="3"/>
  <c r="A743" i="3"/>
  <c r="B743" i="3"/>
  <c r="D743" i="3"/>
  <c r="C743" i="3"/>
  <c r="E743" i="3"/>
  <c r="A744" i="3"/>
  <c r="B744" i="3"/>
  <c r="D744" i="3"/>
  <c r="C744" i="3"/>
  <c r="E744" i="3"/>
  <c r="A745" i="3"/>
  <c r="B745" i="3"/>
  <c r="D745" i="3"/>
  <c r="C745" i="3"/>
  <c r="E745" i="3"/>
  <c r="A746" i="3"/>
  <c r="B746" i="3"/>
  <c r="D746" i="3"/>
  <c r="C746" i="3"/>
  <c r="E746" i="3"/>
  <c r="A747" i="3"/>
  <c r="B747" i="3"/>
  <c r="D747" i="3"/>
  <c r="C747" i="3"/>
  <c r="E747" i="3"/>
  <c r="A748" i="3"/>
  <c r="B748" i="3"/>
  <c r="D748" i="3"/>
  <c r="C748" i="3"/>
  <c r="E748" i="3"/>
  <c r="A749" i="3"/>
  <c r="B749" i="3"/>
  <c r="D749" i="3"/>
  <c r="C749" i="3"/>
  <c r="E749" i="3"/>
  <c r="A750" i="3"/>
  <c r="B750" i="3"/>
  <c r="D750" i="3"/>
  <c r="C750" i="3"/>
  <c r="E750" i="3"/>
  <c r="A751" i="3"/>
  <c r="B751" i="3"/>
  <c r="D751" i="3"/>
  <c r="C751" i="3"/>
  <c r="E751" i="3"/>
  <c r="A752" i="3"/>
  <c r="B752" i="3"/>
  <c r="D752" i="3"/>
  <c r="C752" i="3"/>
  <c r="E752" i="3"/>
  <c r="A753" i="3"/>
  <c r="B753" i="3"/>
  <c r="D753" i="3"/>
  <c r="C753" i="3"/>
  <c r="E753" i="3"/>
  <c r="A754" i="3"/>
  <c r="B754" i="3"/>
  <c r="D754" i="3"/>
  <c r="C754" i="3"/>
  <c r="E754" i="3"/>
  <c r="A755" i="3"/>
  <c r="B755" i="3"/>
  <c r="D755" i="3"/>
  <c r="C755" i="3"/>
  <c r="E755" i="3"/>
  <c r="A756" i="3"/>
  <c r="B756" i="3"/>
  <c r="D756" i="3"/>
  <c r="C756" i="3"/>
  <c r="E756" i="3"/>
  <c r="A757" i="3"/>
  <c r="B757" i="3"/>
  <c r="D757" i="3"/>
  <c r="C757" i="3"/>
  <c r="E757" i="3"/>
  <c r="A758" i="3"/>
  <c r="B758" i="3"/>
  <c r="D758" i="3"/>
  <c r="C758" i="3"/>
  <c r="E758" i="3"/>
  <c r="A759" i="3"/>
  <c r="B759" i="3"/>
  <c r="D759" i="3"/>
  <c r="C759" i="3"/>
  <c r="E759" i="3"/>
  <c r="A760" i="3"/>
  <c r="B760" i="3"/>
  <c r="D760" i="3"/>
  <c r="C760" i="3"/>
  <c r="E760" i="3"/>
  <c r="A761" i="3"/>
  <c r="B761" i="3"/>
  <c r="D761" i="3"/>
  <c r="C761" i="3"/>
  <c r="E761" i="3"/>
  <c r="A762" i="3"/>
  <c r="B762" i="3"/>
  <c r="D762" i="3"/>
  <c r="C762" i="3"/>
  <c r="E762" i="3"/>
  <c r="A763" i="3"/>
  <c r="B763" i="3"/>
  <c r="D763" i="3"/>
  <c r="C763" i="3"/>
  <c r="E763" i="3"/>
  <c r="A764" i="3"/>
  <c r="B764" i="3"/>
  <c r="D764" i="3"/>
  <c r="C764" i="3"/>
  <c r="E764" i="3"/>
  <c r="A765" i="3"/>
  <c r="B765" i="3"/>
  <c r="D765" i="3"/>
  <c r="C765" i="3"/>
  <c r="E765" i="3"/>
  <c r="A766" i="3"/>
  <c r="B766" i="3"/>
  <c r="D766" i="3"/>
  <c r="C766" i="3"/>
  <c r="E766" i="3"/>
  <c r="A767" i="3"/>
  <c r="B767" i="3"/>
  <c r="D767" i="3"/>
  <c r="C767" i="3"/>
  <c r="E767" i="3"/>
  <c r="A768" i="3"/>
  <c r="B768" i="3"/>
  <c r="D768" i="3"/>
  <c r="C768" i="3"/>
  <c r="E768" i="3"/>
  <c r="A769" i="3"/>
  <c r="B769" i="3"/>
  <c r="D769" i="3"/>
  <c r="C769" i="3"/>
  <c r="E769" i="3"/>
  <c r="A770" i="3"/>
  <c r="B770" i="3"/>
  <c r="D770" i="3"/>
  <c r="C770" i="3"/>
  <c r="E770" i="3"/>
  <c r="A771" i="3"/>
  <c r="B771" i="3"/>
  <c r="D771" i="3"/>
  <c r="C771" i="3"/>
  <c r="E771" i="3"/>
  <c r="A772" i="3"/>
  <c r="B772" i="3"/>
  <c r="D772" i="3"/>
  <c r="C772" i="3"/>
  <c r="E772" i="3"/>
  <c r="A773" i="3"/>
  <c r="B773" i="3"/>
  <c r="D773" i="3"/>
  <c r="C773" i="3"/>
  <c r="E773" i="3"/>
  <c r="A774" i="3"/>
  <c r="B774" i="3"/>
  <c r="D774" i="3"/>
  <c r="C774" i="3"/>
  <c r="E774" i="3"/>
  <c r="A775" i="3"/>
  <c r="B775" i="3"/>
  <c r="D775" i="3"/>
  <c r="C775" i="3"/>
  <c r="E775" i="3"/>
  <c r="A776" i="3"/>
  <c r="B776" i="3"/>
  <c r="D776" i="3"/>
  <c r="C776" i="3"/>
  <c r="E776" i="3"/>
  <c r="A777" i="3"/>
  <c r="B777" i="3"/>
  <c r="D777" i="3"/>
  <c r="C777" i="3"/>
  <c r="E777" i="3"/>
  <c r="A778" i="3"/>
  <c r="B778" i="3"/>
  <c r="D778" i="3"/>
  <c r="C778" i="3"/>
  <c r="E778" i="3"/>
  <c r="A779" i="3"/>
  <c r="B779" i="3"/>
  <c r="D779" i="3"/>
  <c r="C779" i="3"/>
  <c r="E779" i="3"/>
  <c r="A780" i="3"/>
  <c r="B780" i="3"/>
  <c r="D780" i="3"/>
  <c r="C780" i="3"/>
  <c r="E780" i="3"/>
  <c r="A781" i="3"/>
  <c r="B781" i="3"/>
  <c r="D781" i="3"/>
  <c r="C781" i="3"/>
  <c r="E781" i="3"/>
  <c r="A782" i="3"/>
  <c r="B782" i="3"/>
  <c r="D782" i="3"/>
  <c r="C782" i="3"/>
  <c r="E782" i="3"/>
  <c r="A783" i="3"/>
  <c r="B783" i="3"/>
  <c r="D783" i="3"/>
  <c r="C783" i="3"/>
  <c r="E783" i="3"/>
  <c r="A784" i="3"/>
  <c r="B784" i="3"/>
  <c r="D784" i="3"/>
  <c r="C784" i="3"/>
  <c r="E784" i="3"/>
  <c r="A785" i="3"/>
  <c r="B785" i="3"/>
  <c r="D785" i="3"/>
  <c r="C785" i="3"/>
  <c r="E785" i="3"/>
  <c r="A786" i="3"/>
  <c r="B786" i="3"/>
  <c r="D786" i="3"/>
  <c r="C786" i="3"/>
  <c r="E786" i="3"/>
  <c r="A787" i="3"/>
  <c r="B787" i="3"/>
  <c r="D787" i="3"/>
  <c r="C787" i="3"/>
  <c r="E787" i="3"/>
  <c r="A788" i="3"/>
  <c r="B788" i="3"/>
  <c r="D788" i="3"/>
  <c r="C788" i="3"/>
  <c r="E788" i="3"/>
  <c r="A789" i="3"/>
  <c r="B789" i="3"/>
  <c r="D789" i="3"/>
  <c r="C789" i="3"/>
  <c r="E789" i="3"/>
  <c r="A790" i="3"/>
  <c r="B790" i="3"/>
  <c r="D790" i="3"/>
  <c r="C790" i="3"/>
  <c r="E790" i="3"/>
  <c r="A791" i="3"/>
  <c r="B791" i="3"/>
  <c r="D791" i="3"/>
  <c r="C791" i="3"/>
  <c r="E791" i="3"/>
  <c r="A792" i="3"/>
  <c r="B792" i="3"/>
  <c r="C792" i="3"/>
  <c r="D792" i="3"/>
  <c r="E792" i="3"/>
  <c r="A793" i="3"/>
  <c r="B793" i="3"/>
  <c r="D793" i="3"/>
  <c r="C793" i="3"/>
  <c r="E793" i="3"/>
  <c r="A794" i="3"/>
  <c r="B794" i="3"/>
  <c r="D794" i="3"/>
  <c r="C794" i="3"/>
  <c r="E794" i="3"/>
  <c r="A795" i="3"/>
  <c r="B795" i="3"/>
  <c r="D795" i="3"/>
  <c r="C795" i="3"/>
  <c r="E795" i="3"/>
  <c r="A796" i="3"/>
  <c r="B796" i="3"/>
  <c r="D796" i="3"/>
  <c r="C796" i="3"/>
  <c r="E796" i="3"/>
  <c r="A797" i="3"/>
  <c r="B797" i="3"/>
  <c r="D797" i="3"/>
  <c r="C797" i="3"/>
  <c r="E797" i="3"/>
  <c r="A798" i="3"/>
  <c r="B798" i="3"/>
  <c r="D798" i="3"/>
  <c r="C798" i="3"/>
  <c r="E798" i="3"/>
  <c r="A799" i="3"/>
  <c r="B799" i="3"/>
  <c r="D799" i="3"/>
  <c r="C799" i="3"/>
  <c r="E799" i="3"/>
  <c r="A800" i="3"/>
  <c r="B800" i="3"/>
  <c r="D800" i="3"/>
  <c r="C800" i="3"/>
  <c r="E800" i="3"/>
  <c r="A801" i="3"/>
  <c r="B801" i="3"/>
  <c r="D801" i="3"/>
  <c r="C801" i="3"/>
  <c r="E801" i="3"/>
  <c r="A802" i="3"/>
  <c r="B802" i="3"/>
  <c r="D802" i="3"/>
  <c r="C802" i="3"/>
  <c r="E802" i="3"/>
  <c r="A803" i="3"/>
  <c r="B803" i="3"/>
  <c r="D803" i="3"/>
  <c r="C803" i="3"/>
  <c r="E803" i="3"/>
  <c r="A804" i="3"/>
  <c r="B804" i="3"/>
  <c r="D804" i="3"/>
  <c r="C804" i="3"/>
  <c r="E804" i="3"/>
  <c r="A805" i="3"/>
  <c r="B805" i="3"/>
  <c r="D805" i="3"/>
  <c r="C805" i="3"/>
  <c r="E805" i="3"/>
  <c r="A806" i="3"/>
  <c r="B806" i="3"/>
  <c r="D806" i="3"/>
  <c r="C806" i="3"/>
  <c r="E806" i="3"/>
  <c r="A807" i="3"/>
  <c r="B807" i="3"/>
  <c r="D807" i="3"/>
  <c r="C807" i="3"/>
  <c r="E807" i="3"/>
  <c r="A808" i="3"/>
  <c r="B808" i="3"/>
  <c r="D808" i="3"/>
  <c r="C808" i="3"/>
  <c r="E808" i="3"/>
  <c r="A809" i="3"/>
  <c r="B809" i="3"/>
  <c r="D809" i="3"/>
  <c r="C809" i="3"/>
  <c r="E809" i="3"/>
  <c r="A810" i="3"/>
  <c r="B810" i="3"/>
  <c r="D810" i="3"/>
  <c r="C810" i="3"/>
  <c r="E810" i="3"/>
  <c r="A811" i="3"/>
  <c r="B811" i="3"/>
  <c r="D811" i="3"/>
  <c r="C811" i="3"/>
  <c r="E811" i="3"/>
  <c r="A812" i="3"/>
  <c r="B812" i="3"/>
  <c r="D812" i="3"/>
  <c r="C812" i="3"/>
  <c r="E812" i="3"/>
  <c r="A813" i="3"/>
  <c r="B813" i="3"/>
  <c r="D813" i="3"/>
  <c r="C813" i="3"/>
  <c r="E813" i="3"/>
  <c r="A814" i="3"/>
  <c r="B814" i="3"/>
  <c r="D814" i="3"/>
  <c r="C814" i="3"/>
  <c r="E814" i="3"/>
  <c r="A815" i="3"/>
  <c r="B815" i="3"/>
  <c r="D815" i="3"/>
  <c r="C815" i="3"/>
  <c r="E815" i="3"/>
  <c r="A816" i="3"/>
  <c r="B816" i="3"/>
  <c r="D816" i="3"/>
  <c r="C816" i="3"/>
  <c r="E816" i="3"/>
  <c r="A817" i="3"/>
  <c r="B817" i="3"/>
  <c r="D817" i="3"/>
  <c r="C817" i="3"/>
  <c r="E817" i="3"/>
  <c r="A818" i="3"/>
  <c r="B818" i="3"/>
  <c r="D818" i="3"/>
  <c r="C818" i="3"/>
  <c r="E818" i="3"/>
  <c r="A819" i="3"/>
  <c r="B819" i="3"/>
  <c r="D819" i="3"/>
  <c r="C819" i="3"/>
  <c r="E819" i="3"/>
  <c r="A820" i="3"/>
  <c r="B820" i="3"/>
  <c r="D820" i="3"/>
  <c r="C820" i="3"/>
  <c r="E820" i="3"/>
  <c r="A821" i="3"/>
  <c r="B821" i="3"/>
  <c r="D821" i="3"/>
  <c r="C821" i="3"/>
  <c r="E821" i="3"/>
  <c r="A822" i="3"/>
  <c r="B822" i="3"/>
  <c r="D822" i="3"/>
  <c r="C822" i="3"/>
  <c r="E822" i="3"/>
  <c r="A823" i="3"/>
  <c r="B823" i="3"/>
  <c r="D823" i="3"/>
  <c r="C823" i="3"/>
  <c r="E823" i="3"/>
  <c r="A824" i="3"/>
  <c r="B824" i="3"/>
  <c r="D824" i="3"/>
  <c r="C824" i="3"/>
  <c r="E824" i="3"/>
  <c r="A825" i="3"/>
  <c r="B825" i="3"/>
  <c r="D825" i="3"/>
  <c r="C825" i="3"/>
  <c r="E825" i="3"/>
  <c r="A826" i="3"/>
  <c r="B826" i="3"/>
  <c r="D826" i="3"/>
  <c r="C826" i="3"/>
  <c r="E826" i="3"/>
  <c r="A827" i="3"/>
  <c r="B827" i="3"/>
  <c r="C827" i="3"/>
  <c r="D827" i="3"/>
  <c r="E827" i="3"/>
  <c r="A828" i="3"/>
  <c r="B828" i="3"/>
  <c r="D828" i="3"/>
  <c r="C828" i="3"/>
  <c r="E828" i="3"/>
  <c r="A829" i="3"/>
  <c r="B829" i="3"/>
  <c r="D829" i="3"/>
  <c r="C829" i="3"/>
  <c r="E829" i="3"/>
  <c r="A830" i="3"/>
  <c r="B830" i="3"/>
  <c r="D830" i="3"/>
  <c r="C830" i="3"/>
  <c r="E830" i="3"/>
  <c r="A831" i="3"/>
  <c r="B831" i="3"/>
  <c r="D831" i="3"/>
  <c r="C831" i="3"/>
  <c r="E831" i="3"/>
  <c r="A832" i="3"/>
  <c r="B832" i="3"/>
  <c r="D832" i="3"/>
  <c r="C832" i="3"/>
  <c r="E832" i="3"/>
  <c r="A833" i="3"/>
  <c r="B833" i="3"/>
  <c r="D833" i="3"/>
  <c r="C833" i="3"/>
  <c r="E833" i="3"/>
  <c r="A834" i="3"/>
  <c r="B834" i="3"/>
  <c r="D834" i="3"/>
  <c r="C834" i="3"/>
  <c r="E834" i="3"/>
  <c r="A835" i="3"/>
  <c r="B835" i="3"/>
  <c r="D835" i="3"/>
  <c r="C835" i="3"/>
  <c r="E835" i="3"/>
  <c r="A836" i="3"/>
  <c r="B836" i="3"/>
  <c r="D836" i="3"/>
  <c r="C836" i="3"/>
  <c r="E836" i="3"/>
  <c r="A837" i="3"/>
  <c r="B837" i="3"/>
  <c r="D837" i="3"/>
  <c r="C837" i="3"/>
  <c r="E837" i="3"/>
  <c r="A838" i="3"/>
  <c r="B838" i="3"/>
  <c r="D838" i="3"/>
  <c r="C838" i="3"/>
  <c r="E838" i="3"/>
  <c r="A839" i="3"/>
  <c r="B839" i="3"/>
  <c r="D839" i="3"/>
  <c r="C839" i="3"/>
  <c r="E839" i="3"/>
  <c r="A840" i="3"/>
  <c r="B840" i="3"/>
  <c r="D840" i="3"/>
  <c r="C840" i="3"/>
  <c r="E840" i="3"/>
  <c r="A841" i="3"/>
  <c r="B841" i="3"/>
  <c r="D841" i="3"/>
  <c r="C841" i="3"/>
  <c r="E841" i="3"/>
  <c r="A842" i="3"/>
  <c r="B842" i="3"/>
  <c r="D842" i="3"/>
  <c r="C842" i="3"/>
  <c r="E842" i="3"/>
  <c r="A843" i="3"/>
  <c r="B843" i="3"/>
  <c r="D843" i="3"/>
  <c r="C843" i="3"/>
  <c r="E843" i="3"/>
  <c r="A844" i="3"/>
  <c r="B844" i="3"/>
  <c r="D844" i="3"/>
  <c r="C844" i="3"/>
  <c r="E844" i="3"/>
  <c r="A845" i="3"/>
  <c r="B845" i="3"/>
  <c r="D845" i="3"/>
  <c r="C845" i="3"/>
  <c r="E845" i="3"/>
  <c r="A846" i="3"/>
  <c r="B846" i="3"/>
  <c r="D846" i="3"/>
  <c r="C846" i="3"/>
  <c r="E846" i="3"/>
  <c r="A847" i="3"/>
  <c r="B847" i="3"/>
  <c r="D847" i="3"/>
  <c r="C847" i="3"/>
  <c r="E847" i="3"/>
  <c r="A848" i="3"/>
  <c r="B848" i="3"/>
  <c r="D848" i="3"/>
  <c r="C848" i="3"/>
  <c r="E848" i="3"/>
  <c r="A849" i="3"/>
  <c r="B849" i="3"/>
  <c r="D849" i="3"/>
  <c r="C849" i="3"/>
  <c r="E849" i="3"/>
  <c r="A850" i="3"/>
  <c r="B850" i="3"/>
  <c r="D850" i="3"/>
  <c r="C850" i="3"/>
  <c r="E850" i="3"/>
  <c r="A851" i="3"/>
  <c r="B851" i="3"/>
  <c r="D851" i="3"/>
  <c r="C851" i="3"/>
  <c r="E851" i="3"/>
  <c r="A852" i="3"/>
  <c r="B852" i="3"/>
  <c r="D852" i="3"/>
  <c r="C852" i="3"/>
  <c r="E852" i="3"/>
  <c r="A853" i="3"/>
  <c r="B853" i="3"/>
  <c r="D853" i="3"/>
  <c r="C853" i="3"/>
  <c r="E853" i="3"/>
  <c r="A854" i="3"/>
  <c r="B854" i="3"/>
  <c r="D854" i="3"/>
  <c r="C854" i="3"/>
  <c r="E854" i="3"/>
  <c r="A855" i="3"/>
  <c r="B855" i="3"/>
  <c r="D855" i="3"/>
  <c r="C855" i="3"/>
  <c r="E855" i="3"/>
  <c r="A856" i="3"/>
  <c r="B856" i="3"/>
  <c r="C856" i="3"/>
  <c r="D856" i="3"/>
  <c r="E856" i="3"/>
  <c r="A857" i="3"/>
  <c r="B857" i="3"/>
  <c r="D857" i="3"/>
  <c r="C857" i="3"/>
  <c r="E857" i="3"/>
  <c r="A858" i="3"/>
  <c r="B858" i="3"/>
  <c r="D858" i="3"/>
  <c r="C858" i="3"/>
  <c r="E858" i="3"/>
  <c r="A859" i="3"/>
  <c r="B859" i="3"/>
  <c r="D859" i="3"/>
  <c r="C859" i="3"/>
  <c r="E859" i="3"/>
  <c r="A860" i="3"/>
  <c r="B860" i="3"/>
  <c r="D860" i="3"/>
  <c r="C860" i="3"/>
  <c r="E860" i="3"/>
  <c r="A861" i="3"/>
  <c r="B861" i="3"/>
  <c r="D861" i="3"/>
  <c r="C861" i="3"/>
  <c r="E861" i="3"/>
  <c r="A862" i="3"/>
  <c r="B862" i="3"/>
  <c r="D862" i="3"/>
  <c r="C862" i="3"/>
  <c r="E862" i="3"/>
  <c r="A863" i="3"/>
  <c r="B863" i="3"/>
  <c r="D863" i="3"/>
  <c r="C863" i="3"/>
  <c r="E863" i="3"/>
  <c r="A864" i="3"/>
  <c r="B864" i="3"/>
  <c r="D864" i="3"/>
  <c r="C864" i="3"/>
  <c r="E864" i="3"/>
  <c r="A865" i="3"/>
  <c r="B865" i="3"/>
  <c r="D865" i="3"/>
  <c r="C865" i="3"/>
  <c r="E865" i="3"/>
  <c r="A866" i="3"/>
  <c r="B866" i="3"/>
  <c r="D866" i="3"/>
  <c r="C866" i="3"/>
  <c r="E866" i="3"/>
  <c r="A867" i="3"/>
  <c r="B867" i="3"/>
  <c r="D867" i="3"/>
  <c r="C867" i="3"/>
  <c r="E867" i="3"/>
  <c r="A868" i="3"/>
  <c r="B868" i="3"/>
  <c r="D868" i="3"/>
  <c r="C868" i="3"/>
  <c r="E868" i="3"/>
  <c r="A869" i="3"/>
  <c r="B869" i="3"/>
  <c r="D869" i="3"/>
  <c r="C869" i="3"/>
  <c r="E869" i="3"/>
  <c r="A870" i="3"/>
  <c r="B870" i="3"/>
  <c r="D870" i="3"/>
  <c r="C870" i="3"/>
  <c r="E870" i="3"/>
  <c r="A871" i="3"/>
  <c r="B871" i="3"/>
  <c r="D871" i="3"/>
  <c r="C871" i="3"/>
  <c r="E871" i="3"/>
  <c r="A872" i="3"/>
  <c r="B872" i="3"/>
  <c r="D872" i="3"/>
  <c r="C872" i="3"/>
  <c r="E872" i="3"/>
  <c r="A873" i="3"/>
  <c r="B873" i="3"/>
  <c r="D873" i="3"/>
  <c r="C873" i="3"/>
  <c r="E873" i="3"/>
  <c r="A874" i="3"/>
  <c r="B874" i="3"/>
  <c r="D874" i="3"/>
  <c r="C874" i="3"/>
  <c r="E874" i="3"/>
  <c r="A875" i="3"/>
  <c r="B875" i="3"/>
  <c r="D875" i="3"/>
  <c r="C875" i="3"/>
  <c r="E875" i="3"/>
  <c r="A876" i="3"/>
  <c r="B876" i="3"/>
  <c r="D876" i="3"/>
  <c r="C876" i="3"/>
  <c r="E876" i="3"/>
  <c r="A877" i="3"/>
  <c r="B877" i="3"/>
  <c r="D877" i="3"/>
  <c r="C877" i="3"/>
  <c r="E877" i="3"/>
  <c r="A878" i="3"/>
  <c r="B878" i="3"/>
  <c r="D878" i="3"/>
  <c r="C878" i="3"/>
  <c r="E878" i="3"/>
  <c r="A879" i="3"/>
  <c r="B879" i="3"/>
  <c r="D879" i="3"/>
  <c r="C879" i="3"/>
  <c r="E879" i="3"/>
  <c r="A880" i="3"/>
  <c r="B880" i="3"/>
  <c r="D880" i="3"/>
  <c r="C880" i="3"/>
  <c r="E880" i="3"/>
  <c r="A881" i="3"/>
  <c r="B881" i="3"/>
  <c r="D881" i="3"/>
  <c r="C881" i="3"/>
  <c r="E881" i="3"/>
  <c r="A882" i="3"/>
  <c r="B882" i="3"/>
  <c r="D882" i="3"/>
  <c r="C882" i="3"/>
  <c r="E882" i="3"/>
  <c r="A883" i="3"/>
  <c r="B883" i="3"/>
  <c r="D883" i="3"/>
  <c r="C883" i="3"/>
  <c r="E883" i="3"/>
  <c r="A884" i="3"/>
  <c r="B884" i="3"/>
  <c r="D884" i="3"/>
  <c r="C884" i="3"/>
  <c r="E884" i="3"/>
  <c r="A885" i="3"/>
  <c r="B885" i="3"/>
  <c r="D885" i="3"/>
  <c r="C885" i="3"/>
  <c r="E885" i="3"/>
  <c r="A886" i="3"/>
  <c r="B886" i="3"/>
  <c r="D886" i="3"/>
  <c r="C886" i="3"/>
  <c r="E886" i="3"/>
  <c r="A887" i="3"/>
  <c r="B887" i="3"/>
  <c r="D887" i="3"/>
  <c r="C887" i="3"/>
  <c r="E887" i="3"/>
  <c r="A888" i="3"/>
  <c r="B888" i="3"/>
  <c r="D888" i="3"/>
  <c r="C888" i="3"/>
  <c r="E888" i="3"/>
  <c r="A889" i="3"/>
  <c r="B889" i="3"/>
  <c r="D889" i="3"/>
  <c r="C889" i="3"/>
  <c r="E889" i="3"/>
  <c r="A890" i="3"/>
  <c r="B890" i="3"/>
  <c r="D890" i="3"/>
  <c r="C890" i="3"/>
  <c r="E890" i="3"/>
  <c r="A891" i="3"/>
  <c r="B891" i="3"/>
  <c r="C891" i="3"/>
  <c r="D891" i="3"/>
  <c r="E891" i="3"/>
  <c r="A892" i="3"/>
  <c r="B892" i="3"/>
  <c r="D892" i="3"/>
  <c r="C892" i="3"/>
  <c r="E892" i="3"/>
  <c r="A893" i="3"/>
  <c r="B893" i="3"/>
  <c r="D893" i="3"/>
  <c r="C893" i="3"/>
  <c r="E893" i="3"/>
  <c r="A894" i="3"/>
  <c r="B894" i="3"/>
  <c r="D894" i="3"/>
  <c r="C894" i="3"/>
  <c r="E894" i="3"/>
  <c r="A895" i="3"/>
  <c r="B895" i="3"/>
  <c r="D895" i="3"/>
  <c r="C895" i="3"/>
  <c r="E895" i="3"/>
  <c r="A896" i="3"/>
  <c r="B896" i="3"/>
  <c r="D896" i="3"/>
  <c r="C896" i="3"/>
  <c r="E896" i="3"/>
  <c r="A897" i="3"/>
  <c r="B897" i="3"/>
  <c r="D897" i="3"/>
  <c r="C897" i="3"/>
  <c r="E897" i="3"/>
  <c r="A898" i="3"/>
  <c r="B898" i="3"/>
  <c r="D898" i="3"/>
  <c r="C898" i="3"/>
  <c r="E898" i="3"/>
  <c r="A899" i="3"/>
  <c r="B899" i="3"/>
  <c r="D899" i="3"/>
  <c r="C899" i="3"/>
  <c r="E899" i="3"/>
  <c r="A900" i="3"/>
  <c r="B900" i="3"/>
  <c r="D900" i="3"/>
  <c r="C900" i="3"/>
  <c r="E900" i="3"/>
  <c r="A901" i="3"/>
  <c r="B901" i="3"/>
  <c r="D901" i="3"/>
  <c r="C901" i="3"/>
  <c r="E901" i="3"/>
  <c r="A902" i="3"/>
  <c r="B902" i="3"/>
  <c r="D902" i="3"/>
  <c r="C902" i="3"/>
  <c r="E902" i="3"/>
  <c r="A903" i="3"/>
  <c r="B903" i="3"/>
  <c r="D903" i="3"/>
  <c r="C903" i="3"/>
  <c r="E903" i="3"/>
  <c r="A904" i="3"/>
  <c r="B904" i="3"/>
  <c r="D904" i="3"/>
  <c r="C904" i="3"/>
  <c r="E904" i="3"/>
  <c r="A905" i="3"/>
  <c r="B905" i="3"/>
  <c r="D905" i="3"/>
  <c r="C905" i="3"/>
  <c r="E905" i="3"/>
  <c r="A906" i="3"/>
  <c r="B906" i="3"/>
  <c r="D906" i="3"/>
  <c r="C906" i="3"/>
  <c r="E906" i="3"/>
  <c r="A907" i="3"/>
  <c r="B907" i="3"/>
  <c r="D907" i="3"/>
  <c r="C907" i="3"/>
  <c r="E907" i="3"/>
  <c r="A908" i="3"/>
  <c r="B908" i="3"/>
  <c r="D908" i="3"/>
  <c r="C908" i="3"/>
  <c r="E908" i="3"/>
  <c r="A909" i="3"/>
  <c r="B909" i="3"/>
  <c r="D909" i="3"/>
  <c r="C909" i="3"/>
  <c r="E909" i="3"/>
  <c r="A910" i="3"/>
  <c r="B910" i="3"/>
  <c r="D910" i="3"/>
  <c r="C910" i="3"/>
  <c r="E910" i="3"/>
  <c r="A911" i="3"/>
  <c r="B911" i="3"/>
  <c r="D911" i="3"/>
  <c r="C911" i="3"/>
  <c r="E911" i="3"/>
  <c r="A912" i="3"/>
  <c r="B912" i="3"/>
  <c r="D912" i="3"/>
  <c r="C912" i="3"/>
  <c r="E912" i="3"/>
  <c r="A913" i="3"/>
  <c r="B913" i="3"/>
  <c r="D913" i="3"/>
  <c r="C913" i="3"/>
  <c r="E913" i="3"/>
  <c r="A914" i="3"/>
  <c r="B914" i="3"/>
  <c r="D914" i="3"/>
  <c r="C914" i="3"/>
  <c r="E914" i="3"/>
  <c r="A915" i="3"/>
  <c r="B915" i="3"/>
  <c r="D915" i="3"/>
  <c r="C915" i="3"/>
  <c r="E915" i="3"/>
  <c r="A916" i="3"/>
  <c r="B916" i="3"/>
  <c r="D916" i="3"/>
  <c r="C916" i="3"/>
  <c r="E916" i="3"/>
  <c r="A917" i="3"/>
  <c r="B917" i="3"/>
  <c r="D917" i="3"/>
  <c r="C917" i="3"/>
  <c r="E917" i="3"/>
  <c r="A918" i="3"/>
  <c r="B918" i="3"/>
  <c r="D918" i="3"/>
  <c r="C918" i="3"/>
  <c r="E918" i="3"/>
  <c r="A919" i="3"/>
  <c r="B919" i="3"/>
  <c r="D919" i="3"/>
  <c r="C919" i="3"/>
  <c r="E919" i="3"/>
  <c r="A920" i="3"/>
  <c r="B920" i="3"/>
  <c r="C920" i="3"/>
  <c r="D920" i="3"/>
  <c r="E920" i="3"/>
  <c r="A921" i="3"/>
  <c r="B921" i="3"/>
  <c r="D921" i="3"/>
  <c r="C921" i="3"/>
  <c r="E921" i="3"/>
  <c r="A922" i="3"/>
  <c r="B922" i="3"/>
  <c r="D922" i="3"/>
  <c r="C922" i="3"/>
  <c r="E922" i="3"/>
  <c r="A923" i="3"/>
  <c r="B923" i="3"/>
  <c r="D923" i="3"/>
  <c r="C923" i="3"/>
  <c r="E923" i="3"/>
  <c r="A924" i="3"/>
  <c r="B924" i="3"/>
  <c r="D924" i="3"/>
  <c r="C924" i="3"/>
  <c r="E924" i="3"/>
  <c r="A925" i="3"/>
  <c r="B925" i="3"/>
  <c r="D925" i="3"/>
  <c r="C925" i="3"/>
  <c r="E925" i="3"/>
  <c r="A926" i="3"/>
  <c r="B926" i="3"/>
  <c r="D926" i="3"/>
  <c r="C926" i="3"/>
  <c r="E926" i="3"/>
  <c r="A927" i="3"/>
  <c r="B927" i="3"/>
  <c r="D927" i="3"/>
  <c r="C927" i="3"/>
  <c r="E927" i="3"/>
  <c r="A928" i="3"/>
  <c r="B928" i="3"/>
  <c r="D928" i="3"/>
  <c r="C928" i="3"/>
  <c r="E928" i="3"/>
  <c r="A929" i="3"/>
  <c r="B929" i="3"/>
  <c r="D929" i="3"/>
  <c r="C929" i="3"/>
  <c r="E929" i="3"/>
  <c r="A930" i="3"/>
  <c r="B930" i="3"/>
  <c r="D930" i="3"/>
  <c r="C930" i="3"/>
  <c r="E930" i="3"/>
  <c r="A931" i="3"/>
  <c r="B931" i="3"/>
  <c r="D931" i="3"/>
  <c r="C931" i="3"/>
  <c r="E931" i="3"/>
  <c r="A932" i="3"/>
  <c r="B932" i="3"/>
  <c r="D932" i="3"/>
  <c r="C932" i="3"/>
  <c r="E932" i="3"/>
  <c r="A933" i="3"/>
  <c r="B933" i="3"/>
  <c r="D933" i="3"/>
  <c r="C933" i="3"/>
  <c r="E933" i="3"/>
  <c r="A934" i="3"/>
  <c r="B934" i="3"/>
  <c r="D934" i="3"/>
  <c r="C934" i="3"/>
  <c r="E934" i="3"/>
  <c r="A935" i="3"/>
  <c r="B935" i="3"/>
  <c r="D935" i="3"/>
  <c r="C935" i="3"/>
  <c r="E935" i="3"/>
  <c r="A936" i="3"/>
  <c r="B936" i="3"/>
  <c r="D936" i="3"/>
  <c r="C936" i="3"/>
  <c r="E936" i="3"/>
  <c r="A937" i="3"/>
  <c r="B937" i="3"/>
  <c r="D937" i="3"/>
  <c r="C937" i="3"/>
  <c r="E937" i="3"/>
  <c r="A938" i="3"/>
  <c r="B938" i="3"/>
  <c r="D938" i="3"/>
  <c r="C938" i="3"/>
  <c r="E938" i="3"/>
  <c r="A939" i="3"/>
  <c r="B939" i="3"/>
  <c r="D939" i="3"/>
  <c r="C939" i="3"/>
  <c r="E939" i="3"/>
  <c r="A940" i="3"/>
  <c r="B940" i="3"/>
  <c r="D940" i="3"/>
  <c r="C940" i="3"/>
  <c r="E940" i="3"/>
  <c r="A941" i="3"/>
  <c r="B941" i="3"/>
  <c r="D941" i="3"/>
  <c r="C941" i="3"/>
  <c r="E941" i="3"/>
  <c r="A942" i="3"/>
  <c r="B942" i="3"/>
  <c r="D942" i="3"/>
  <c r="C942" i="3"/>
  <c r="E942" i="3"/>
  <c r="A943" i="3"/>
  <c r="B943" i="3"/>
  <c r="D943" i="3"/>
  <c r="C943" i="3"/>
  <c r="E943" i="3"/>
  <c r="A944" i="3"/>
  <c r="B944" i="3"/>
  <c r="D944" i="3"/>
  <c r="C944" i="3"/>
  <c r="E944" i="3"/>
  <c r="A945" i="3"/>
  <c r="B945" i="3"/>
  <c r="D945" i="3"/>
  <c r="C945" i="3"/>
  <c r="E945" i="3"/>
  <c r="A946" i="3"/>
  <c r="B946" i="3"/>
  <c r="D946" i="3"/>
  <c r="C946" i="3"/>
  <c r="E946" i="3"/>
  <c r="A947" i="3"/>
  <c r="B947" i="3"/>
  <c r="D947" i="3"/>
  <c r="C947" i="3"/>
  <c r="E947" i="3"/>
  <c r="A948" i="3"/>
  <c r="B948" i="3"/>
  <c r="D948" i="3"/>
  <c r="C948" i="3"/>
  <c r="E948" i="3"/>
  <c r="A949" i="3"/>
  <c r="B949" i="3"/>
  <c r="D949" i="3"/>
  <c r="C949" i="3"/>
  <c r="E949" i="3"/>
  <c r="A950" i="3"/>
  <c r="B950" i="3"/>
  <c r="D950" i="3"/>
  <c r="C950" i="3"/>
  <c r="E950" i="3"/>
  <c r="A951" i="3"/>
  <c r="B951" i="3"/>
  <c r="D951" i="3"/>
  <c r="C951" i="3"/>
  <c r="E951" i="3"/>
  <c r="A952" i="3"/>
  <c r="B952" i="3"/>
  <c r="D952" i="3"/>
  <c r="C952" i="3"/>
  <c r="E952" i="3"/>
  <c r="A953" i="3"/>
  <c r="B953" i="3"/>
  <c r="D953" i="3"/>
  <c r="C953" i="3"/>
  <c r="E953" i="3"/>
  <c r="A954" i="3"/>
  <c r="B954" i="3"/>
  <c r="D954" i="3"/>
  <c r="C954" i="3"/>
  <c r="E954" i="3"/>
  <c r="A955" i="3"/>
  <c r="B955" i="3"/>
  <c r="D955" i="3"/>
  <c r="C955" i="3"/>
  <c r="E955" i="3"/>
  <c r="A956" i="3"/>
  <c r="B956" i="3"/>
  <c r="D956" i="3"/>
  <c r="C956" i="3"/>
  <c r="E956" i="3"/>
  <c r="A957" i="3"/>
  <c r="B957" i="3"/>
  <c r="D957" i="3"/>
  <c r="C957" i="3"/>
  <c r="E957" i="3"/>
  <c r="A958" i="3"/>
  <c r="B958" i="3"/>
  <c r="D958" i="3"/>
  <c r="C958" i="3"/>
  <c r="E958" i="3"/>
  <c r="A959" i="3"/>
  <c r="B959" i="3"/>
  <c r="C959" i="3"/>
  <c r="D959" i="3"/>
  <c r="E959" i="3"/>
  <c r="A960" i="3"/>
  <c r="B960" i="3"/>
  <c r="D960" i="3"/>
  <c r="C960" i="3"/>
  <c r="E960" i="3"/>
  <c r="A961" i="3"/>
  <c r="B961" i="3"/>
  <c r="D961" i="3"/>
  <c r="C961" i="3"/>
  <c r="E961" i="3"/>
  <c r="A962" i="3"/>
  <c r="B962" i="3"/>
  <c r="D962" i="3"/>
  <c r="C962" i="3"/>
  <c r="E962" i="3"/>
  <c r="A963" i="3"/>
  <c r="B963" i="3"/>
  <c r="D963" i="3"/>
  <c r="C963" i="3"/>
  <c r="E963" i="3"/>
  <c r="A964" i="3"/>
  <c r="B964" i="3"/>
  <c r="D964" i="3"/>
  <c r="C964" i="3"/>
  <c r="E964" i="3"/>
  <c r="A965" i="3"/>
  <c r="B965" i="3"/>
  <c r="D965" i="3"/>
  <c r="C965" i="3"/>
  <c r="E965" i="3"/>
  <c r="A966" i="3"/>
  <c r="B966" i="3"/>
  <c r="D966" i="3"/>
  <c r="C966" i="3"/>
  <c r="E966" i="3"/>
  <c r="A967" i="3"/>
  <c r="B967" i="3"/>
  <c r="D967" i="3"/>
  <c r="C967" i="3"/>
  <c r="E967" i="3"/>
  <c r="A968" i="3"/>
  <c r="B968" i="3"/>
  <c r="D968" i="3"/>
  <c r="C968" i="3"/>
  <c r="E968" i="3"/>
  <c r="A969" i="3"/>
  <c r="B969" i="3"/>
  <c r="D969" i="3"/>
  <c r="C969" i="3"/>
  <c r="E969" i="3"/>
  <c r="A970" i="3"/>
  <c r="B970" i="3"/>
  <c r="D970" i="3"/>
  <c r="C970" i="3"/>
  <c r="E970" i="3"/>
  <c r="A971" i="3"/>
  <c r="B971" i="3"/>
  <c r="D971" i="3"/>
  <c r="C971" i="3"/>
  <c r="E971" i="3"/>
  <c r="A972" i="3"/>
  <c r="B972" i="3"/>
  <c r="D972" i="3"/>
  <c r="C972" i="3"/>
  <c r="E972" i="3"/>
  <c r="A973" i="3"/>
  <c r="B973" i="3"/>
  <c r="D973" i="3"/>
  <c r="C973" i="3"/>
  <c r="E973" i="3"/>
  <c r="A974" i="3"/>
  <c r="B974" i="3"/>
  <c r="D974" i="3"/>
  <c r="C974" i="3"/>
  <c r="E974" i="3"/>
  <c r="A975" i="3"/>
  <c r="B975" i="3"/>
  <c r="D975" i="3"/>
  <c r="C975" i="3"/>
  <c r="E975" i="3"/>
  <c r="A976" i="3"/>
  <c r="B976" i="3"/>
  <c r="D976" i="3"/>
  <c r="C976" i="3"/>
  <c r="E976" i="3"/>
  <c r="A977" i="3"/>
  <c r="B977" i="3"/>
  <c r="D977" i="3"/>
  <c r="C977" i="3"/>
  <c r="E977" i="3"/>
  <c r="A978" i="3"/>
  <c r="B978" i="3"/>
  <c r="D978" i="3"/>
  <c r="C978" i="3"/>
  <c r="E978" i="3"/>
  <c r="A979" i="3"/>
  <c r="B979" i="3"/>
  <c r="D979" i="3"/>
  <c r="C979" i="3"/>
  <c r="E979" i="3"/>
  <c r="A980" i="3"/>
  <c r="B980" i="3"/>
  <c r="D980" i="3"/>
  <c r="C980" i="3"/>
  <c r="E980" i="3"/>
  <c r="A981" i="3"/>
  <c r="B981" i="3"/>
  <c r="D981" i="3"/>
  <c r="C981" i="3"/>
  <c r="E981" i="3"/>
  <c r="A982" i="3"/>
  <c r="B982" i="3"/>
  <c r="D982" i="3"/>
  <c r="C982" i="3"/>
  <c r="E982" i="3"/>
  <c r="A983" i="3"/>
  <c r="B983" i="3"/>
  <c r="D983" i="3"/>
  <c r="C983" i="3"/>
  <c r="E983" i="3"/>
  <c r="A984" i="3"/>
  <c r="B984" i="3"/>
  <c r="C984" i="3"/>
  <c r="D984" i="3"/>
  <c r="E984" i="3"/>
  <c r="A985" i="3"/>
  <c r="B985" i="3"/>
  <c r="D985" i="3"/>
  <c r="C985" i="3"/>
  <c r="E985" i="3"/>
  <c r="A986" i="3"/>
  <c r="B986" i="3"/>
  <c r="D986" i="3"/>
  <c r="C986" i="3"/>
  <c r="E986" i="3"/>
  <c r="A987" i="3"/>
  <c r="B987" i="3"/>
  <c r="D987" i="3"/>
  <c r="C987" i="3"/>
  <c r="E987" i="3"/>
  <c r="A988" i="3"/>
  <c r="B988" i="3"/>
  <c r="D988" i="3"/>
  <c r="C988" i="3"/>
  <c r="E988" i="3"/>
  <c r="A989" i="3"/>
  <c r="B989" i="3"/>
  <c r="D989" i="3"/>
  <c r="C989" i="3"/>
  <c r="E989" i="3"/>
  <c r="A990" i="3"/>
  <c r="B990" i="3"/>
  <c r="D990" i="3"/>
  <c r="C990" i="3"/>
  <c r="E990" i="3"/>
  <c r="A991" i="3"/>
  <c r="B991" i="3"/>
  <c r="D991" i="3"/>
  <c r="C991" i="3"/>
  <c r="E991" i="3"/>
  <c r="A992" i="3"/>
  <c r="B992" i="3"/>
  <c r="D992" i="3"/>
  <c r="C992" i="3"/>
  <c r="E992" i="3"/>
  <c r="A993" i="3"/>
  <c r="B993" i="3"/>
  <c r="D993" i="3"/>
  <c r="C993" i="3"/>
  <c r="E993" i="3"/>
  <c r="A994" i="3"/>
  <c r="B994" i="3"/>
  <c r="D994" i="3"/>
  <c r="C994" i="3"/>
  <c r="E994" i="3"/>
  <c r="A995" i="3"/>
  <c r="B995" i="3"/>
  <c r="D995" i="3"/>
  <c r="C995" i="3"/>
  <c r="E995" i="3"/>
  <c r="A996" i="3"/>
  <c r="B996" i="3"/>
  <c r="D996" i="3"/>
  <c r="C996" i="3"/>
  <c r="E996" i="3"/>
  <c r="A997" i="3"/>
  <c r="B997" i="3"/>
  <c r="D997" i="3"/>
  <c r="C997" i="3"/>
  <c r="E997" i="3"/>
  <c r="A998" i="3"/>
  <c r="B998" i="3"/>
  <c r="D998" i="3"/>
  <c r="C998" i="3"/>
  <c r="E998" i="3"/>
  <c r="A999" i="3"/>
  <c r="B999" i="3"/>
  <c r="D999" i="3"/>
  <c r="C999" i="3"/>
  <c r="E999" i="3"/>
  <c r="A87" i="3"/>
  <c r="B87" i="3"/>
  <c r="D87" i="3"/>
  <c r="C87" i="3"/>
  <c r="E87" i="3"/>
  <c r="A88" i="3"/>
  <c r="B88" i="3"/>
  <c r="D88" i="3"/>
  <c r="C88" i="3"/>
  <c r="E88" i="3"/>
  <c r="A89" i="3"/>
  <c r="B89" i="3"/>
  <c r="D89" i="3"/>
  <c r="C89" i="3"/>
  <c r="E89" i="3"/>
  <c r="A90" i="3"/>
  <c r="B90" i="3"/>
  <c r="D90" i="3"/>
  <c r="C90" i="3"/>
  <c r="E90" i="3"/>
  <c r="A91" i="3"/>
  <c r="B91" i="3"/>
  <c r="D91" i="3"/>
  <c r="C91" i="3"/>
  <c r="E91" i="3"/>
  <c r="A92" i="3"/>
  <c r="B92" i="3"/>
  <c r="D92" i="3"/>
  <c r="C92" i="3"/>
  <c r="E92" i="3"/>
  <c r="A93" i="3"/>
  <c r="B93" i="3"/>
  <c r="D93" i="3"/>
  <c r="C93" i="3"/>
  <c r="E93" i="3"/>
  <c r="A94" i="3"/>
  <c r="B94" i="3"/>
  <c r="D94" i="3"/>
  <c r="C94" i="3"/>
  <c r="E94" i="3"/>
  <c r="A95" i="3"/>
  <c r="B95" i="3"/>
  <c r="D95" i="3"/>
  <c r="C95" i="3"/>
  <c r="E95" i="3"/>
  <c r="A96" i="3"/>
  <c r="B96" i="3"/>
  <c r="D96" i="3"/>
  <c r="C96" i="3"/>
  <c r="E96" i="3"/>
  <c r="A97" i="3"/>
  <c r="B97" i="3"/>
  <c r="D97" i="3"/>
  <c r="C97" i="3"/>
  <c r="E97" i="3"/>
  <c r="A98" i="3"/>
  <c r="B98" i="3"/>
  <c r="D98" i="3"/>
  <c r="C98" i="3"/>
  <c r="E98" i="3"/>
  <c r="A99" i="3"/>
  <c r="B99" i="3"/>
  <c r="D99" i="3"/>
  <c r="C99" i="3"/>
  <c r="E99" i="3"/>
  <c r="A100" i="3"/>
  <c r="B100" i="3"/>
  <c r="D100" i="3"/>
  <c r="C100" i="3"/>
  <c r="E100" i="3"/>
  <c r="A101" i="3"/>
  <c r="B101" i="3"/>
  <c r="D101" i="3"/>
  <c r="C101" i="3"/>
  <c r="E101" i="3"/>
  <c r="A102" i="3"/>
  <c r="B102" i="3"/>
  <c r="D102" i="3"/>
  <c r="C102" i="3"/>
  <c r="E102" i="3"/>
  <c r="A103" i="3"/>
  <c r="B103" i="3"/>
  <c r="D103" i="3"/>
  <c r="C103" i="3"/>
  <c r="E103" i="3"/>
  <c r="A104" i="3"/>
  <c r="B104" i="3"/>
  <c r="D104" i="3"/>
  <c r="C104" i="3"/>
  <c r="E104" i="3"/>
  <c r="A105" i="3"/>
  <c r="B105" i="3"/>
  <c r="D105" i="3"/>
  <c r="C105" i="3"/>
  <c r="E105" i="3"/>
  <c r="A106" i="3"/>
  <c r="B106" i="3"/>
  <c r="D106" i="3"/>
  <c r="C106" i="3"/>
  <c r="E106" i="3"/>
  <c r="A107" i="3"/>
  <c r="B107" i="3"/>
  <c r="D107" i="3"/>
  <c r="C107" i="3"/>
  <c r="E107" i="3"/>
  <c r="A108" i="3"/>
  <c r="B108" i="3"/>
  <c r="D108" i="3"/>
  <c r="C108" i="3"/>
  <c r="E108" i="3"/>
  <c r="A109" i="3"/>
  <c r="B109" i="3"/>
  <c r="D109" i="3"/>
  <c r="C109" i="3"/>
  <c r="E109" i="3"/>
  <c r="A110" i="3"/>
  <c r="B110" i="3"/>
  <c r="D110" i="3"/>
  <c r="C110" i="3"/>
  <c r="E110" i="3"/>
  <c r="A111" i="3"/>
  <c r="B111" i="3"/>
  <c r="D111" i="3"/>
  <c r="C111" i="3"/>
  <c r="E111" i="3"/>
  <c r="A112" i="3"/>
  <c r="B112" i="3"/>
  <c r="D112" i="3"/>
  <c r="C112" i="3"/>
  <c r="E112" i="3"/>
  <c r="A113" i="3"/>
  <c r="B113" i="3"/>
  <c r="D113" i="3"/>
  <c r="C113" i="3"/>
  <c r="E113" i="3"/>
  <c r="A114" i="3"/>
  <c r="B114" i="3"/>
  <c r="D114" i="3"/>
  <c r="C114" i="3"/>
  <c r="E114" i="3"/>
  <c r="A115" i="3"/>
  <c r="B115" i="3"/>
  <c r="D115" i="3"/>
  <c r="C115" i="3"/>
  <c r="E115" i="3"/>
  <c r="A116" i="3"/>
  <c r="B116" i="3"/>
  <c r="D116" i="3"/>
  <c r="C116" i="3"/>
  <c r="E116" i="3"/>
  <c r="A117" i="3"/>
  <c r="B117" i="3"/>
  <c r="D117" i="3"/>
  <c r="C117" i="3"/>
  <c r="E117" i="3"/>
  <c r="A118" i="3"/>
  <c r="B118" i="3"/>
  <c r="D118" i="3"/>
  <c r="C118" i="3"/>
  <c r="E118" i="3"/>
  <c r="A119" i="3"/>
  <c r="B119" i="3"/>
  <c r="D119" i="3"/>
  <c r="C119" i="3"/>
  <c r="E119" i="3"/>
  <c r="A120" i="3"/>
  <c r="B120" i="3"/>
  <c r="D120" i="3"/>
  <c r="C120" i="3"/>
  <c r="E120" i="3"/>
  <c r="A121" i="3"/>
  <c r="B121" i="3"/>
  <c r="D121" i="3"/>
  <c r="C121" i="3"/>
  <c r="E121" i="3"/>
  <c r="A122" i="3"/>
  <c r="B122" i="3"/>
  <c r="D122" i="3"/>
  <c r="C122" i="3"/>
  <c r="E122" i="3"/>
  <c r="A123" i="3"/>
  <c r="B123" i="3"/>
  <c r="D123" i="3"/>
  <c r="C123" i="3"/>
  <c r="E123" i="3"/>
  <c r="A124" i="3"/>
  <c r="B124" i="3"/>
  <c r="D124" i="3"/>
  <c r="C124" i="3"/>
  <c r="E124" i="3"/>
  <c r="A125" i="3"/>
  <c r="B125" i="3"/>
  <c r="D125" i="3"/>
  <c r="C125" i="3"/>
  <c r="E125" i="3"/>
  <c r="A126" i="3"/>
  <c r="B126" i="3"/>
  <c r="D126" i="3"/>
  <c r="C126" i="3"/>
  <c r="E126" i="3"/>
  <c r="A127" i="3"/>
  <c r="B127" i="3"/>
  <c r="D127" i="3"/>
  <c r="C127" i="3"/>
  <c r="E127" i="3"/>
  <c r="A128" i="3"/>
  <c r="B128" i="3"/>
  <c r="D128" i="3"/>
  <c r="C128" i="3"/>
  <c r="E128" i="3"/>
  <c r="A129" i="3"/>
  <c r="B129" i="3"/>
  <c r="D129" i="3"/>
  <c r="C129" i="3"/>
  <c r="E129" i="3"/>
  <c r="A130" i="3"/>
  <c r="B130" i="3"/>
  <c r="D130" i="3"/>
  <c r="C130" i="3"/>
  <c r="E130" i="3"/>
  <c r="A131" i="3"/>
  <c r="B131" i="3"/>
  <c r="D131" i="3"/>
  <c r="C131" i="3"/>
  <c r="E131" i="3"/>
  <c r="A132" i="3"/>
  <c r="B132" i="3"/>
  <c r="D132" i="3"/>
  <c r="C132" i="3"/>
  <c r="E132" i="3"/>
  <c r="A133" i="3"/>
  <c r="B133" i="3"/>
  <c r="D133" i="3"/>
  <c r="C133" i="3"/>
  <c r="E133" i="3"/>
  <c r="A134" i="3"/>
  <c r="B134" i="3"/>
  <c r="D134" i="3"/>
  <c r="C134" i="3"/>
  <c r="E134" i="3"/>
  <c r="A135" i="3"/>
  <c r="B135" i="3"/>
  <c r="D135" i="3"/>
  <c r="C135" i="3"/>
  <c r="E135" i="3"/>
  <c r="A136" i="3"/>
  <c r="B136" i="3"/>
  <c r="D136" i="3"/>
  <c r="C136" i="3"/>
  <c r="E136" i="3"/>
  <c r="A137" i="3"/>
  <c r="B137" i="3"/>
  <c r="D137" i="3"/>
  <c r="C137" i="3"/>
  <c r="E137" i="3"/>
  <c r="A138" i="3"/>
  <c r="B138" i="3"/>
  <c r="D138" i="3"/>
  <c r="C138" i="3"/>
  <c r="E138" i="3"/>
  <c r="A139" i="3"/>
  <c r="B139" i="3"/>
  <c r="D139" i="3"/>
  <c r="C139" i="3"/>
  <c r="E139" i="3"/>
  <c r="A140" i="3"/>
  <c r="B140" i="3"/>
  <c r="D140" i="3"/>
  <c r="C140" i="3"/>
  <c r="E140" i="3"/>
  <c r="A141" i="3"/>
  <c r="B141" i="3"/>
  <c r="D141" i="3"/>
  <c r="C141" i="3"/>
  <c r="E141" i="3"/>
  <c r="A142" i="3"/>
  <c r="B142" i="3"/>
  <c r="D142" i="3"/>
  <c r="C142" i="3"/>
  <c r="E142" i="3"/>
  <c r="A143" i="3"/>
  <c r="B143" i="3"/>
  <c r="D143" i="3"/>
  <c r="C143" i="3"/>
  <c r="E143" i="3"/>
  <c r="A144" i="3"/>
  <c r="B144" i="3"/>
  <c r="D144" i="3"/>
  <c r="C144" i="3"/>
  <c r="E144" i="3"/>
  <c r="A145" i="3"/>
  <c r="B145" i="3"/>
  <c r="D145" i="3"/>
  <c r="C145" i="3"/>
  <c r="E145" i="3"/>
  <c r="A146" i="3"/>
  <c r="B146" i="3"/>
  <c r="D146" i="3"/>
  <c r="C146" i="3"/>
  <c r="E146" i="3"/>
  <c r="A147" i="3"/>
  <c r="B147" i="3"/>
  <c r="D147" i="3"/>
  <c r="C147" i="3"/>
  <c r="E147" i="3"/>
  <c r="A148" i="3"/>
  <c r="B148" i="3"/>
  <c r="D148" i="3"/>
  <c r="C148" i="3"/>
  <c r="E148" i="3"/>
  <c r="A149" i="3"/>
  <c r="B149" i="3"/>
  <c r="D149" i="3"/>
  <c r="C149" i="3"/>
  <c r="E149" i="3"/>
  <c r="A150" i="3"/>
  <c r="B150" i="3"/>
  <c r="D150" i="3"/>
  <c r="C150" i="3"/>
  <c r="E150" i="3"/>
  <c r="A151" i="3"/>
  <c r="B151" i="3"/>
  <c r="D151" i="3"/>
  <c r="C151" i="3"/>
  <c r="E151" i="3"/>
  <c r="A152" i="3"/>
  <c r="B152" i="3"/>
  <c r="D152" i="3"/>
  <c r="C152" i="3"/>
  <c r="E152" i="3"/>
  <c r="A153" i="3"/>
  <c r="B153" i="3"/>
  <c r="D153" i="3"/>
  <c r="C153" i="3"/>
  <c r="E153" i="3"/>
  <c r="A154" i="3"/>
  <c r="B154" i="3"/>
  <c r="D154" i="3"/>
  <c r="C154" i="3"/>
  <c r="E154" i="3"/>
  <c r="A155" i="3"/>
  <c r="B155" i="3"/>
  <c r="D155" i="3"/>
  <c r="C155" i="3"/>
  <c r="E155" i="3"/>
  <c r="A156" i="3"/>
  <c r="B156" i="3"/>
  <c r="D156" i="3"/>
  <c r="C156" i="3"/>
  <c r="E156" i="3"/>
  <c r="A157" i="3"/>
  <c r="B157" i="3"/>
  <c r="D157" i="3"/>
  <c r="C157" i="3"/>
  <c r="E157" i="3"/>
  <c r="A158" i="3"/>
  <c r="B158" i="3"/>
  <c r="D158" i="3"/>
  <c r="C158" i="3"/>
  <c r="E158" i="3"/>
  <c r="A159" i="3"/>
  <c r="B159" i="3"/>
  <c r="D159" i="3"/>
  <c r="C159" i="3"/>
  <c r="E159" i="3"/>
  <c r="A160" i="3"/>
  <c r="B160" i="3"/>
  <c r="D160" i="3"/>
  <c r="C160" i="3"/>
  <c r="E160" i="3"/>
  <c r="A161" i="3"/>
  <c r="B161" i="3"/>
  <c r="D161" i="3"/>
  <c r="C161" i="3"/>
  <c r="E161" i="3"/>
  <c r="A162" i="3"/>
  <c r="B162" i="3"/>
  <c r="D162" i="3"/>
  <c r="C162" i="3"/>
  <c r="E162" i="3"/>
  <c r="A163" i="3"/>
  <c r="B163" i="3"/>
  <c r="D163" i="3"/>
  <c r="C163" i="3"/>
  <c r="E163" i="3"/>
  <c r="A164" i="3"/>
  <c r="B164" i="3"/>
  <c r="D164" i="3"/>
  <c r="C164" i="3"/>
  <c r="E164" i="3"/>
  <c r="A165" i="3"/>
  <c r="B165" i="3"/>
  <c r="D165" i="3"/>
  <c r="C165" i="3"/>
  <c r="E165" i="3"/>
  <c r="A166" i="3"/>
  <c r="B166" i="3"/>
  <c r="D166" i="3"/>
  <c r="C166" i="3"/>
  <c r="E166" i="3"/>
  <c r="A167" i="3"/>
  <c r="B167" i="3"/>
  <c r="D167" i="3"/>
  <c r="C167" i="3"/>
  <c r="E167" i="3"/>
  <c r="A168" i="3"/>
  <c r="B168" i="3"/>
  <c r="D168" i="3"/>
  <c r="C168" i="3"/>
  <c r="E168" i="3"/>
  <c r="A169" i="3"/>
  <c r="B169" i="3"/>
  <c r="D169" i="3"/>
  <c r="C169" i="3"/>
  <c r="E169" i="3"/>
  <c r="A170" i="3"/>
  <c r="B170" i="3"/>
  <c r="D170" i="3"/>
  <c r="C170" i="3"/>
  <c r="E170" i="3"/>
  <c r="A171" i="3"/>
  <c r="B171" i="3"/>
  <c r="D171" i="3"/>
  <c r="C171" i="3"/>
  <c r="E171" i="3"/>
  <c r="A172" i="3"/>
  <c r="B172" i="3"/>
  <c r="D172" i="3"/>
  <c r="C172" i="3"/>
  <c r="E172" i="3"/>
  <c r="A173" i="3"/>
  <c r="B173" i="3"/>
  <c r="D173" i="3"/>
  <c r="C173" i="3"/>
  <c r="E173" i="3"/>
  <c r="A174" i="3"/>
  <c r="B174" i="3"/>
  <c r="D174" i="3"/>
  <c r="C174" i="3"/>
  <c r="E174" i="3"/>
  <c r="A175" i="3"/>
  <c r="B175" i="3"/>
  <c r="D175" i="3"/>
  <c r="C175" i="3"/>
  <c r="E175" i="3"/>
  <c r="A176" i="3"/>
  <c r="B176" i="3"/>
  <c r="D176" i="3"/>
  <c r="C176" i="3"/>
  <c r="E176" i="3"/>
  <c r="A177" i="3"/>
  <c r="B177" i="3"/>
  <c r="D177" i="3"/>
  <c r="C177" i="3"/>
  <c r="E177" i="3"/>
  <c r="A178" i="3"/>
  <c r="B178" i="3"/>
  <c r="D178" i="3"/>
  <c r="C178" i="3"/>
  <c r="E178" i="3"/>
  <c r="A179" i="3"/>
  <c r="B179" i="3"/>
  <c r="D179" i="3"/>
  <c r="C179" i="3"/>
  <c r="E179" i="3"/>
  <c r="A180" i="3"/>
  <c r="B180" i="3"/>
  <c r="D180" i="3"/>
  <c r="C180" i="3"/>
  <c r="E180" i="3"/>
  <c r="A181" i="3"/>
  <c r="B181" i="3"/>
  <c r="D181" i="3"/>
  <c r="C181" i="3"/>
  <c r="E181" i="3"/>
  <c r="A182" i="3"/>
  <c r="B182" i="3"/>
  <c r="D182" i="3"/>
  <c r="C182" i="3"/>
  <c r="E182" i="3"/>
  <c r="A183" i="3"/>
  <c r="B183" i="3"/>
  <c r="D183" i="3"/>
  <c r="C183" i="3"/>
  <c r="E183" i="3"/>
  <c r="A184" i="3"/>
  <c r="B184" i="3"/>
  <c r="D184" i="3"/>
  <c r="C184" i="3"/>
  <c r="E184" i="3"/>
  <c r="A185" i="3"/>
  <c r="B185" i="3"/>
  <c r="D185" i="3"/>
  <c r="C185" i="3"/>
  <c r="E185" i="3"/>
  <c r="A186" i="3"/>
  <c r="B186" i="3"/>
  <c r="D186" i="3"/>
  <c r="C186" i="3"/>
  <c r="E186" i="3"/>
  <c r="A187" i="3"/>
  <c r="B187" i="3"/>
  <c r="D187" i="3"/>
  <c r="C187" i="3"/>
  <c r="E187" i="3"/>
  <c r="A188" i="3"/>
  <c r="B188" i="3"/>
  <c r="D188" i="3"/>
  <c r="C188" i="3"/>
  <c r="E188" i="3"/>
  <c r="A189" i="3"/>
  <c r="B189" i="3"/>
  <c r="D189" i="3"/>
  <c r="C189" i="3"/>
  <c r="E189" i="3"/>
  <c r="A190" i="3"/>
  <c r="B190" i="3"/>
  <c r="D190" i="3"/>
  <c r="C190" i="3"/>
  <c r="E190" i="3"/>
  <c r="A191" i="3"/>
  <c r="B191" i="3"/>
  <c r="D191" i="3"/>
  <c r="C191" i="3"/>
  <c r="E191" i="3"/>
  <c r="A192" i="3"/>
  <c r="B192" i="3"/>
  <c r="D192" i="3"/>
  <c r="C192" i="3"/>
  <c r="E192" i="3"/>
  <c r="A193" i="3"/>
  <c r="B193" i="3"/>
  <c r="D193" i="3"/>
  <c r="C193" i="3"/>
  <c r="E193" i="3"/>
  <c r="A194" i="3"/>
  <c r="B194" i="3"/>
  <c r="D194" i="3"/>
  <c r="C194" i="3"/>
  <c r="E194" i="3"/>
  <c r="A195" i="3"/>
  <c r="B195" i="3"/>
  <c r="D195" i="3"/>
  <c r="C195" i="3"/>
  <c r="E195" i="3"/>
  <c r="A196" i="3"/>
  <c r="B196" i="3"/>
  <c r="D196" i="3"/>
  <c r="C196" i="3"/>
  <c r="E196" i="3"/>
  <c r="A197" i="3"/>
  <c r="B197" i="3"/>
  <c r="D197" i="3"/>
  <c r="C197" i="3"/>
  <c r="E197" i="3"/>
  <c r="A198" i="3"/>
  <c r="B198" i="3"/>
  <c r="D198" i="3"/>
  <c r="C198" i="3"/>
  <c r="E198" i="3"/>
  <c r="A199" i="3"/>
  <c r="B199" i="3"/>
  <c r="D199" i="3"/>
  <c r="C199" i="3"/>
  <c r="E199" i="3"/>
  <c r="A200" i="3"/>
  <c r="B200" i="3"/>
  <c r="D200" i="3"/>
  <c r="C200" i="3"/>
  <c r="E200" i="3"/>
  <c r="A201" i="3"/>
  <c r="B201" i="3"/>
  <c r="D201" i="3"/>
  <c r="C201" i="3"/>
  <c r="E201" i="3"/>
  <c r="A202" i="3"/>
  <c r="B202" i="3"/>
  <c r="D202" i="3"/>
  <c r="C202" i="3"/>
  <c r="E202" i="3"/>
  <c r="A203" i="3"/>
  <c r="B203" i="3"/>
  <c r="D203" i="3"/>
  <c r="C203" i="3"/>
  <c r="E203" i="3"/>
  <c r="A204" i="3"/>
  <c r="B204" i="3"/>
  <c r="D204" i="3"/>
  <c r="C204" i="3"/>
  <c r="E204" i="3"/>
  <c r="A205" i="3"/>
  <c r="B205" i="3"/>
  <c r="D205" i="3"/>
  <c r="C205" i="3"/>
  <c r="E205" i="3"/>
  <c r="A206" i="3"/>
  <c r="B206" i="3"/>
  <c r="D206" i="3"/>
  <c r="C206" i="3"/>
  <c r="E206" i="3"/>
  <c r="A207" i="3"/>
  <c r="B207" i="3"/>
  <c r="D207" i="3"/>
  <c r="C207" i="3"/>
  <c r="E207" i="3"/>
  <c r="A208" i="3"/>
  <c r="B208" i="3"/>
  <c r="D208" i="3"/>
  <c r="C208" i="3"/>
  <c r="E208" i="3"/>
  <c r="A209" i="3"/>
  <c r="B209" i="3"/>
  <c r="D209" i="3"/>
  <c r="C209" i="3"/>
  <c r="E209" i="3"/>
  <c r="A210" i="3"/>
  <c r="B210" i="3"/>
  <c r="D210" i="3"/>
  <c r="C210" i="3"/>
  <c r="E210" i="3"/>
  <c r="A211" i="3"/>
  <c r="B211" i="3"/>
  <c r="D211" i="3"/>
  <c r="C211" i="3"/>
  <c r="E211" i="3"/>
  <c r="A212" i="3"/>
  <c r="B212" i="3"/>
  <c r="D212" i="3"/>
  <c r="C212" i="3"/>
  <c r="E212" i="3"/>
  <c r="A213" i="3"/>
  <c r="B213" i="3"/>
  <c r="D213" i="3"/>
  <c r="C213" i="3"/>
  <c r="E213" i="3"/>
  <c r="A214" i="3"/>
  <c r="B214" i="3"/>
  <c r="D214" i="3"/>
  <c r="C214" i="3"/>
  <c r="E214" i="3"/>
  <c r="A215" i="3"/>
  <c r="B215" i="3"/>
  <c r="D215" i="3"/>
  <c r="C215" i="3"/>
  <c r="E215" i="3"/>
  <c r="A216" i="3"/>
  <c r="B216" i="3"/>
  <c r="D216" i="3"/>
  <c r="C216" i="3"/>
  <c r="E216" i="3"/>
  <c r="A217" i="3"/>
  <c r="B217" i="3"/>
  <c r="D217" i="3"/>
  <c r="C217" i="3"/>
  <c r="E217" i="3"/>
  <c r="A218" i="3"/>
  <c r="B218" i="3"/>
  <c r="D218" i="3"/>
  <c r="C218" i="3"/>
  <c r="E218" i="3"/>
  <c r="A219" i="3"/>
  <c r="B219" i="3"/>
  <c r="D219" i="3"/>
  <c r="C219" i="3"/>
  <c r="E219" i="3"/>
  <c r="A220" i="3"/>
  <c r="B220" i="3"/>
  <c r="D220" i="3"/>
  <c r="C220" i="3"/>
  <c r="E220" i="3"/>
  <c r="A221" i="3"/>
  <c r="B221" i="3"/>
  <c r="D221" i="3"/>
  <c r="C221" i="3"/>
  <c r="E221" i="3"/>
  <c r="A222" i="3"/>
  <c r="B222" i="3"/>
  <c r="D222" i="3"/>
  <c r="C222" i="3"/>
  <c r="E222" i="3"/>
  <c r="A223" i="3"/>
  <c r="B223" i="3"/>
  <c r="D223" i="3"/>
  <c r="C223" i="3"/>
  <c r="E223" i="3"/>
  <c r="A224" i="3"/>
  <c r="B224" i="3"/>
  <c r="D224" i="3"/>
  <c r="C224" i="3"/>
  <c r="E224" i="3"/>
  <c r="A225" i="3"/>
  <c r="B225" i="3"/>
  <c r="D225" i="3"/>
  <c r="C225" i="3"/>
  <c r="E225" i="3"/>
  <c r="A226" i="3"/>
  <c r="B226" i="3"/>
  <c r="D226" i="3"/>
  <c r="C226" i="3"/>
  <c r="E226" i="3"/>
  <c r="A227" i="3"/>
  <c r="B227" i="3"/>
  <c r="D227" i="3"/>
  <c r="C227" i="3"/>
  <c r="E227" i="3"/>
  <c r="A228" i="3"/>
  <c r="B228" i="3"/>
  <c r="D228" i="3"/>
  <c r="C228" i="3"/>
  <c r="E228" i="3"/>
  <c r="A229" i="3"/>
  <c r="B229" i="3"/>
  <c r="D229" i="3"/>
  <c r="C229" i="3"/>
  <c r="E229" i="3"/>
  <c r="A230" i="3"/>
  <c r="B230" i="3"/>
  <c r="D230" i="3"/>
  <c r="C230" i="3"/>
  <c r="E230" i="3"/>
  <c r="A231" i="3"/>
  <c r="B231" i="3"/>
  <c r="D231" i="3"/>
  <c r="C231" i="3"/>
  <c r="E231" i="3"/>
  <c r="A232" i="3"/>
  <c r="B232" i="3"/>
  <c r="D232" i="3"/>
  <c r="C232" i="3"/>
  <c r="E232" i="3"/>
  <c r="A233" i="3"/>
  <c r="B233" i="3"/>
  <c r="D233" i="3"/>
  <c r="C233" i="3"/>
  <c r="E233" i="3"/>
  <c r="A234" i="3"/>
  <c r="B234" i="3"/>
  <c r="D234" i="3"/>
  <c r="C234" i="3"/>
  <c r="E234" i="3"/>
  <c r="A235" i="3"/>
  <c r="B235" i="3"/>
  <c r="D235" i="3"/>
  <c r="C235" i="3"/>
  <c r="E235" i="3"/>
  <c r="A236" i="3"/>
  <c r="B236" i="3"/>
  <c r="D236" i="3"/>
  <c r="C236" i="3"/>
  <c r="E236" i="3"/>
  <c r="A237" i="3"/>
  <c r="B237" i="3"/>
  <c r="D237" i="3"/>
  <c r="C237" i="3"/>
  <c r="E237" i="3"/>
  <c r="A238" i="3"/>
  <c r="B238" i="3"/>
  <c r="D238" i="3"/>
  <c r="C238" i="3"/>
  <c r="E238" i="3"/>
  <c r="A239" i="3"/>
  <c r="B239" i="3"/>
  <c r="D239" i="3"/>
  <c r="C239" i="3"/>
  <c r="E239" i="3"/>
  <c r="A240" i="3"/>
  <c r="B240" i="3"/>
  <c r="D240" i="3"/>
  <c r="C240" i="3"/>
  <c r="E240" i="3"/>
  <c r="A241" i="3"/>
  <c r="B241" i="3"/>
  <c r="D241" i="3"/>
  <c r="C241" i="3"/>
  <c r="E241" i="3"/>
  <c r="A242" i="3"/>
  <c r="B242" i="3"/>
  <c r="D242" i="3"/>
  <c r="C242" i="3"/>
  <c r="E242" i="3"/>
  <c r="A243" i="3"/>
  <c r="B243" i="3"/>
  <c r="D243" i="3"/>
  <c r="C243" i="3"/>
  <c r="E243" i="3"/>
  <c r="A82" i="3"/>
  <c r="B82" i="3"/>
  <c r="D82" i="3"/>
  <c r="C82" i="3"/>
  <c r="E82" i="3"/>
  <c r="A83" i="3"/>
  <c r="B83" i="3"/>
  <c r="D83" i="3"/>
  <c r="C83" i="3"/>
  <c r="E83" i="3"/>
  <c r="A84" i="3"/>
  <c r="B84" i="3"/>
  <c r="D84" i="3"/>
  <c r="C84" i="3"/>
  <c r="E84" i="3"/>
  <c r="A85" i="3"/>
  <c r="B85" i="3"/>
  <c r="D85" i="3"/>
  <c r="C85" i="3"/>
  <c r="E85" i="3"/>
  <c r="A86" i="3"/>
  <c r="B86" i="3"/>
  <c r="D86" i="3"/>
  <c r="C86" i="3"/>
  <c r="E86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K665" i="2"/>
  <c r="L665" i="2"/>
  <c r="A25" i="3"/>
  <c r="B25" i="3"/>
  <c r="D25" i="3"/>
  <c r="C25" i="3"/>
  <c r="A26" i="3"/>
  <c r="B26" i="3"/>
  <c r="D26" i="3"/>
  <c r="A27" i="3"/>
  <c r="B27" i="3"/>
  <c r="D27" i="3"/>
  <c r="C27" i="3"/>
  <c r="A28" i="3"/>
  <c r="B28" i="3"/>
  <c r="D28" i="3"/>
  <c r="C28" i="3"/>
  <c r="A29" i="3"/>
  <c r="B29" i="3"/>
  <c r="D29" i="3"/>
  <c r="C29" i="3"/>
  <c r="A30" i="3"/>
  <c r="B30" i="3"/>
  <c r="D30" i="3"/>
  <c r="C30" i="3"/>
  <c r="A31" i="3"/>
  <c r="B31" i="3"/>
  <c r="D31" i="3"/>
  <c r="C31" i="3"/>
  <c r="A32" i="3"/>
  <c r="B32" i="3"/>
  <c r="D32" i="3"/>
  <c r="C32" i="3"/>
  <c r="A33" i="3"/>
  <c r="B33" i="3"/>
  <c r="D33" i="3"/>
  <c r="C33" i="3"/>
  <c r="A34" i="3"/>
  <c r="B34" i="3"/>
  <c r="D34" i="3"/>
  <c r="C34" i="3"/>
  <c r="A35" i="3"/>
  <c r="B35" i="3"/>
  <c r="D35" i="3"/>
  <c r="C35" i="3"/>
  <c r="A36" i="3"/>
  <c r="B36" i="3"/>
  <c r="D36" i="3"/>
  <c r="C36" i="3"/>
  <c r="A37" i="3"/>
  <c r="B37" i="3"/>
  <c r="D37" i="3"/>
  <c r="C37" i="3"/>
  <c r="A38" i="3"/>
  <c r="B38" i="3"/>
  <c r="D38" i="3"/>
  <c r="C38" i="3"/>
  <c r="A39" i="3"/>
  <c r="B39" i="3"/>
  <c r="D39" i="3"/>
  <c r="C39" i="3"/>
  <c r="A40" i="3"/>
  <c r="B40" i="3"/>
  <c r="D40" i="3"/>
  <c r="C40" i="3"/>
  <c r="A41" i="3"/>
  <c r="B41" i="3"/>
  <c r="D41" i="3"/>
  <c r="C41" i="3"/>
  <c r="A42" i="3"/>
  <c r="B42" i="3"/>
  <c r="D42" i="3"/>
  <c r="C42" i="3"/>
  <c r="A43" i="3"/>
  <c r="B43" i="3"/>
  <c r="D43" i="3"/>
  <c r="C43" i="3"/>
  <c r="A44" i="3"/>
  <c r="B44" i="3"/>
  <c r="D44" i="3"/>
  <c r="C44" i="3"/>
  <c r="A45" i="3"/>
  <c r="B45" i="3"/>
  <c r="D45" i="3"/>
  <c r="C45" i="3"/>
  <c r="A46" i="3"/>
  <c r="B46" i="3"/>
  <c r="D46" i="3"/>
  <c r="C46" i="3"/>
  <c r="A47" i="3"/>
  <c r="B47" i="3"/>
  <c r="D47" i="3"/>
  <c r="C47" i="3"/>
  <c r="A48" i="3"/>
  <c r="B48" i="3"/>
  <c r="D48" i="3"/>
  <c r="C48" i="3"/>
  <c r="A49" i="3"/>
  <c r="B49" i="3"/>
  <c r="D49" i="3"/>
  <c r="C49" i="3"/>
  <c r="A50" i="3"/>
  <c r="B50" i="3"/>
  <c r="D50" i="3"/>
  <c r="C50" i="3"/>
  <c r="A51" i="3"/>
  <c r="B51" i="3"/>
  <c r="D51" i="3"/>
  <c r="C51" i="3"/>
  <c r="A52" i="3"/>
  <c r="B52" i="3"/>
  <c r="D52" i="3"/>
  <c r="C52" i="3"/>
  <c r="A53" i="3"/>
  <c r="B53" i="3"/>
  <c r="D53" i="3"/>
  <c r="C53" i="3"/>
  <c r="A54" i="3"/>
  <c r="B54" i="3"/>
  <c r="D54" i="3"/>
  <c r="C54" i="3"/>
  <c r="A55" i="3"/>
  <c r="B55" i="3"/>
  <c r="D55" i="3"/>
  <c r="C55" i="3"/>
  <c r="A56" i="3"/>
  <c r="B56" i="3"/>
  <c r="D56" i="3"/>
  <c r="C56" i="3"/>
  <c r="A57" i="3"/>
  <c r="B57" i="3"/>
  <c r="D57" i="3"/>
  <c r="C57" i="3"/>
  <c r="A58" i="3"/>
  <c r="B58" i="3"/>
  <c r="D58" i="3"/>
  <c r="C58" i="3"/>
  <c r="A59" i="3"/>
  <c r="B59" i="3"/>
  <c r="D59" i="3"/>
  <c r="C59" i="3"/>
  <c r="A60" i="3"/>
  <c r="B60" i="3"/>
  <c r="D60" i="3"/>
  <c r="C60" i="3"/>
  <c r="A61" i="3"/>
  <c r="B61" i="3"/>
  <c r="D61" i="3"/>
  <c r="C61" i="3"/>
  <c r="A62" i="3"/>
  <c r="B62" i="3"/>
  <c r="D62" i="3"/>
  <c r="C62" i="3"/>
  <c r="A63" i="3"/>
  <c r="B63" i="3"/>
  <c r="D63" i="3"/>
  <c r="C63" i="3"/>
  <c r="A64" i="3"/>
  <c r="B64" i="3"/>
  <c r="D64" i="3"/>
  <c r="C64" i="3"/>
  <c r="A65" i="3"/>
  <c r="B65" i="3"/>
  <c r="D65" i="3"/>
  <c r="C65" i="3"/>
  <c r="A66" i="3"/>
  <c r="B66" i="3"/>
  <c r="D66" i="3"/>
  <c r="C66" i="3"/>
  <c r="A67" i="3"/>
  <c r="B67" i="3"/>
  <c r="D67" i="3"/>
  <c r="C67" i="3"/>
  <c r="A68" i="3"/>
  <c r="B68" i="3"/>
  <c r="D68" i="3"/>
  <c r="C68" i="3"/>
  <c r="A69" i="3"/>
  <c r="B69" i="3"/>
  <c r="D69" i="3"/>
  <c r="C69" i="3"/>
  <c r="A70" i="3"/>
  <c r="B70" i="3"/>
  <c r="D70" i="3"/>
  <c r="C70" i="3"/>
  <c r="A71" i="3"/>
  <c r="B71" i="3"/>
  <c r="D71" i="3"/>
  <c r="C71" i="3"/>
  <c r="A72" i="3"/>
  <c r="B72" i="3"/>
  <c r="D72" i="3"/>
  <c r="C72" i="3"/>
  <c r="A73" i="3"/>
  <c r="B73" i="3"/>
  <c r="D73" i="3"/>
  <c r="C73" i="3"/>
  <c r="A74" i="3"/>
  <c r="B74" i="3"/>
  <c r="D74" i="3"/>
  <c r="C74" i="3"/>
  <c r="A75" i="3"/>
  <c r="B75" i="3"/>
  <c r="D75" i="3"/>
  <c r="C75" i="3"/>
  <c r="A76" i="3"/>
  <c r="B76" i="3"/>
  <c r="D76" i="3"/>
  <c r="C76" i="3"/>
  <c r="A77" i="3"/>
  <c r="B77" i="3"/>
  <c r="D77" i="3"/>
  <c r="C77" i="3"/>
  <c r="A78" i="3"/>
  <c r="B78" i="3"/>
  <c r="D78" i="3"/>
  <c r="C78" i="3"/>
  <c r="A79" i="3"/>
  <c r="B79" i="3"/>
  <c r="D79" i="3"/>
  <c r="C79" i="3"/>
  <c r="A80" i="3"/>
  <c r="B80" i="3"/>
  <c r="D80" i="3"/>
  <c r="C80" i="3"/>
  <c r="A81" i="3"/>
  <c r="B81" i="3"/>
  <c r="D81" i="3"/>
  <c r="C81" i="3"/>
  <c r="E24" i="3"/>
  <c r="K87" i="2"/>
  <c r="L87" i="2"/>
  <c r="K86" i="2"/>
  <c r="L86" i="2"/>
  <c r="K83" i="2"/>
  <c r="L83" i="2"/>
  <c r="K115" i="2"/>
  <c r="L115" i="2"/>
  <c r="K82" i="2"/>
  <c r="L82" i="2"/>
  <c r="K81" i="2"/>
  <c r="L81" i="2"/>
  <c r="K80" i="2"/>
  <c r="L80" i="2"/>
  <c r="K124" i="2"/>
  <c r="L124" i="2"/>
  <c r="K59" i="2"/>
  <c r="L59" i="2"/>
  <c r="K79" i="2"/>
  <c r="L79" i="2"/>
  <c r="K78" i="2"/>
  <c r="L78" i="2"/>
  <c r="K77" i="2"/>
  <c r="L77" i="2"/>
  <c r="K74" i="2"/>
  <c r="L74" i="2"/>
  <c r="K72" i="2"/>
  <c r="L72" i="2"/>
  <c r="K71" i="2"/>
  <c r="L71" i="2"/>
  <c r="K70" i="2"/>
  <c r="L70" i="2"/>
  <c r="K69" i="2"/>
  <c r="L69" i="2"/>
  <c r="K125" i="2"/>
  <c r="L125" i="2"/>
  <c r="K76" i="2"/>
  <c r="L76" i="2"/>
  <c r="K75" i="2"/>
  <c r="L75" i="2"/>
  <c r="K73" i="2"/>
  <c r="L73" i="2"/>
  <c r="K68" i="2"/>
  <c r="L68" i="2"/>
  <c r="K67" i="2"/>
  <c r="L67" i="2"/>
  <c r="K90" i="2"/>
  <c r="L90" i="2"/>
  <c r="K85" i="2"/>
  <c r="L85" i="2"/>
  <c r="K65" i="2"/>
  <c r="L65" i="2"/>
  <c r="K64" i="2"/>
  <c r="L64" i="2"/>
  <c r="K122" i="2"/>
  <c r="L122" i="2"/>
  <c r="K63" i="2"/>
  <c r="L63" i="2"/>
  <c r="K121" i="2"/>
  <c r="L121" i="2"/>
  <c r="K123" i="2"/>
  <c r="L123" i="2"/>
  <c r="K62" i="2"/>
  <c r="L62" i="2"/>
  <c r="K60" i="2"/>
  <c r="L60" i="2"/>
  <c r="K61" i="2"/>
  <c r="L61" i="2"/>
  <c r="K128" i="2"/>
  <c r="L128" i="2"/>
  <c r="K89" i="2"/>
  <c r="L89" i="2"/>
  <c r="K66" i="2"/>
  <c r="L66" i="2"/>
  <c r="K52" i="2"/>
  <c r="L52" i="2"/>
  <c r="K48" i="2"/>
  <c r="L48" i="2"/>
  <c r="K678" i="2"/>
  <c r="L678" i="2"/>
  <c r="K684" i="2"/>
  <c r="L684" i="2"/>
  <c r="K675" i="2"/>
  <c r="L675" i="2"/>
  <c r="K93" i="2"/>
  <c r="L93" i="2"/>
  <c r="K667" i="2"/>
  <c r="L667" i="2"/>
  <c r="K114" i="2"/>
  <c r="L114" i="2"/>
  <c r="K113" i="2"/>
  <c r="L113" i="2"/>
  <c r="K112" i="2"/>
  <c r="L112" i="2"/>
  <c r="K111" i="2"/>
  <c r="L111" i="2"/>
  <c r="K110" i="2"/>
  <c r="L110" i="2"/>
  <c r="K107" i="2"/>
  <c r="L107" i="2"/>
  <c r="K95" i="2"/>
  <c r="L95" i="2"/>
  <c r="K109" i="2"/>
  <c r="L109" i="2"/>
  <c r="K108" i="2"/>
  <c r="L108" i="2"/>
  <c r="K106" i="2"/>
  <c r="L106" i="2"/>
  <c r="K105" i="2"/>
  <c r="L105" i="2"/>
  <c r="K104" i="2"/>
  <c r="L104" i="2"/>
  <c r="K103" i="2"/>
  <c r="L103" i="2"/>
  <c r="K102" i="2"/>
  <c r="L102" i="2"/>
  <c r="K96" i="2"/>
  <c r="L96" i="2"/>
  <c r="K101" i="2"/>
  <c r="L101" i="2"/>
  <c r="K100" i="2"/>
  <c r="L100" i="2"/>
  <c r="K99" i="2"/>
  <c r="L99" i="2"/>
  <c r="K98" i="2"/>
  <c r="L98" i="2"/>
  <c r="K97" i="2"/>
  <c r="L97" i="2"/>
  <c r="K94" i="2"/>
  <c r="L94" i="2"/>
  <c r="K201" i="2"/>
  <c r="L201" i="2"/>
  <c r="K200" i="2"/>
  <c r="L200" i="2"/>
  <c r="K199" i="2"/>
  <c r="L199" i="2"/>
  <c r="K151" i="2"/>
  <c r="L151" i="2"/>
  <c r="K138" i="2"/>
  <c r="L138" i="2"/>
  <c r="K139" i="2"/>
  <c r="L139" i="2"/>
  <c r="K137" i="2"/>
  <c r="L137" i="2"/>
  <c r="K136" i="2"/>
  <c r="L136" i="2"/>
  <c r="K154" i="2"/>
  <c r="L154" i="2"/>
  <c r="K153" i="2"/>
  <c r="L153" i="2"/>
  <c r="K152" i="2"/>
  <c r="L152" i="2"/>
  <c r="K156" i="2"/>
  <c r="L156" i="2"/>
  <c r="K202" i="2"/>
  <c r="L202" i="2"/>
  <c r="K155" i="2"/>
  <c r="L155" i="2"/>
  <c r="K134" i="2"/>
  <c r="L134" i="2"/>
  <c r="K133" i="2"/>
  <c r="L133" i="2"/>
  <c r="K132" i="2"/>
  <c r="L132" i="2"/>
  <c r="K147" i="2"/>
  <c r="L147" i="2"/>
  <c r="K198" i="2"/>
  <c r="L198" i="2"/>
  <c r="K197" i="2"/>
  <c r="L197" i="2"/>
  <c r="K196" i="2"/>
  <c r="L196" i="2"/>
  <c r="K195" i="2"/>
  <c r="L195" i="2"/>
  <c r="K194" i="2"/>
  <c r="L194" i="2"/>
  <c r="K193" i="2"/>
  <c r="L193" i="2"/>
  <c r="K192" i="2"/>
  <c r="L192" i="2"/>
  <c r="K191" i="2"/>
  <c r="L191" i="2"/>
  <c r="K190" i="2"/>
  <c r="L190" i="2"/>
  <c r="K189" i="2"/>
  <c r="L189" i="2"/>
  <c r="K188" i="2"/>
  <c r="L188" i="2"/>
  <c r="K140" i="2"/>
  <c r="L140" i="2"/>
  <c r="K204" i="2"/>
  <c r="L204" i="2"/>
  <c r="K203" i="2"/>
  <c r="L203" i="2"/>
  <c r="K207" i="2"/>
  <c r="L207" i="2"/>
  <c r="K206" i="2"/>
  <c r="L206" i="2"/>
  <c r="K205" i="2"/>
  <c r="L205" i="2"/>
  <c r="K210" i="2"/>
  <c r="L210" i="2"/>
  <c r="K149" i="2"/>
  <c r="L149" i="2"/>
  <c r="K150" i="2"/>
  <c r="L150" i="2"/>
  <c r="K148" i="2"/>
  <c r="L148" i="2"/>
  <c r="K187" i="2"/>
  <c r="L187" i="2"/>
  <c r="K186" i="2"/>
  <c r="L186" i="2"/>
  <c r="K185" i="2"/>
  <c r="L185" i="2"/>
  <c r="K184" i="2"/>
  <c r="L184" i="2"/>
  <c r="K183" i="2"/>
  <c r="L183" i="2"/>
  <c r="K672" i="2"/>
  <c r="L672" i="2"/>
  <c r="K182" i="2"/>
  <c r="L182" i="2"/>
  <c r="K181" i="2"/>
  <c r="L181" i="2"/>
  <c r="K179" i="2"/>
  <c r="L179" i="2"/>
  <c r="K178" i="2"/>
  <c r="L178" i="2"/>
  <c r="K180" i="2"/>
  <c r="L180" i="2"/>
  <c r="K135" i="2"/>
  <c r="L135" i="2"/>
  <c r="K131" i="2"/>
  <c r="L131" i="2"/>
  <c r="K129" i="2"/>
  <c r="L129" i="2"/>
  <c r="K130" i="2"/>
  <c r="L130" i="2"/>
  <c r="K209" i="2"/>
  <c r="L209" i="2"/>
  <c r="K208" i="2"/>
  <c r="L208" i="2"/>
  <c r="K144" i="2"/>
  <c r="L144" i="2"/>
  <c r="K143" i="2"/>
  <c r="L143" i="2"/>
  <c r="K218" i="2"/>
  <c r="L218" i="2"/>
  <c r="K146" i="2"/>
  <c r="L146" i="2"/>
  <c r="K145" i="2"/>
  <c r="L145" i="2"/>
  <c r="K217" i="2"/>
  <c r="L217" i="2"/>
  <c r="K216" i="2"/>
  <c r="L216" i="2"/>
  <c r="K215" i="2"/>
  <c r="L215" i="2"/>
  <c r="K214" i="2"/>
  <c r="L214" i="2"/>
  <c r="K141" i="2"/>
  <c r="L141" i="2"/>
  <c r="K142" i="2"/>
  <c r="L142" i="2"/>
  <c r="K213" i="2"/>
  <c r="L213" i="2"/>
  <c r="K212" i="2"/>
  <c r="L212" i="2"/>
  <c r="K211" i="2"/>
  <c r="L211" i="2"/>
  <c r="K232" i="2"/>
  <c r="L232" i="2"/>
  <c r="K177" i="2"/>
  <c r="L177" i="2"/>
  <c r="K237" i="2"/>
  <c r="L237" i="2"/>
  <c r="K686" i="2"/>
  <c r="L686" i="2"/>
  <c r="K236" i="2"/>
  <c r="L236" i="2"/>
  <c r="K239" i="2"/>
  <c r="L239" i="2"/>
  <c r="K238" i="2"/>
  <c r="L238" i="2"/>
  <c r="K176" i="2"/>
  <c r="L176" i="2"/>
  <c r="K175" i="2"/>
  <c r="L175" i="2"/>
  <c r="K174" i="2"/>
  <c r="L174" i="2"/>
  <c r="K173" i="2"/>
  <c r="L173" i="2"/>
  <c r="K172" i="2"/>
  <c r="L172" i="2"/>
  <c r="K171" i="2"/>
  <c r="L171" i="2"/>
  <c r="K170" i="2"/>
  <c r="L170" i="2"/>
  <c r="K169" i="2"/>
  <c r="L169" i="2"/>
  <c r="K168" i="2"/>
  <c r="L168" i="2"/>
  <c r="K167" i="2"/>
  <c r="L167" i="2"/>
  <c r="K166" i="2"/>
  <c r="L166" i="2"/>
  <c r="K165" i="2"/>
  <c r="L165" i="2"/>
  <c r="K164" i="2"/>
  <c r="L164" i="2"/>
  <c r="K163" i="2"/>
  <c r="L163" i="2"/>
  <c r="K162" i="2"/>
  <c r="L162" i="2"/>
  <c r="K161" i="2"/>
  <c r="L161" i="2"/>
  <c r="K160" i="2"/>
  <c r="L160" i="2"/>
  <c r="K159" i="2"/>
  <c r="L159" i="2"/>
  <c r="K158" i="2"/>
  <c r="L158" i="2"/>
  <c r="K157" i="2"/>
  <c r="L157" i="2"/>
  <c r="A24" i="3"/>
  <c r="C24" i="3"/>
  <c r="B24" i="3"/>
  <c r="D24" i="3"/>
  <c r="K291" i="2"/>
  <c r="L291" i="2"/>
  <c r="D3" i="4"/>
  <c r="D6" i="4"/>
  <c r="K260" i="2"/>
  <c r="L260" i="2"/>
  <c r="K259" i="2"/>
  <c r="L259" i="2"/>
  <c r="K255" i="2"/>
  <c r="L255" i="2"/>
  <c r="K254" i="2"/>
  <c r="L254" i="2"/>
  <c r="K253" i="2"/>
  <c r="L253" i="2"/>
  <c r="K251" i="2"/>
  <c r="L251" i="2"/>
  <c r="K252" i="2"/>
  <c r="L252" i="2"/>
  <c r="K250" i="2"/>
  <c r="L250" i="2"/>
  <c r="K258" i="2"/>
  <c r="L258" i="2"/>
  <c r="K257" i="2"/>
  <c r="L257" i="2"/>
  <c r="K256" i="2"/>
  <c r="L256" i="2"/>
  <c r="K248" i="2"/>
  <c r="L248" i="2"/>
  <c r="K249" i="2"/>
  <c r="L249" i="2"/>
  <c r="K247" i="2"/>
  <c r="L247" i="2"/>
  <c r="K246" i="2"/>
  <c r="L246" i="2"/>
  <c r="K245" i="2"/>
  <c r="L245" i="2"/>
  <c r="K243" i="2"/>
  <c r="L243" i="2"/>
  <c r="K244" i="2"/>
  <c r="L244" i="2"/>
  <c r="K242" i="2"/>
  <c r="L242" i="2"/>
  <c r="K241" i="2"/>
  <c r="L241" i="2"/>
  <c r="K233" i="2"/>
  <c r="L233" i="2"/>
  <c r="K235" i="2"/>
  <c r="L235" i="2"/>
  <c r="K231" i="2"/>
  <c r="L231" i="2"/>
  <c r="K219" i="2"/>
  <c r="L219" i="2"/>
  <c r="K228" i="2"/>
  <c r="L228" i="2"/>
  <c r="K230" i="2"/>
  <c r="L230" i="2"/>
  <c r="K229" i="2"/>
  <c r="L229" i="2"/>
  <c r="K224" i="2"/>
  <c r="L224" i="2"/>
  <c r="K221" i="2"/>
  <c r="L221" i="2"/>
  <c r="K223" i="2"/>
  <c r="L223" i="2"/>
  <c r="K220" i="2"/>
  <c r="L220" i="2"/>
  <c r="K226" i="2"/>
  <c r="L226" i="2"/>
  <c r="K227" i="2"/>
  <c r="L227" i="2"/>
  <c r="K225" i="2"/>
  <c r="L225" i="2"/>
  <c r="K222" i="2"/>
  <c r="L222" i="2"/>
  <c r="K234" i="2"/>
  <c r="L234" i="2"/>
  <c r="K240" i="2"/>
  <c r="L240" i="2"/>
  <c r="K127" i="2"/>
  <c r="L127" i="2"/>
  <c r="K92" i="2"/>
  <c r="L92" i="2"/>
  <c r="K91" i="2"/>
  <c r="L91" i="2"/>
  <c r="K126" i="2"/>
  <c r="L126" i="2"/>
  <c r="K58" i="2"/>
  <c r="L58" i="2"/>
  <c r="K49" i="2"/>
  <c r="L49" i="2"/>
  <c r="K44" i="2"/>
  <c r="L44" i="2"/>
  <c r="K88" i="2"/>
  <c r="L88" i="2"/>
  <c r="K35" i="2"/>
  <c r="L35" i="2"/>
  <c r="K34" i="2"/>
  <c r="L34" i="2"/>
  <c r="K57" i="2"/>
  <c r="L57" i="2"/>
  <c r="K56" i="2"/>
  <c r="L56" i="2"/>
  <c r="K84" i="2"/>
  <c r="L84" i="2"/>
  <c r="K47" i="2"/>
  <c r="L47" i="2"/>
  <c r="K38" i="2"/>
  <c r="L38" i="2"/>
  <c r="K43" i="2"/>
  <c r="L43" i="2"/>
  <c r="K42" i="2"/>
  <c r="L42" i="2"/>
  <c r="K40" i="2"/>
  <c r="L40" i="2"/>
  <c r="K39" i="2"/>
  <c r="L39" i="2"/>
  <c r="K677" i="2"/>
  <c r="L677" i="2"/>
  <c r="K676" i="2"/>
  <c r="L676" i="2"/>
  <c r="K33" i="2"/>
  <c r="L33" i="2"/>
  <c r="K55" i="2"/>
  <c r="L55" i="2"/>
  <c r="K32" i="2"/>
  <c r="L32" i="2"/>
  <c r="K54" i="2"/>
  <c r="L54" i="2"/>
  <c r="K31" i="2"/>
  <c r="L31" i="2"/>
  <c r="K53" i="2"/>
  <c r="L53" i="2"/>
  <c r="K51" i="2"/>
  <c r="L51" i="2"/>
  <c r="K50" i="2"/>
  <c r="L50" i="2"/>
  <c r="K30" i="2"/>
  <c r="L30" i="2"/>
  <c r="K29" i="2"/>
  <c r="L29" i="2"/>
  <c r="K28" i="2"/>
  <c r="L28" i="2"/>
  <c r="K27" i="2"/>
  <c r="L27" i="2"/>
  <c r="K26" i="2"/>
  <c r="L26" i="2"/>
  <c r="K45" i="2"/>
  <c r="L45" i="2"/>
  <c r="K25" i="2"/>
  <c r="L25" i="2"/>
  <c r="K120" i="2"/>
  <c r="L120" i="2"/>
  <c r="K119" i="2"/>
  <c r="L119" i="2"/>
  <c r="K118" i="2"/>
  <c r="L118" i="2"/>
  <c r="K117" i="2"/>
  <c r="L117" i="2"/>
  <c r="K116" i="2"/>
  <c r="L116" i="2"/>
  <c r="K24" i="2"/>
  <c r="L24" i="2"/>
  <c r="K23" i="2"/>
  <c r="L23" i="2"/>
  <c r="K22" i="2"/>
  <c r="L22" i="2"/>
  <c r="K46" i="2"/>
  <c r="L46" i="2"/>
  <c r="K21" i="2"/>
  <c r="L21" i="2"/>
  <c r="K20" i="2"/>
  <c r="L20" i="2"/>
  <c r="K19" i="2"/>
  <c r="L19" i="2"/>
  <c r="K18" i="2"/>
  <c r="L18" i="2"/>
  <c r="K17" i="2"/>
  <c r="L17" i="2"/>
  <c r="K16" i="2"/>
  <c r="L16" i="2"/>
  <c r="K15" i="2"/>
  <c r="L15" i="2"/>
  <c r="K14" i="2"/>
  <c r="L14" i="2"/>
  <c r="K13" i="2"/>
  <c r="L13" i="2"/>
  <c r="K12" i="2"/>
  <c r="L12" i="2"/>
  <c r="K11" i="2"/>
  <c r="L11" i="2"/>
  <c r="K41" i="2"/>
  <c r="L41" i="2"/>
  <c r="K10" i="2"/>
  <c r="L10" i="2"/>
  <c r="K9" i="2"/>
  <c r="L9" i="2"/>
  <c r="K8" i="2"/>
  <c r="L8" i="2"/>
  <c r="K7" i="2"/>
  <c r="L7" i="2"/>
  <c r="K6" i="2"/>
  <c r="L6" i="2"/>
  <c r="K4" i="2"/>
  <c r="L4" i="2"/>
  <c r="K5" i="2"/>
  <c r="L5" i="2"/>
  <c r="K3" i="2"/>
  <c r="L3" i="2"/>
  <c r="K2" i="2"/>
  <c r="L2" i="2"/>
  <c r="K37" i="2"/>
  <c r="L37" i="2"/>
  <c r="K668" i="2"/>
  <c r="L668" i="2"/>
  <c r="K670" i="2"/>
  <c r="L670" i="2"/>
  <c r="K669" i="2"/>
  <c r="L669" i="2"/>
  <c r="K674" i="2"/>
  <c r="L674" i="2"/>
  <c r="K673" i="2"/>
  <c r="L673" i="2"/>
  <c r="K671" i="2"/>
  <c r="L671" i="2"/>
  <c r="K36" i="2"/>
  <c r="L36" i="2"/>
  <c r="K655" i="2"/>
  <c r="L655" i="2"/>
  <c r="K654" i="2"/>
  <c r="L654" i="2"/>
  <c r="K653" i="2"/>
  <c r="L653" i="2"/>
  <c r="K652" i="2"/>
  <c r="L652" i="2"/>
  <c r="K651" i="2"/>
  <c r="L651" i="2"/>
  <c r="K650" i="2"/>
  <c r="L650" i="2"/>
  <c r="K649" i="2"/>
  <c r="L649" i="2"/>
  <c r="K648" i="2"/>
  <c r="L648" i="2"/>
  <c r="K647" i="2"/>
  <c r="L647" i="2"/>
  <c r="K646" i="2"/>
  <c r="L646" i="2"/>
  <c r="K645" i="2"/>
  <c r="L645" i="2"/>
  <c r="K644" i="2"/>
  <c r="L644" i="2"/>
  <c r="K643" i="2"/>
  <c r="L643" i="2"/>
  <c r="K642" i="2"/>
  <c r="L642" i="2"/>
  <c r="K641" i="2"/>
  <c r="L641" i="2"/>
  <c r="K640" i="2"/>
  <c r="L640" i="2"/>
  <c r="K639" i="2"/>
  <c r="L639" i="2"/>
  <c r="K638" i="2"/>
  <c r="L638" i="2"/>
  <c r="K637" i="2"/>
  <c r="L637" i="2"/>
  <c r="K636" i="2"/>
  <c r="L636" i="2"/>
  <c r="K635" i="2"/>
  <c r="L635" i="2"/>
  <c r="K634" i="2"/>
  <c r="L634" i="2"/>
  <c r="K633" i="2"/>
  <c r="L633" i="2"/>
  <c r="K632" i="2"/>
  <c r="L632" i="2"/>
  <c r="K631" i="2"/>
  <c r="L631" i="2"/>
  <c r="K630" i="2"/>
  <c r="L630" i="2"/>
  <c r="K629" i="2"/>
  <c r="L629" i="2"/>
  <c r="K628" i="2"/>
  <c r="L628" i="2"/>
  <c r="K626" i="2"/>
  <c r="L626" i="2"/>
  <c r="K625" i="2"/>
  <c r="L625" i="2"/>
  <c r="K624" i="2"/>
  <c r="L624" i="2"/>
  <c r="K623" i="2"/>
  <c r="L623" i="2"/>
  <c r="K620" i="2"/>
  <c r="L620" i="2"/>
  <c r="K619" i="2"/>
  <c r="L619" i="2"/>
  <c r="K618" i="2"/>
  <c r="L618" i="2"/>
  <c r="K622" i="2"/>
  <c r="L622" i="2"/>
  <c r="K621" i="2"/>
  <c r="L621" i="2"/>
  <c r="K617" i="2"/>
  <c r="L617" i="2"/>
  <c r="K613" i="2"/>
  <c r="L613" i="2"/>
  <c r="K612" i="2"/>
  <c r="L612" i="2"/>
  <c r="K616" i="2"/>
  <c r="L616" i="2"/>
  <c r="K614" i="2"/>
  <c r="L614" i="2"/>
  <c r="K615" i="2"/>
  <c r="L615" i="2"/>
  <c r="K610" i="2"/>
  <c r="L610" i="2"/>
  <c r="C4" i="3"/>
  <c r="L262" i="2"/>
  <c r="L263" i="2"/>
  <c r="L264" i="2"/>
  <c r="L265" i="2"/>
  <c r="L266" i="2"/>
  <c r="L267" i="2"/>
  <c r="L268" i="2"/>
  <c r="L269" i="2"/>
  <c r="L270" i="2"/>
  <c r="L271" i="2"/>
  <c r="L289" i="2"/>
  <c r="L290" i="2"/>
  <c r="L292" i="2"/>
  <c r="L293" i="2"/>
  <c r="L294" i="2"/>
  <c r="L295" i="2"/>
  <c r="L296" i="2"/>
  <c r="L297" i="2"/>
  <c r="L299" i="2"/>
  <c r="L303" i="2"/>
  <c r="L300" i="2"/>
  <c r="L301" i="2"/>
  <c r="L304" i="2"/>
  <c r="L276" i="2"/>
  <c r="L277" i="2"/>
  <c r="L278" i="2"/>
  <c r="L272" i="2"/>
  <c r="L273" i="2"/>
  <c r="L302" i="2"/>
  <c r="L305" i="2"/>
  <c r="L283" i="2"/>
  <c r="L284" i="2"/>
  <c r="L285" i="2"/>
  <c r="L286" i="2"/>
  <c r="L287" i="2"/>
  <c r="L288" i="2"/>
  <c r="L279" i="2"/>
  <c r="L280" i="2"/>
  <c r="L281" i="2"/>
  <c r="L282" i="2"/>
  <c r="L307" i="2"/>
  <c r="L306" i="2"/>
  <c r="L298" i="2"/>
  <c r="L308" i="2"/>
  <c r="L274" i="2"/>
  <c r="L275" i="2"/>
  <c r="L309" i="2"/>
  <c r="L310" i="2"/>
  <c r="L311" i="2"/>
  <c r="L351" i="2"/>
  <c r="L352" i="2"/>
  <c r="L353" i="2"/>
  <c r="L687" i="2"/>
  <c r="L354" i="2"/>
  <c r="L355" i="2"/>
  <c r="L356" i="2"/>
  <c r="L357" i="2"/>
  <c r="L688" i="2"/>
  <c r="L358" i="2"/>
  <c r="L359" i="2"/>
  <c r="L360" i="2"/>
  <c r="L361" i="2"/>
  <c r="L362" i="2"/>
  <c r="L363" i="2"/>
  <c r="L689" i="2"/>
  <c r="L364" i="2"/>
  <c r="L365" i="2"/>
  <c r="L366" i="2"/>
  <c r="L690" i="2"/>
  <c r="L691" i="2"/>
  <c r="L369" i="2"/>
  <c r="L370" i="2"/>
  <c r="L367" i="2"/>
  <c r="L368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7" i="2"/>
  <c r="L386" i="2"/>
  <c r="L389" i="2"/>
  <c r="L388" i="2"/>
  <c r="L390" i="2"/>
  <c r="L391" i="2"/>
  <c r="L392" i="2"/>
  <c r="L393" i="2"/>
  <c r="L394" i="2"/>
  <c r="L395" i="2"/>
  <c r="L396" i="2"/>
  <c r="L398" i="2"/>
  <c r="L399" i="2"/>
  <c r="L397" i="2"/>
  <c r="L400" i="2"/>
  <c r="L401" i="2"/>
  <c r="L402" i="2"/>
  <c r="L403" i="2"/>
  <c r="L404" i="2"/>
  <c r="L405" i="2"/>
  <c r="L406" i="2"/>
  <c r="L407" i="2"/>
  <c r="L408" i="2"/>
  <c r="L409" i="2"/>
  <c r="L411" i="2"/>
  <c r="L410" i="2"/>
  <c r="L412" i="2"/>
  <c r="L413" i="2"/>
  <c r="L416" i="2"/>
  <c r="L414" i="2"/>
  <c r="L415" i="2"/>
  <c r="L417" i="2"/>
  <c r="L418" i="2"/>
  <c r="L419" i="2"/>
  <c r="L427" i="2"/>
  <c r="L420" i="2"/>
  <c r="L421" i="2"/>
  <c r="L422" i="2"/>
  <c r="L423" i="2"/>
  <c r="L424" i="2"/>
  <c r="L425" i="2"/>
  <c r="L426" i="2"/>
  <c r="L428" i="2"/>
  <c r="L312" i="2"/>
  <c r="L313" i="2"/>
  <c r="L314" i="2"/>
  <c r="L315" i="2"/>
  <c r="L316" i="2"/>
  <c r="L350" i="2"/>
  <c r="L349" i="2"/>
  <c r="L317" i="2"/>
  <c r="L318" i="2"/>
  <c r="L346" i="2"/>
  <c r="L347" i="2"/>
  <c r="L319" i="2"/>
  <c r="L321" i="2"/>
  <c r="L320" i="2"/>
  <c r="L348" i="2"/>
  <c r="L322" i="2"/>
  <c r="L323" i="2"/>
  <c r="L324" i="2"/>
  <c r="L325" i="2"/>
  <c r="L327" i="2"/>
  <c r="L326" i="2"/>
  <c r="L328" i="2"/>
  <c r="L330" i="2"/>
  <c r="L331" i="2"/>
  <c r="L332" i="2"/>
  <c r="L333" i="2"/>
  <c r="L335" i="2"/>
  <c r="L334" i="2"/>
  <c r="L336" i="2"/>
  <c r="L337" i="2"/>
  <c r="L329" i="2"/>
  <c r="L338" i="2"/>
  <c r="L340" i="2"/>
  <c r="L341" i="2"/>
  <c r="L339" i="2"/>
  <c r="L342" i="2"/>
  <c r="L343" i="2"/>
  <c r="L344" i="2"/>
  <c r="L345" i="2"/>
  <c r="L477" i="2"/>
  <c r="L473" i="2"/>
  <c r="L439" i="2"/>
  <c r="L440" i="2"/>
  <c r="L441" i="2"/>
  <c r="L447" i="2"/>
  <c r="L448" i="2"/>
  <c r="L449" i="2"/>
  <c r="L452" i="2"/>
  <c r="L450" i="2"/>
  <c r="L451" i="2"/>
  <c r="L453" i="2"/>
  <c r="L454" i="2"/>
  <c r="L455" i="2"/>
  <c r="L456" i="2"/>
  <c r="L457" i="2"/>
  <c r="L442" i="2"/>
  <c r="L443" i="2"/>
  <c r="L444" i="2"/>
  <c r="L445" i="2"/>
  <c r="L446" i="2"/>
  <c r="L465" i="2"/>
  <c r="L438" i="2"/>
  <c r="L434" i="2"/>
  <c r="L435" i="2"/>
  <c r="L436" i="2"/>
  <c r="L437" i="2"/>
  <c r="L458" i="2"/>
  <c r="L459" i="2"/>
  <c r="L685" i="2"/>
  <c r="L475" i="2"/>
  <c r="L476" i="2"/>
  <c r="L460" i="2"/>
  <c r="L461" i="2"/>
  <c r="L462" i="2"/>
  <c r="L463" i="2"/>
  <c r="L429" i="2"/>
  <c r="L430" i="2"/>
  <c r="L431" i="2"/>
  <c r="L432" i="2"/>
  <c r="L433" i="2"/>
  <c r="L464" i="2"/>
  <c r="L466" i="2"/>
  <c r="L467" i="2"/>
  <c r="L468" i="2"/>
  <c r="L474" i="2"/>
  <c r="L469" i="2"/>
  <c r="L470" i="2"/>
  <c r="L471" i="2"/>
  <c r="L472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8" i="2"/>
  <c r="L502" i="2"/>
  <c r="L503" i="2"/>
  <c r="L680" i="2"/>
  <c r="L683" i="2"/>
  <c r="L681" i="2"/>
  <c r="L682" i="2"/>
  <c r="L679" i="2"/>
  <c r="L504" i="2"/>
  <c r="L505" i="2"/>
  <c r="L506" i="2"/>
  <c r="L507" i="2"/>
  <c r="L564" i="2"/>
  <c r="L518" i="2"/>
  <c r="L517" i="2"/>
  <c r="L515" i="2"/>
  <c r="L516" i="2"/>
  <c r="L509" i="2"/>
  <c r="L510" i="2"/>
  <c r="L511" i="2"/>
  <c r="L512" i="2"/>
  <c r="L513" i="2"/>
  <c r="L514" i="2"/>
  <c r="L519" i="2"/>
  <c r="L526" i="2"/>
  <c r="L527" i="2"/>
  <c r="L528" i="2"/>
  <c r="L529" i="2"/>
  <c r="L530" i="2"/>
  <c r="L531" i="2"/>
  <c r="L532" i="2"/>
  <c r="L533" i="2"/>
  <c r="L534" i="2"/>
  <c r="L535" i="2"/>
  <c r="L525" i="2"/>
  <c r="L520" i="2"/>
  <c r="L521" i="2"/>
  <c r="L522" i="2"/>
  <c r="L523" i="2"/>
  <c r="L524" i="2"/>
  <c r="L537" i="2"/>
  <c r="L536" i="2"/>
  <c r="L538" i="2"/>
  <c r="L539" i="2"/>
  <c r="L540" i="2"/>
  <c r="L541" i="2"/>
  <c r="L542" i="2"/>
  <c r="L543" i="2"/>
  <c r="L544" i="2"/>
  <c r="L545" i="2"/>
  <c r="L553" i="2"/>
  <c r="L554" i="2"/>
  <c r="L546" i="2"/>
  <c r="L547" i="2"/>
  <c r="L548" i="2"/>
  <c r="L549" i="2"/>
  <c r="L550" i="2"/>
  <c r="L551" i="2"/>
  <c r="L552" i="2"/>
  <c r="L555" i="2"/>
  <c r="L556" i="2"/>
  <c r="L557" i="2"/>
  <c r="L558" i="2"/>
  <c r="L559" i="2"/>
  <c r="L560" i="2"/>
  <c r="L561" i="2"/>
  <c r="L562" i="2"/>
  <c r="L563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627" i="2"/>
  <c r="L579" i="2"/>
  <c r="L583" i="2"/>
  <c r="L584" i="2"/>
  <c r="L585" i="2"/>
  <c r="L580" i="2"/>
  <c r="L581" i="2"/>
  <c r="L582" i="2"/>
  <c r="L586" i="2"/>
  <c r="L587" i="2"/>
  <c r="L588" i="2"/>
  <c r="L590" i="2"/>
  <c r="L591" i="2"/>
  <c r="L592" i="2"/>
  <c r="L589" i="2"/>
  <c r="L595" i="2"/>
  <c r="L594" i="2"/>
  <c r="L593" i="2"/>
  <c r="L598" i="2"/>
  <c r="L596" i="2"/>
  <c r="L597" i="2"/>
  <c r="L605" i="2"/>
  <c r="L606" i="2"/>
  <c r="L604" i="2"/>
  <c r="L607" i="2"/>
  <c r="L608" i="2"/>
  <c r="L609" i="2"/>
  <c r="L601" i="2"/>
  <c r="L602" i="2"/>
  <c r="L603" i="2"/>
  <c r="L599" i="2"/>
  <c r="L600" i="2"/>
  <c r="L611" i="2"/>
  <c r="L261" i="2"/>
  <c r="K611" i="2"/>
  <c r="K600" i="2"/>
  <c r="K599" i="2"/>
  <c r="K603" i="2"/>
  <c r="K602" i="2"/>
  <c r="K601" i="2"/>
  <c r="K609" i="2"/>
  <c r="K608" i="2"/>
  <c r="K607" i="2"/>
  <c r="K604" i="2"/>
  <c r="K606" i="2"/>
  <c r="K605" i="2"/>
  <c r="K597" i="2"/>
  <c r="K596" i="2"/>
  <c r="K598" i="2"/>
  <c r="K593" i="2"/>
  <c r="K594" i="2"/>
  <c r="K595" i="2"/>
  <c r="K589" i="2"/>
  <c r="K592" i="2"/>
  <c r="K591" i="2"/>
  <c r="K590" i="2"/>
  <c r="K588" i="2"/>
  <c r="K587" i="2"/>
  <c r="K586" i="2"/>
  <c r="K582" i="2"/>
  <c r="K581" i="2"/>
  <c r="K580" i="2"/>
  <c r="K585" i="2"/>
  <c r="K584" i="2"/>
  <c r="K583" i="2"/>
  <c r="K579" i="2"/>
  <c r="K627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3" i="2"/>
  <c r="K562" i="2"/>
  <c r="K561" i="2"/>
  <c r="K560" i="2"/>
  <c r="K559" i="2"/>
  <c r="K558" i="2"/>
  <c r="K557" i="2"/>
  <c r="K556" i="2"/>
  <c r="K555" i="2"/>
  <c r="K552" i="2"/>
  <c r="K551" i="2"/>
  <c r="K550" i="2"/>
  <c r="K549" i="2"/>
  <c r="K548" i="2"/>
  <c r="K547" i="2"/>
  <c r="K546" i="2"/>
  <c r="K554" i="2"/>
  <c r="K553" i="2"/>
  <c r="K545" i="2"/>
  <c r="K544" i="2"/>
  <c r="K543" i="2"/>
  <c r="K542" i="2"/>
  <c r="K541" i="2"/>
  <c r="K540" i="2"/>
  <c r="K539" i="2"/>
  <c r="K538" i="2"/>
  <c r="K536" i="2"/>
  <c r="K537" i="2"/>
  <c r="K524" i="2"/>
  <c r="K523" i="2"/>
  <c r="K522" i="2"/>
  <c r="K521" i="2"/>
  <c r="K520" i="2"/>
  <c r="K525" i="2"/>
  <c r="K535" i="2"/>
  <c r="K534" i="2"/>
  <c r="K533" i="2"/>
  <c r="K532" i="2"/>
  <c r="K531" i="2"/>
  <c r="K530" i="2"/>
  <c r="K529" i="2"/>
  <c r="K528" i="2"/>
  <c r="K527" i="2"/>
  <c r="K526" i="2"/>
  <c r="K519" i="2"/>
  <c r="K514" i="2"/>
  <c r="K513" i="2"/>
  <c r="K512" i="2"/>
  <c r="K511" i="2"/>
  <c r="K510" i="2"/>
  <c r="K509" i="2"/>
  <c r="K516" i="2"/>
  <c r="K515" i="2"/>
  <c r="K517" i="2"/>
  <c r="K518" i="2"/>
  <c r="K564" i="2"/>
  <c r="K507" i="2"/>
  <c r="K506" i="2"/>
  <c r="K505" i="2"/>
  <c r="K504" i="2"/>
  <c r="K679" i="2"/>
  <c r="K682" i="2"/>
  <c r="K681" i="2"/>
  <c r="K683" i="2"/>
  <c r="K680" i="2"/>
  <c r="K503" i="2"/>
  <c r="K502" i="2"/>
  <c r="K508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2" i="2"/>
  <c r="K471" i="2"/>
  <c r="K470" i="2"/>
  <c r="K469" i="2"/>
  <c r="K474" i="2"/>
  <c r="K468" i="2"/>
  <c r="K467" i="2"/>
  <c r="K466" i="2"/>
  <c r="K464" i="2"/>
  <c r="K433" i="2"/>
  <c r="K432" i="2"/>
  <c r="K431" i="2"/>
  <c r="K430" i="2"/>
  <c r="K429" i="2"/>
  <c r="K463" i="2"/>
  <c r="K462" i="2"/>
  <c r="K461" i="2"/>
  <c r="K460" i="2"/>
  <c r="K476" i="2"/>
  <c r="K475" i="2"/>
  <c r="K685" i="2"/>
  <c r="K459" i="2"/>
  <c r="K458" i="2"/>
  <c r="K437" i="2"/>
  <c r="K436" i="2"/>
  <c r="K435" i="2"/>
  <c r="K434" i="2"/>
  <c r="K438" i="2"/>
  <c r="K465" i="2"/>
  <c r="K446" i="2"/>
  <c r="K445" i="2"/>
  <c r="K444" i="2"/>
  <c r="K443" i="2"/>
  <c r="K442" i="2"/>
  <c r="K457" i="2"/>
  <c r="K456" i="2"/>
  <c r="K455" i="2"/>
  <c r="K454" i="2"/>
  <c r="K453" i="2"/>
  <c r="K451" i="2"/>
  <c r="K450" i="2"/>
  <c r="K452" i="2"/>
  <c r="K449" i="2"/>
  <c r="K448" i="2"/>
  <c r="K447" i="2"/>
  <c r="K441" i="2"/>
  <c r="K440" i="2"/>
  <c r="K439" i="2"/>
  <c r="K473" i="2"/>
  <c r="K477" i="2"/>
  <c r="K345" i="2"/>
  <c r="K344" i="2"/>
  <c r="K343" i="2"/>
  <c r="K342" i="2"/>
  <c r="K339" i="2"/>
  <c r="K341" i="2"/>
  <c r="K340" i="2"/>
  <c r="K338" i="2"/>
  <c r="K329" i="2"/>
  <c r="K337" i="2"/>
  <c r="K336" i="2"/>
  <c r="K334" i="2"/>
  <c r="K335" i="2"/>
  <c r="K333" i="2"/>
  <c r="K332" i="2"/>
  <c r="K331" i="2"/>
  <c r="K330" i="2"/>
  <c r="K328" i="2"/>
  <c r="K326" i="2"/>
  <c r="K327" i="2"/>
  <c r="K325" i="2"/>
  <c r="K324" i="2"/>
  <c r="K323" i="2"/>
  <c r="K322" i="2"/>
  <c r="K348" i="2"/>
  <c r="K320" i="2"/>
  <c r="K321" i="2"/>
  <c r="K319" i="2"/>
  <c r="K347" i="2"/>
  <c r="K346" i="2"/>
  <c r="K318" i="2"/>
  <c r="K317" i="2"/>
  <c r="K349" i="2"/>
  <c r="K350" i="2"/>
  <c r="K316" i="2"/>
  <c r="K315" i="2"/>
  <c r="K314" i="2"/>
  <c r="K313" i="2"/>
  <c r="K312" i="2"/>
  <c r="K428" i="2"/>
  <c r="K426" i="2"/>
  <c r="K425" i="2"/>
  <c r="K424" i="2"/>
  <c r="K423" i="2"/>
  <c r="K422" i="2"/>
  <c r="K421" i="2"/>
  <c r="K420" i="2"/>
  <c r="K427" i="2"/>
  <c r="K419" i="2"/>
  <c r="K418" i="2"/>
  <c r="K417" i="2"/>
  <c r="K415" i="2"/>
  <c r="K414" i="2"/>
  <c r="K416" i="2"/>
  <c r="K413" i="2"/>
  <c r="K412" i="2"/>
  <c r="K410" i="2"/>
  <c r="K411" i="2"/>
  <c r="K409" i="2"/>
  <c r="K408" i="2"/>
  <c r="K407" i="2"/>
  <c r="K406" i="2"/>
  <c r="K405" i="2"/>
  <c r="K404" i="2"/>
  <c r="K403" i="2"/>
  <c r="K402" i="2"/>
  <c r="K401" i="2"/>
  <c r="K400" i="2"/>
  <c r="K397" i="2"/>
  <c r="K399" i="2"/>
  <c r="K398" i="2"/>
  <c r="K396" i="2"/>
  <c r="K395" i="2"/>
  <c r="K394" i="2"/>
  <c r="K393" i="2"/>
  <c r="K392" i="2"/>
  <c r="K391" i="2"/>
  <c r="K390" i="2"/>
  <c r="K388" i="2"/>
  <c r="K389" i="2"/>
  <c r="K386" i="2"/>
  <c r="K387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68" i="2"/>
  <c r="K367" i="2"/>
  <c r="K370" i="2"/>
  <c r="K369" i="2"/>
  <c r="K691" i="2"/>
  <c r="K690" i="2"/>
  <c r="K366" i="2"/>
  <c r="K365" i="2"/>
  <c r="K364" i="2"/>
  <c r="K689" i="2"/>
  <c r="K363" i="2"/>
  <c r="K362" i="2"/>
  <c r="K361" i="2"/>
  <c r="K360" i="2"/>
  <c r="K359" i="2"/>
  <c r="K358" i="2"/>
  <c r="K688" i="2"/>
  <c r="K357" i="2"/>
  <c r="K356" i="2"/>
  <c r="K355" i="2"/>
  <c r="K354" i="2"/>
  <c r="K687" i="2"/>
  <c r="K353" i="2"/>
  <c r="K352" i="2"/>
  <c r="K351" i="2"/>
  <c r="K311" i="2"/>
  <c r="K310" i="2"/>
  <c r="K309" i="2"/>
  <c r="K275" i="2"/>
  <c r="K274" i="2"/>
  <c r="K308" i="2"/>
  <c r="K298" i="2"/>
  <c r="K306" i="2"/>
  <c r="K307" i="2"/>
  <c r="K282" i="2"/>
  <c r="K281" i="2"/>
  <c r="K280" i="2"/>
  <c r="K279" i="2"/>
  <c r="K288" i="2"/>
  <c r="K287" i="2"/>
  <c r="K286" i="2"/>
  <c r="K285" i="2"/>
  <c r="K284" i="2"/>
  <c r="K283" i="2"/>
  <c r="K305" i="2"/>
  <c r="K302" i="2"/>
  <c r="K273" i="2"/>
  <c r="K272" i="2"/>
  <c r="K278" i="2"/>
  <c r="K277" i="2"/>
  <c r="K276" i="2"/>
  <c r="K304" i="2"/>
  <c r="K301" i="2"/>
  <c r="K300" i="2"/>
  <c r="K303" i="2"/>
  <c r="K299" i="2"/>
  <c r="K297" i="2"/>
  <c r="K296" i="2"/>
  <c r="K295" i="2"/>
  <c r="K294" i="2"/>
  <c r="K293" i="2"/>
  <c r="K292" i="2"/>
  <c r="K290" i="2"/>
  <c r="K289" i="2"/>
  <c r="K271" i="2"/>
  <c r="K270" i="2"/>
  <c r="K269" i="2"/>
  <c r="K268" i="2"/>
  <c r="K267" i="2"/>
  <c r="K266" i="2"/>
  <c r="K265" i="2"/>
  <c r="K264" i="2"/>
  <c r="K263" i="2"/>
  <c r="K262" i="2"/>
  <c r="K261" i="2"/>
  <c r="B6" i="4"/>
  <c r="B5" i="4"/>
  <c r="B4" i="4"/>
  <c r="C9" i="3"/>
  <c r="B3" i="4"/>
  <c r="C13" i="3"/>
  <c r="C7" i="3"/>
  <c r="C6" i="3"/>
  <c r="C5" i="3"/>
  <c r="D4" i="4"/>
  <c r="D5" i="4"/>
</calcChain>
</file>

<file path=xl/sharedStrings.xml><?xml version="1.0" encoding="utf-8"?>
<sst xmlns="http://schemas.openxmlformats.org/spreadsheetml/2006/main" count="4984" uniqueCount="1197">
  <si>
    <t>Código</t>
  </si>
  <si>
    <t>Produto</t>
  </si>
  <si>
    <t>Dimensões</t>
  </si>
  <si>
    <t>Fornecedor principal</t>
  </si>
  <si>
    <t>Detalhes</t>
  </si>
  <si>
    <t>Tipo Movimentação</t>
  </si>
  <si>
    <t>Data</t>
  </si>
  <si>
    <t>Qtde.</t>
  </si>
  <si>
    <t>Valor</t>
  </si>
  <si>
    <t>Quantidade</t>
  </si>
  <si>
    <t>Valor total</t>
  </si>
  <si>
    <t>Valor unitário</t>
  </si>
  <si>
    <t>E</t>
  </si>
  <si>
    <t>Valor Total</t>
  </si>
  <si>
    <t>Custo Médio</t>
  </si>
  <si>
    <t>Estoque Atual</t>
  </si>
  <si>
    <t>Saída</t>
  </si>
  <si>
    <t>S</t>
  </si>
  <si>
    <t>Operação Fiscal</t>
  </si>
  <si>
    <t>Série</t>
  </si>
  <si>
    <t>Nota Fiscal</t>
  </si>
  <si>
    <t>Complemento</t>
  </si>
  <si>
    <t>Entrada de fornecedor</t>
  </si>
  <si>
    <t>Fornecedor/Cliente</t>
  </si>
  <si>
    <t>Entrada</t>
  </si>
  <si>
    <t>Tipo movimentação</t>
  </si>
  <si>
    <t>Movimentação de estoque</t>
  </si>
  <si>
    <t>Valor Mov.</t>
  </si>
  <si>
    <t>Qtd.Total</t>
  </si>
  <si>
    <t>Seq</t>
  </si>
  <si>
    <t>Colunas1</t>
  </si>
  <si>
    <t>Valor Entrada</t>
  </si>
  <si>
    <t>EPI001</t>
  </si>
  <si>
    <t>Inventário positivo</t>
  </si>
  <si>
    <t>EPI</t>
  </si>
  <si>
    <t>EPI002</t>
  </si>
  <si>
    <t>EPI003</t>
  </si>
  <si>
    <t>EPI004</t>
  </si>
  <si>
    <t>EPI005</t>
  </si>
  <si>
    <t>EPI006</t>
  </si>
  <si>
    <t>EPI007</t>
  </si>
  <si>
    <t>EPI008</t>
  </si>
  <si>
    <t>EPI009</t>
  </si>
  <si>
    <t>EPI010</t>
  </si>
  <si>
    <t>EPI011</t>
  </si>
  <si>
    <t>EPI029</t>
  </si>
  <si>
    <t>EPI030</t>
  </si>
  <si>
    <t>EPI032</t>
  </si>
  <si>
    <t>EPI033</t>
  </si>
  <si>
    <t>EPI034</t>
  </si>
  <si>
    <t>EPI035</t>
  </si>
  <si>
    <t>EPI036</t>
  </si>
  <si>
    <t>EPI037</t>
  </si>
  <si>
    <t>EPI039</t>
  </si>
  <si>
    <t>EPI041</t>
  </si>
  <si>
    <t>EPI040</t>
  </si>
  <si>
    <t>Inventário negativo</t>
  </si>
  <si>
    <t>EPI016</t>
  </si>
  <si>
    <t>EPI017</t>
  </si>
  <si>
    <t>EPI018</t>
  </si>
  <si>
    <t>EPI012</t>
  </si>
  <si>
    <t>EPI013</t>
  </si>
  <si>
    <t>epi040</t>
  </si>
  <si>
    <t>epi041</t>
  </si>
  <si>
    <t>EPI023</t>
  </si>
  <si>
    <t>EPI024</t>
  </si>
  <si>
    <t>EPI025</t>
  </si>
  <si>
    <t>EPI026</t>
  </si>
  <si>
    <t>EPI027</t>
  </si>
  <si>
    <t>EPI028</t>
  </si>
  <si>
    <t>EPI019</t>
  </si>
  <si>
    <t>EPI020</t>
  </si>
  <si>
    <t>EPI021</t>
  </si>
  <si>
    <t>EPI022</t>
  </si>
  <si>
    <t>EPI043</t>
  </si>
  <si>
    <t>EPI042</t>
  </si>
  <si>
    <t>EPI038</t>
  </si>
  <si>
    <t>EPI044</t>
  </si>
  <si>
    <t>epi014</t>
  </si>
  <si>
    <t>EPI015</t>
  </si>
  <si>
    <t>EPI045</t>
  </si>
  <si>
    <t>EPI046</t>
  </si>
  <si>
    <t>EPI047</t>
  </si>
  <si>
    <t>FEL001</t>
  </si>
  <si>
    <t>FEL002</t>
  </si>
  <si>
    <t>FEL003</t>
  </si>
  <si>
    <t>FEL004</t>
  </si>
  <si>
    <t>FEL005</t>
  </si>
  <si>
    <t>FEL006</t>
  </si>
  <si>
    <t>FEL007</t>
  </si>
  <si>
    <t>FEL008</t>
  </si>
  <si>
    <t>FEL009</t>
  </si>
  <si>
    <t>FEL010</t>
  </si>
  <si>
    <t>FEL011</t>
  </si>
  <si>
    <t>FEL012</t>
  </si>
  <si>
    <t>FEL013</t>
  </si>
  <si>
    <t>FEL014</t>
  </si>
  <si>
    <t>FEL015</t>
  </si>
  <si>
    <t>FEL016</t>
  </si>
  <si>
    <t>FEL019</t>
  </si>
  <si>
    <t>FEL017</t>
  </si>
  <si>
    <t>FEL018</t>
  </si>
  <si>
    <t>FMN001</t>
  </si>
  <si>
    <t>FMN002</t>
  </si>
  <si>
    <t>FMN003</t>
  </si>
  <si>
    <t>FMN004</t>
  </si>
  <si>
    <t>FMN005</t>
  </si>
  <si>
    <t>FMN006</t>
  </si>
  <si>
    <t>FMN007</t>
  </si>
  <si>
    <t>FMN008</t>
  </si>
  <si>
    <t>FMN009</t>
  </si>
  <si>
    <t>FMN010</t>
  </si>
  <si>
    <t>FMN011</t>
  </si>
  <si>
    <t>FMN012</t>
  </si>
  <si>
    <t>FMN013</t>
  </si>
  <si>
    <t>FMN014</t>
  </si>
  <si>
    <t>FMN015</t>
  </si>
  <si>
    <t>FMN017</t>
  </si>
  <si>
    <t>FMN016</t>
  </si>
  <si>
    <t>FMN019</t>
  </si>
  <si>
    <t>FMN018</t>
  </si>
  <si>
    <t>FMN020</t>
  </si>
  <si>
    <t>FMN021</t>
  </si>
  <si>
    <t>FMN022</t>
  </si>
  <si>
    <t>FMN023</t>
  </si>
  <si>
    <t>FMN024</t>
  </si>
  <si>
    <t>FMN025</t>
  </si>
  <si>
    <t>FMN026</t>
  </si>
  <si>
    <t>FMN028</t>
  </si>
  <si>
    <t>FMN029</t>
  </si>
  <si>
    <t>FMN027</t>
  </si>
  <si>
    <t>FMN030</t>
  </si>
  <si>
    <t>FMN031</t>
  </si>
  <si>
    <t>FMN032</t>
  </si>
  <si>
    <t>FMN033</t>
  </si>
  <si>
    <t>FMN034</t>
  </si>
  <si>
    <t>FMN035</t>
  </si>
  <si>
    <t>FMN036</t>
  </si>
  <si>
    <t>FMN037</t>
  </si>
  <si>
    <t>FMN038</t>
  </si>
  <si>
    <t>FMN039</t>
  </si>
  <si>
    <t>FMN041</t>
  </si>
  <si>
    <t>FMN040</t>
  </si>
  <si>
    <t>FMN042</t>
  </si>
  <si>
    <t>FMN043</t>
  </si>
  <si>
    <t>FMN046</t>
  </si>
  <si>
    <t>FMN044</t>
  </si>
  <si>
    <t>FMN045</t>
  </si>
  <si>
    <t>FMN047</t>
  </si>
  <si>
    <t>FMN048</t>
  </si>
  <si>
    <t>FMN049</t>
  </si>
  <si>
    <t>FMN057</t>
  </si>
  <si>
    <t>FMN050</t>
  </si>
  <si>
    <t>FMN051</t>
  </si>
  <si>
    <t>FMN052</t>
  </si>
  <si>
    <t>FMN053</t>
  </si>
  <si>
    <t>FMN054</t>
  </si>
  <si>
    <t>FMN055</t>
  </si>
  <si>
    <t>FMN056</t>
  </si>
  <si>
    <t>FMN058</t>
  </si>
  <si>
    <t>FAP001</t>
  </si>
  <si>
    <t>FAP002</t>
  </si>
  <si>
    <t>FAP003</t>
  </si>
  <si>
    <t>FAP004</t>
  </si>
  <si>
    <t>FAP005</t>
  </si>
  <si>
    <t>FAP039</t>
  </si>
  <si>
    <t>FAP038</t>
  </si>
  <si>
    <t>FAP006</t>
  </si>
  <si>
    <t>FAP007</t>
  </si>
  <si>
    <t>FAP035</t>
  </si>
  <si>
    <t>FAP036</t>
  </si>
  <si>
    <t>FAP008</t>
  </si>
  <si>
    <t>FAP010</t>
  </si>
  <si>
    <t>FAP009</t>
  </si>
  <si>
    <t>FAP037</t>
  </si>
  <si>
    <t>FAP011</t>
  </si>
  <si>
    <t>FAP012</t>
  </si>
  <si>
    <t>FAP013</t>
  </si>
  <si>
    <t>FAP014</t>
  </si>
  <si>
    <t>FAP016</t>
  </si>
  <si>
    <t>FAP015</t>
  </si>
  <si>
    <t>FAP017</t>
  </si>
  <si>
    <t>FAP019</t>
  </si>
  <si>
    <t>FAP020</t>
  </si>
  <si>
    <t>FAP021</t>
  </si>
  <si>
    <t>FAP022</t>
  </si>
  <si>
    <t>FAP024</t>
  </si>
  <si>
    <t>FAP023</t>
  </si>
  <si>
    <t>FAP025</t>
  </si>
  <si>
    <t>FAP026</t>
  </si>
  <si>
    <t>FAP018</t>
  </si>
  <si>
    <t>FAP027</t>
  </si>
  <si>
    <t>FAP029</t>
  </si>
  <si>
    <t>FAP030</t>
  </si>
  <si>
    <t>FAP028</t>
  </si>
  <si>
    <t>FAP031</t>
  </si>
  <si>
    <t>FAP032</t>
  </si>
  <si>
    <t>FAP033</t>
  </si>
  <si>
    <t>FAP034</t>
  </si>
  <si>
    <t>HDL047</t>
  </si>
  <si>
    <t>HDL043</t>
  </si>
  <si>
    <t>HDL011</t>
  </si>
  <si>
    <t>HDL012</t>
  </si>
  <si>
    <t>HDL013</t>
  </si>
  <si>
    <t>HDL019</t>
  </si>
  <si>
    <t>HDL020</t>
  </si>
  <si>
    <t>HDL021</t>
  </si>
  <si>
    <t>HDL022</t>
  </si>
  <si>
    <t>HDL023</t>
  </si>
  <si>
    <t>HDL024</t>
  </si>
  <si>
    <t>HDL025</t>
  </si>
  <si>
    <t>HDL026</t>
  </si>
  <si>
    <t>HDL027</t>
  </si>
  <si>
    <t>HDL014</t>
  </si>
  <si>
    <t>HDL015</t>
  </si>
  <si>
    <t>HDL016</t>
  </si>
  <si>
    <t>HDL017</t>
  </si>
  <si>
    <t>HDL018</t>
  </si>
  <si>
    <t>HDL035</t>
  </si>
  <si>
    <t>HDL010</t>
  </si>
  <si>
    <t>HDL006</t>
  </si>
  <si>
    <t>HDL007</t>
  </si>
  <si>
    <t>HDL008</t>
  </si>
  <si>
    <t>HDL009</t>
  </si>
  <si>
    <t>HDL028</t>
  </si>
  <si>
    <t>HDL029</t>
  </si>
  <si>
    <t>HDL045</t>
  </si>
  <si>
    <t>HDL046</t>
  </si>
  <si>
    <t>HDL030</t>
  </si>
  <si>
    <t>HDL031</t>
  </si>
  <si>
    <t>HDL032</t>
  </si>
  <si>
    <t>HDL033</t>
  </si>
  <si>
    <t>HDL001</t>
  </si>
  <si>
    <t>HDL002</t>
  </si>
  <si>
    <t>HDL003</t>
  </si>
  <si>
    <t>HDL004</t>
  </si>
  <si>
    <t>HDL005</t>
  </si>
  <si>
    <t>HDL034</t>
  </si>
  <si>
    <t>HDL036</t>
  </si>
  <si>
    <t>HDL037</t>
  </si>
  <si>
    <t>HDL038</t>
  </si>
  <si>
    <t>HDL044</t>
  </si>
  <si>
    <t>HDL039</t>
  </si>
  <si>
    <t>HDL040</t>
  </si>
  <si>
    <t>HDL041</t>
  </si>
  <si>
    <t>HDL042</t>
  </si>
  <si>
    <t>TCA001</t>
  </si>
  <si>
    <t>TCA002</t>
  </si>
  <si>
    <t>TCA003</t>
  </si>
  <si>
    <t>TCA004</t>
  </si>
  <si>
    <t>TCA005</t>
  </si>
  <si>
    <t>TCA006</t>
  </si>
  <si>
    <t>TCA007</t>
  </si>
  <si>
    <t>TCA008</t>
  </si>
  <si>
    <t>TCA009</t>
  </si>
  <si>
    <t>TCA010</t>
  </si>
  <si>
    <t>TCA011</t>
  </si>
  <si>
    <t>TCA012</t>
  </si>
  <si>
    <t>TCA013</t>
  </si>
  <si>
    <t>TCA014</t>
  </si>
  <si>
    <t>TCA015</t>
  </si>
  <si>
    <t>TCA016</t>
  </si>
  <si>
    <t>TCA017</t>
  </si>
  <si>
    <t>TCA018</t>
  </si>
  <si>
    <t>TCA019</t>
  </si>
  <si>
    <t>TCA020</t>
  </si>
  <si>
    <t>TCA021</t>
  </si>
  <si>
    <t>TCA022</t>
  </si>
  <si>
    <t>TCA023</t>
  </si>
  <si>
    <t>TCA024</t>
  </si>
  <si>
    <t>TCA031</t>
  </si>
  <si>
    <t>TCA025</t>
  </si>
  <si>
    <t>TCA026</t>
  </si>
  <si>
    <t>UNIMED Saída</t>
  </si>
  <si>
    <t>TCA027</t>
  </si>
  <si>
    <t>TCA028</t>
  </si>
  <si>
    <t>TCA029</t>
  </si>
  <si>
    <t>TCA030</t>
  </si>
  <si>
    <t>TCA087</t>
  </si>
  <si>
    <t>TCA041</t>
  </si>
  <si>
    <t>TCA040</t>
  </si>
  <si>
    <t>TCA038</t>
  </si>
  <si>
    <t>TCA039</t>
  </si>
  <si>
    <t>TCA032</t>
  </si>
  <si>
    <t>TCA033</t>
  </si>
  <si>
    <t>TCA034</t>
  </si>
  <si>
    <t>TCA035</t>
  </si>
  <si>
    <t>TCA036</t>
  </si>
  <si>
    <t>TCA037</t>
  </si>
  <si>
    <t>TCA042</t>
  </si>
  <si>
    <t>TCA049</t>
  </si>
  <si>
    <t>TCA050</t>
  </si>
  <si>
    <t>TCA051</t>
  </si>
  <si>
    <t>TCA052</t>
  </si>
  <si>
    <t>TCA053</t>
  </si>
  <si>
    <t>TCA054</t>
  </si>
  <si>
    <t>TCA055</t>
  </si>
  <si>
    <t>TCA056</t>
  </si>
  <si>
    <t>TCA057</t>
  </si>
  <si>
    <t>TCA058</t>
  </si>
  <si>
    <t>TCA048</t>
  </si>
  <si>
    <t>TCA043</t>
  </si>
  <si>
    <t>TCA044</t>
  </si>
  <si>
    <t>TCA045</t>
  </si>
  <si>
    <t>TCA046</t>
  </si>
  <si>
    <t>TCA047</t>
  </si>
  <si>
    <t>TCA060</t>
  </si>
  <si>
    <t>TCA059</t>
  </si>
  <si>
    <t>TCA061</t>
  </si>
  <si>
    <t>TCA062</t>
  </si>
  <si>
    <t>TCA063</t>
  </si>
  <si>
    <t>TCA064</t>
  </si>
  <si>
    <t>TCA065</t>
  </si>
  <si>
    <t>TCA066</t>
  </si>
  <si>
    <t>TCA067</t>
  </si>
  <si>
    <t>TCA068</t>
  </si>
  <si>
    <t>TCA076</t>
  </si>
  <si>
    <t>TCA077</t>
  </si>
  <si>
    <t>TCA069</t>
  </si>
  <si>
    <t>TCA070</t>
  </si>
  <si>
    <t>TCA071</t>
  </si>
  <si>
    <t>TCA072</t>
  </si>
  <si>
    <t>TCA073</t>
  </si>
  <si>
    <t>TCA074</t>
  </si>
  <si>
    <t>TCA075</t>
  </si>
  <si>
    <t>TCA078</t>
  </si>
  <si>
    <t>TCA079</t>
  </si>
  <si>
    <t>TCA080</t>
  </si>
  <si>
    <t>TCA081</t>
  </si>
  <si>
    <t>TCA082</t>
  </si>
  <si>
    <t>TCA083</t>
  </si>
  <si>
    <t>TCA084</t>
  </si>
  <si>
    <t>TCA085</t>
  </si>
  <si>
    <t>TCA086</t>
  </si>
  <si>
    <t>TCA088</t>
  </si>
  <si>
    <t>TCA089</t>
  </si>
  <si>
    <t>TCA090</t>
  </si>
  <si>
    <t>TCA091</t>
  </si>
  <si>
    <t>TCA092</t>
  </si>
  <si>
    <t>TCA093</t>
  </si>
  <si>
    <t>TCA094</t>
  </si>
  <si>
    <t>TCA095</t>
  </si>
  <si>
    <t>TCA096</t>
  </si>
  <si>
    <t>TCA097</t>
  </si>
  <si>
    <t>TCA098</t>
  </si>
  <si>
    <t>TCA099</t>
  </si>
  <si>
    <t>TCA100</t>
  </si>
  <si>
    <t>TCA101</t>
  </si>
  <si>
    <t>TCE049</t>
  </si>
  <si>
    <t>TCE001</t>
  </si>
  <si>
    <t>TCE005</t>
  </si>
  <si>
    <t>TCE006</t>
  </si>
  <si>
    <t>TCE007</t>
  </si>
  <si>
    <t>TCE002</t>
  </si>
  <si>
    <t>TCE003</t>
  </si>
  <si>
    <t>TCE004</t>
  </si>
  <si>
    <t>TCE008</t>
  </si>
  <si>
    <t>TCE009</t>
  </si>
  <si>
    <t>TCE010</t>
  </si>
  <si>
    <t>TCE012</t>
  </si>
  <si>
    <t>TCE013</t>
  </si>
  <si>
    <t>TCE014</t>
  </si>
  <si>
    <t>TCE011</t>
  </si>
  <si>
    <t>TCE017</t>
  </si>
  <si>
    <t>TCE016</t>
  </si>
  <si>
    <t>TCE015</t>
  </si>
  <si>
    <t>TCE020</t>
  </si>
  <si>
    <t>TCE018</t>
  </si>
  <si>
    <t>TCE019</t>
  </si>
  <si>
    <t>TCE027</t>
  </si>
  <si>
    <t>TCE028</t>
  </si>
  <si>
    <t>TCE026</t>
  </si>
  <si>
    <t>TCE029</t>
  </si>
  <si>
    <t>TCE030</t>
  </si>
  <si>
    <t>TCE031</t>
  </si>
  <si>
    <t>TCE023</t>
  </si>
  <si>
    <t>TCE024</t>
  </si>
  <si>
    <t>TCE025</t>
  </si>
  <si>
    <t>TCE021</t>
  </si>
  <si>
    <t>TCE022</t>
  </si>
  <si>
    <t>SOVAN</t>
  </si>
  <si>
    <t>EPI014</t>
  </si>
  <si>
    <t>EPI031</t>
  </si>
  <si>
    <t>TCE033</t>
  </si>
  <si>
    <t>TCE032</t>
  </si>
  <si>
    <t>TCE037</t>
  </si>
  <si>
    <t>TCE036</t>
  </si>
  <si>
    <t>TCE038</t>
  </si>
  <si>
    <t>TCE034</t>
  </si>
  <si>
    <t>TCE035</t>
  </si>
  <si>
    <t>TCE039</t>
  </si>
  <si>
    <t>TCE043</t>
  </si>
  <si>
    <t>TCE044</t>
  </si>
  <si>
    <t>TCE040</t>
  </si>
  <si>
    <t>TCE041</t>
  </si>
  <si>
    <t>TCE042</t>
  </si>
  <si>
    <t>TCE045</t>
  </si>
  <si>
    <t>TCE046</t>
  </si>
  <si>
    <t>Saída de Material</t>
  </si>
  <si>
    <t>YKK Entrada</t>
  </si>
  <si>
    <t>EPI Saída</t>
  </si>
  <si>
    <t>TCE047</t>
  </si>
  <si>
    <t>TCE048</t>
  </si>
  <si>
    <t>TCG001</t>
  </si>
  <si>
    <t>TCG002</t>
  </si>
  <si>
    <t>TCG003</t>
  </si>
  <si>
    <t>TCG004</t>
  </si>
  <si>
    <t>TCG005</t>
  </si>
  <si>
    <t>TCG006</t>
  </si>
  <si>
    <t>TCG007</t>
  </si>
  <si>
    <t>TCG008</t>
  </si>
  <si>
    <t>TCG009</t>
  </si>
  <si>
    <t>TCG010</t>
  </si>
  <si>
    <t>TCG011</t>
  </si>
  <si>
    <t>TCG012</t>
  </si>
  <si>
    <t>TCG013</t>
  </si>
  <si>
    <t>TCG014</t>
  </si>
  <si>
    <t>TCG015</t>
  </si>
  <si>
    <t>TCG016</t>
  </si>
  <si>
    <t>TCG017</t>
  </si>
  <si>
    <t>TCG018</t>
  </si>
  <si>
    <t>TCG019</t>
  </si>
  <si>
    <t>TCG020</t>
  </si>
  <si>
    <t>TCG021</t>
  </si>
  <si>
    <t>TCG022</t>
  </si>
  <si>
    <t>TCG023</t>
  </si>
  <si>
    <t>TCG024</t>
  </si>
  <si>
    <t>TCG025</t>
  </si>
  <si>
    <t>TCG026</t>
  </si>
  <si>
    <t>TCG027</t>
  </si>
  <si>
    <t>TCG028</t>
  </si>
  <si>
    <t>CSM035</t>
  </si>
  <si>
    <t>CSM036</t>
  </si>
  <si>
    <t>CSM001</t>
  </si>
  <si>
    <t>CSM002</t>
  </si>
  <si>
    <t>CSM004</t>
  </si>
  <si>
    <t>CSM003</t>
  </si>
  <si>
    <t>CSM005</t>
  </si>
  <si>
    <t>CSM006</t>
  </si>
  <si>
    <t>CSM007</t>
  </si>
  <si>
    <t>CSM008</t>
  </si>
  <si>
    <t>CSM009</t>
  </si>
  <si>
    <t>CSM040</t>
  </si>
  <si>
    <t>CSM010</t>
  </si>
  <si>
    <t>CSM011</t>
  </si>
  <si>
    <t>CSM012</t>
  </si>
  <si>
    <t>CSM013</t>
  </si>
  <si>
    <t>CSM014</t>
  </si>
  <si>
    <t>CSM015</t>
  </si>
  <si>
    <t>CSM016</t>
  </si>
  <si>
    <t>CSM017</t>
  </si>
  <si>
    <t>CSM018</t>
  </si>
  <si>
    <t>CSM019</t>
  </si>
  <si>
    <t>CSM020</t>
  </si>
  <si>
    <t>CSM045</t>
  </si>
  <si>
    <t>CSM021</t>
  </si>
  <si>
    <t>CSM022</t>
  </si>
  <si>
    <t>CSM023</t>
  </si>
  <si>
    <t>CSM116</t>
  </si>
  <si>
    <t>CSM117</t>
  </si>
  <si>
    <t>CSM118</t>
  </si>
  <si>
    <t>CSM119</t>
  </si>
  <si>
    <t>CSM120</t>
  </si>
  <si>
    <t>CSM024</t>
  </si>
  <si>
    <t>CSM044</t>
  </si>
  <si>
    <t>CSM025</t>
  </si>
  <si>
    <t>CSM026</t>
  </si>
  <si>
    <t>CSM027</t>
  </si>
  <si>
    <t>CSM028</t>
  </si>
  <si>
    <t>CSM029</t>
  </si>
  <si>
    <t>CSM049</t>
  </si>
  <si>
    <t>CSM050</t>
  </si>
  <si>
    <t>CSM052</t>
  </si>
  <si>
    <t>CSM030</t>
  </si>
  <si>
    <t>CSM053</t>
  </si>
  <si>
    <t>CSM031</t>
  </si>
  <si>
    <t>CSM054</t>
  </si>
  <si>
    <t>CSM032</t>
  </si>
  <si>
    <t>CSM055</t>
  </si>
  <si>
    <t>epi035</t>
  </si>
  <si>
    <t>Damião</t>
  </si>
  <si>
    <t>epi037</t>
  </si>
  <si>
    <t>epi039</t>
  </si>
  <si>
    <t>epi018</t>
  </si>
  <si>
    <t>epi025</t>
  </si>
  <si>
    <t>epi007</t>
  </si>
  <si>
    <t>CSM039</t>
  </si>
  <si>
    <t>CSM041</t>
  </si>
  <si>
    <t>CSM042</t>
  </si>
  <si>
    <t>CSM037</t>
  </si>
  <si>
    <t>CSM046</t>
  </si>
  <si>
    <t>CSM084</t>
  </si>
  <si>
    <t>CSM056</t>
  </si>
  <si>
    <t>CSM057</t>
  </si>
  <si>
    <t>CSM033</t>
  </si>
  <si>
    <t>CSM034</t>
  </si>
  <si>
    <t>CSM088</t>
  </si>
  <si>
    <t>CSM043</t>
  </si>
  <si>
    <t>CSM048</t>
  </si>
  <si>
    <t>CSM038</t>
  </si>
  <si>
    <t>CSM058</t>
  </si>
  <si>
    <t>CSM126</t>
  </si>
  <si>
    <t>CSM091</t>
  </si>
  <si>
    <t>CSM092</t>
  </si>
  <si>
    <t>CSM127</t>
  </si>
  <si>
    <t>ELT112</t>
  </si>
  <si>
    <t>ELT106</t>
  </si>
  <si>
    <t>ELT094</t>
  </si>
  <si>
    <t>ELT097</t>
  </si>
  <si>
    <t>ELT099</t>
  </si>
  <si>
    <t>ELT098</t>
  </si>
  <si>
    <t>ELT092</t>
  </si>
  <si>
    <t>ELT095</t>
  </si>
  <si>
    <t>ELT093</t>
  </si>
  <si>
    <t>ELT096</t>
  </si>
  <si>
    <t>ELT101</t>
  </si>
  <si>
    <t>ELT102</t>
  </si>
  <si>
    <t>ELT100</t>
  </si>
  <si>
    <t>ELT091</t>
  </si>
  <si>
    <t>ELT103</t>
  </si>
  <si>
    <t>ELT107</t>
  </si>
  <si>
    <t>ELT105</t>
  </si>
  <si>
    <t>ELT113</t>
  </si>
  <si>
    <t>ELT114</t>
  </si>
  <si>
    <t>ELT116</t>
  </si>
  <si>
    <t>ELT115</t>
  </si>
  <si>
    <t>ELT117</t>
  </si>
  <si>
    <t>ELT118</t>
  </si>
  <si>
    <t>ELT119</t>
  </si>
  <si>
    <t>ELT121</t>
  </si>
  <si>
    <t>ELT120</t>
  </si>
  <si>
    <t>ELT128</t>
  </si>
  <si>
    <t>ELT129</t>
  </si>
  <si>
    <t>ELT130</t>
  </si>
  <si>
    <t>ELT122</t>
  </si>
  <si>
    <t>ELT124</t>
  </si>
  <si>
    <t>ELT123</t>
  </si>
  <si>
    <t>ELT125</t>
  </si>
  <si>
    <t>ELT126</t>
  </si>
  <si>
    <t>ELT127</t>
  </si>
  <si>
    <t>ELT131</t>
  </si>
  <si>
    <t>ELT132</t>
  </si>
  <si>
    <t>ELT029</t>
  </si>
  <si>
    <t>ELT030</t>
  </si>
  <si>
    <t>ELT031</t>
  </si>
  <si>
    <t>ELT032</t>
  </si>
  <si>
    <t>ELT033</t>
  </si>
  <si>
    <t>ELT034</t>
  </si>
  <si>
    <t>ELT035</t>
  </si>
  <si>
    <t>ELT036</t>
  </si>
  <si>
    <t>ELT037</t>
  </si>
  <si>
    <t>ELT038</t>
  </si>
  <si>
    <t>ELT039</t>
  </si>
  <si>
    <t>ELT040</t>
  </si>
  <si>
    <t>ELT041</t>
  </si>
  <si>
    <t>ELT042</t>
  </si>
  <si>
    <t>ELT043</t>
  </si>
  <si>
    <t>ELT044</t>
  </si>
  <si>
    <t>ELT045</t>
  </si>
  <si>
    <t>ELT046</t>
  </si>
  <si>
    <t>ELT047</t>
  </si>
  <si>
    <t>ELT048</t>
  </si>
  <si>
    <t>ELT110</t>
  </si>
  <si>
    <t>ELT111</t>
  </si>
  <si>
    <t>ELT108</t>
  </si>
  <si>
    <t>ELT109</t>
  </si>
  <si>
    <t>ELT049</t>
  </si>
  <si>
    <t>ELT104</t>
  </si>
  <si>
    <t>ELT083</t>
  </si>
  <si>
    <t>ELT084</t>
  </si>
  <si>
    <t>ELT085</t>
  </si>
  <si>
    <t>ELT014</t>
  </si>
  <si>
    <t>ELT013</t>
  </si>
  <si>
    <t>ELT086</t>
  </si>
  <si>
    <t>ELT087</t>
  </si>
  <si>
    <t>ELT088</t>
  </si>
  <si>
    <t>ELT089</t>
  </si>
  <si>
    <t>ELT017</t>
  </si>
  <si>
    <t>ELT018</t>
  </si>
  <si>
    <t>ELT090</t>
  </si>
  <si>
    <t>ELT015</t>
  </si>
  <si>
    <t>ELT016</t>
  </si>
  <si>
    <t>ELT080</t>
  </si>
  <si>
    <t>ELT081</t>
  </si>
  <si>
    <t>ELT002</t>
  </si>
  <si>
    <t>ELT001</t>
  </si>
  <si>
    <t>ELT003</t>
  </si>
  <si>
    <t>ELT007</t>
  </si>
  <si>
    <t>ELT052</t>
  </si>
  <si>
    <t>ELT050</t>
  </si>
  <si>
    <t>ELT051</t>
  </si>
  <si>
    <t>ELT053</t>
  </si>
  <si>
    <t>ELT054</t>
  </si>
  <si>
    <t>ELT055</t>
  </si>
  <si>
    <t>ELT056</t>
  </si>
  <si>
    <t>ELT057</t>
  </si>
  <si>
    <t>ELT058</t>
  </si>
  <si>
    <t>ELT059</t>
  </si>
  <si>
    <t>ELT020</t>
  </si>
  <si>
    <t>ELT022</t>
  </si>
  <si>
    <t>ELT021</t>
  </si>
  <si>
    <t>ELT082</t>
  </si>
  <si>
    <t>ELT077</t>
  </si>
  <si>
    <t>ELT078</t>
  </si>
  <si>
    <t>ELT079</t>
  </si>
  <si>
    <t>ELT075</t>
  </si>
  <si>
    <t>ELT076</t>
  </si>
  <si>
    <t>ELT012</t>
  </si>
  <si>
    <t>ELT060</t>
  </si>
  <si>
    <t>ELT061</t>
  </si>
  <si>
    <t>ELT062</t>
  </si>
  <si>
    <t>ELT063</t>
  </si>
  <si>
    <t>ELT064</t>
  </si>
  <si>
    <t>ELT065</t>
  </si>
  <si>
    <t>ELT066</t>
  </si>
  <si>
    <t>ELT067</t>
  </si>
  <si>
    <t>ELT068</t>
  </si>
  <si>
    <t>ELT069</t>
  </si>
  <si>
    <t>ELT070</t>
  </si>
  <si>
    <t>ELT019</t>
  </si>
  <si>
    <t>ELT004</t>
  </si>
  <si>
    <t>ELT005</t>
  </si>
  <si>
    <t>ELT006</t>
  </si>
  <si>
    <t>ELT027</t>
  </si>
  <si>
    <t>ELT074</t>
  </si>
  <si>
    <t>ELT028</t>
  </si>
  <si>
    <t>ELT024</t>
  </si>
  <si>
    <t>ELT025</t>
  </si>
  <si>
    <t>ELT026</t>
  </si>
  <si>
    <t>ELT008</t>
  </si>
  <si>
    <t>ELT009</t>
  </si>
  <si>
    <t>ELT011</t>
  </si>
  <si>
    <t>ELT010</t>
  </si>
  <si>
    <t>ELT023</t>
  </si>
  <si>
    <t>ELT071</t>
  </si>
  <si>
    <t>ELT072</t>
  </si>
  <si>
    <t>ELT073</t>
  </si>
  <si>
    <t>CSM094</t>
  </si>
  <si>
    <t>CSM097</t>
  </si>
  <si>
    <t>CSM098</t>
  </si>
  <si>
    <t>CSM099</t>
  </si>
  <si>
    <t>CSM100</t>
  </si>
  <si>
    <t>CSM101</t>
  </si>
  <si>
    <t>CSM096</t>
  </si>
  <si>
    <t>CSM102</t>
  </si>
  <si>
    <t>CSM103</t>
  </si>
  <si>
    <t>CSM104</t>
  </si>
  <si>
    <t>CSM105</t>
  </si>
  <si>
    <t>CSM106</t>
  </si>
  <si>
    <t>CSM108</t>
  </si>
  <si>
    <t>CSM109</t>
  </si>
  <si>
    <t>CSM095</t>
  </si>
  <si>
    <t>CSM107</t>
  </si>
  <si>
    <t>CSM110</t>
  </si>
  <si>
    <t>CSM111</t>
  </si>
  <si>
    <t>CSM112</t>
  </si>
  <si>
    <t>CSM113</t>
  </si>
  <si>
    <t>CSM114</t>
  </si>
  <si>
    <t>CSM093</t>
  </si>
  <si>
    <t>CSM047</t>
  </si>
  <si>
    <t>CSM051</t>
  </si>
  <si>
    <t>CSM066</t>
  </si>
  <si>
    <t>CSM089</t>
  </si>
  <si>
    <t>CSM061</t>
  </si>
  <si>
    <t>CSM060</t>
  </si>
  <si>
    <t>CSM062</t>
  </si>
  <si>
    <t>CSM123</t>
  </si>
  <si>
    <t>CSM121</t>
  </si>
  <si>
    <t>CSM063</t>
  </si>
  <si>
    <t>CSM122</t>
  </si>
  <si>
    <t>CSM064</t>
  </si>
  <si>
    <t>CSM065</t>
  </si>
  <si>
    <t>CSM085</t>
  </si>
  <si>
    <t>CSM090</t>
  </si>
  <si>
    <t>CSM067</t>
  </si>
  <si>
    <t>CSM068</t>
  </si>
  <si>
    <t>CSM073</t>
  </si>
  <si>
    <t>CSM075</t>
  </si>
  <si>
    <t>CSM076</t>
  </si>
  <si>
    <t>CSM125</t>
  </si>
  <si>
    <t>CSM069</t>
  </si>
  <si>
    <t>CSM070</t>
  </si>
  <si>
    <t>CSM071</t>
  </si>
  <si>
    <t>CSM072</t>
  </si>
  <si>
    <t>CSM074</t>
  </si>
  <si>
    <t>CSM077</t>
  </si>
  <si>
    <t>CSM078</t>
  </si>
  <si>
    <t>CSM079</t>
  </si>
  <si>
    <t>CSM059</t>
  </si>
  <si>
    <t>CSM124</t>
  </si>
  <si>
    <t>CSM080</t>
  </si>
  <si>
    <t>CSM081</t>
  </si>
  <si>
    <t>CSM082</t>
  </si>
  <si>
    <t>CSM115</t>
  </si>
  <si>
    <t>CSM083</t>
  </si>
  <si>
    <t>CSM128</t>
  </si>
  <si>
    <t>CSM086</t>
  </si>
  <si>
    <t>CSM087</t>
  </si>
  <si>
    <t>Colunas4</t>
  </si>
  <si>
    <t>Saldo</t>
  </si>
  <si>
    <t>José Bezerra</t>
  </si>
  <si>
    <t>CSM129</t>
  </si>
  <si>
    <t>CSM130</t>
  </si>
  <si>
    <t>JOSEVAN</t>
  </si>
  <si>
    <t>Johnson Controls Saída</t>
  </si>
  <si>
    <t>Jhon Richar Ortiz</t>
  </si>
  <si>
    <t>Usuário</t>
  </si>
  <si>
    <t>Senha</t>
  </si>
  <si>
    <t>Formulário</t>
  </si>
  <si>
    <t>Entrada e Saída</t>
  </si>
  <si>
    <t>Registro de Inventário</t>
  </si>
  <si>
    <t>Cadastro de Produtos</t>
  </si>
  <si>
    <t>Cadastros Gerais</t>
  </si>
  <si>
    <t>Consulta Estoque</t>
  </si>
  <si>
    <t>Menu!A1</t>
  </si>
  <si>
    <t>EPI048</t>
  </si>
  <si>
    <t>Sovan</t>
  </si>
  <si>
    <t>itens cadastrados</t>
  </si>
  <si>
    <t>Cristiano "Terceiro"</t>
  </si>
  <si>
    <t>Lucas JCI</t>
  </si>
  <si>
    <t>Atualização do sistema</t>
  </si>
  <si>
    <t>Ar condicionado escritório</t>
  </si>
  <si>
    <t>Entrada sem NF</t>
  </si>
  <si>
    <t>UNIMETAL</t>
  </si>
  <si>
    <t>Unimetal</t>
  </si>
  <si>
    <t>Ajuste inventário</t>
  </si>
  <si>
    <t>csm002</t>
  </si>
  <si>
    <t>Ajuste de inventário</t>
  </si>
  <si>
    <t>admin</t>
  </si>
  <si>
    <t>Adaptador DVI-VGA</t>
  </si>
  <si>
    <t>Adaptador de cartão de memória Mini USB</t>
  </si>
  <si>
    <t>Adaptador USB Captura Digital</t>
  </si>
  <si>
    <t>Adaptador USB WIFI n (150 Mbps) com Antena</t>
  </si>
  <si>
    <t>Adaptador Wireless D-Link DWA-645 PCMCIA 300Mbps</t>
  </si>
  <si>
    <t>Adaptador Wireless ENCORE ENLWI-NX2 PCI 300MBPS 802.11n</t>
  </si>
  <si>
    <t>Adaptador Wireless TP-LINK TL-WN620G USB</t>
  </si>
  <si>
    <t>Bateria notebook A32-F9 for ASUS F9E F9S F6K233E-SL F6A A31-F9</t>
  </si>
  <si>
    <t>Bateria para Notebook 6Y270 11.1V/4400mAh 312-0191</t>
  </si>
  <si>
    <t>Bateria para Notebook HD438 4 cells 14.8V/2200mAh TD612</t>
  </si>
  <si>
    <t>Bateria para Notebook HK421 4 cells 14.8V 29Wh GR932</t>
  </si>
  <si>
    <t>Bateria para Notebook P5413 8 cells 9.6V/4500mAh J9453</t>
  </si>
  <si>
    <t>Bateria para Notebook U4873 9 cells 11.1V 80WH F5126</t>
  </si>
  <si>
    <t>Battery Cr2032 notebook ASUS F9S</t>
  </si>
  <si>
    <t>Bluetooth notebook Asus F9S</t>
  </si>
  <si>
    <t>Cabo de dados sata</t>
  </si>
  <si>
    <t>Cabo de força sata</t>
  </si>
  <si>
    <t>Cabo de rede furukawa Par Trançado (o metro)</t>
  </si>
  <si>
    <t>CABO HDMI X HDMI com FILTRO - 1,5MT</t>
  </si>
  <si>
    <t>Cabo USB 2.0 para impressora 1,8</t>
  </si>
  <si>
    <t>Caixa cabo de rede Furukawa 305 metros</t>
  </si>
  <si>
    <t>Caixa de som MTEK SPK785USBP USB (Preto)</t>
  </si>
  <si>
    <t>Carenagem Inferior Asus F9S</t>
  </si>
  <si>
    <t>Carenagem touchpad ASus F9S</t>
  </si>
  <si>
    <t>Chaveador KVM Trendnet Rack Mount 8 portas TK-801R</t>
  </si>
  <si>
    <t>Computador Core 2 Duo E7500 2.93GHz, HD 500GB, 2GB 800, DVD-RW, 250W</t>
  </si>
  <si>
    <t>Computador Core 2 Quad Q8400 2.66GHz, 320GB, 4GB 800, DVD-RW, LCD 19</t>
  </si>
  <si>
    <t>Computador Core i3 530 2.93GHz, HD 500GB, 4GB 1333, DVD, 450W</t>
  </si>
  <si>
    <t>Computador Core i5 650 3.20GHz, HD 500GB, 4GB Dual Channel, DVD, 250W</t>
  </si>
  <si>
    <t>Computador Core i5 750 2.66GHz, HD 500GB, 4GB 1333, 1GB Video, DVD, 350W</t>
  </si>
  <si>
    <t>Computador Core i7 930 2.88GHz, SSD, HD, 6GB Triple Channel, 1GB ATI 5830, DVD</t>
  </si>
  <si>
    <t>Computador Mini Atom 330 DUAL CORE, HD 250GB, 2GB, DVD, LCD 15.6</t>
  </si>
  <si>
    <t>Computador Pentium Dual Core E5400 2.7GHz, HD 500GB, 2GB 800, DVD, 450W</t>
  </si>
  <si>
    <t>Conector RJ45 Furucawa</t>
  </si>
  <si>
    <t>Conversor USB para Som Virtual 7.1</t>
  </si>
  <si>
    <t>Cooler notebook Asus F9S</t>
  </si>
  <si>
    <t>Cooler para INTEL Cooler Master Socket 775</t>
  </si>
  <si>
    <t>Estabilizador BIVOLT 115V/220V - 300VA - preto</t>
  </si>
  <si>
    <t>Estabilizador MONOVOLT 115V - 300VA - preto</t>
  </si>
  <si>
    <t>Fan para gabinete</t>
  </si>
  <si>
    <t>Fax Modem 56K PCI</t>
  </si>
  <si>
    <t>Filtro de Linha Multilaser Bivolt 6 Tomadas (Preto)</t>
  </si>
  <si>
    <t>Fingerprint F2J notebook Asus F9S</t>
  </si>
  <si>
    <t>Fone de ouvido Edifier Cyber-Pro CD-6632 Com microfone</t>
  </si>
  <si>
    <t>Fonte AC para notebook U7809</t>
  </si>
  <si>
    <t>Fonte C3 Tech v2.2 350W REAL (700W Nominal)</t>
  </si>
  <si>
    <t>Fonte C3 Tech v2.2 400W REAL (800W Nominal)</t>
  </si>
  <si>
    <t>Fonte C3 Tech v2.2 500W REAL (1000W Nominal)</t>
  </si>
  <si>
    <t>Fonte Casemall POWEREX 600W REAL</t>
  </si>
  <si>
    <t>Fonte Cooler Master V2.2 650W REAL</t>
  </si>
  <si>
    <t>Fonte Duex v2.2 500W REAL (1000W Nominal)</t>
  </si>
  <si>
    <t>Fonte Nilko v2.2 250W REAL (500W Nominal)</t>
  </si>
  <si>
    <t>Fonte notebook AC Adapter LITEON PA-1900-04</t>
  </si>
  <si>
    <t>Fonte para Notebook AC Adapter ADP-50SB 19V PN 9834T</t>
  </si>
  <si>
    <t>Fonte para Notebook AC Adapter PA-10 90W 19V PN U7809</t>
  </si>
  <si>
    <t>Fonte para Notebook AC Adapter PA-12 65W PA-1650-05D2 19.5V F7970</t>
  </si>
  <si>
    <t>Fonte para Notebook AC Adapter PA-16 60W PA-1600-06D2 19V TD231</t>
  </si>
  <si>
    <t>Fonte para Notebook AC Adapter PA-21 65W PA-1650-02DW 19.5V F7970</t>
  </si>
  <si>
    <t>Fonte para Notebook AC Adapter PA-9 PA-1900-05D 20V PN 6G356</t>
  </si>
  <si>
    <t>Fonte SEVENTEAM 1000W REAL HURRICANE ST-1000EAZ</t>
  </si>
  <si>
    <t>Fonte SEVENTEAM 460W REAL ST-460BKM V2.0 BLACK</t>
  </si>
  <si>
    <t>Fonte SEVENTEAM 500W REAL ST-500BAZ V2.2 BLACK</t>
  </si>
  <si>
    <t>Fonte SEVENTEAM 750W REAL V-FORCE ST-750Z-AF V2.3</t>
  </si>
  <si>
    <t>Fonte SEVENTEAM 850W V-FORCE ST-850Z-AF V2.3</t>
  </si>
  <si>
    <t>Fonte Zalman 360W ZM360B-APS Ver2.2</t>
  </si>
  <si>
    <t>Fonte Zalman 460W ZM460B-APS Ver2.2</t>
  </si>
  <si>
    <t>Fonte Zalman 500W ZM500-ST 2.3 80 Plus</t>
  </si>
  <si>
    <t>Fonte Zalman 600W ZM600-ST 2.3 80 Plus</t>
  </si>
  <si>
    <t>Fonte Zalman 750W ZM750-HP v2.2</t>
  </si>
  <si>
    <t>Fonte Zalman 850W ZM850-HP v2.2</t>
  </si>
  <si>
    <t>Fonte Zippy Mini-Redundante 420W MRW-6420P</t>
  </si>
  <si>
    <t>Frente CD/DVD Asus F9s</t>
  </si>
  <si>
    <t>Gabinete Casemall ATX R530 Slim (sem fonte)</t>
  </si>
  <si>
    <t>Gabinete Casemall L1100 T.Rex Cool ATX (s/ fonte)</t>
  </si>
  <si>
    <t>Gabinete GMC K1 MUSE MULTIMEDIA BLACK (s/ fonte)</t>
  </si>
  <si>
    <t>Gabinete GMC R2 TOAST ATX Preto (s/ fonte)</t>
  </si>
  <si>
    <t>Gabinete HM NK510 ATX 2 baias (s/ fonte) Preto</t>
  </si>
  <si>
    <t>Gabinete HM NK770 ATX 4 baias (s/ fonte) Preto</t>
  </si>
  <si>
    <t>Gabinete HM NK770 ATX 4 baias 250W/500W Preto</t>
  </si>
  <si>
    <t>Gabinete Intel SC5650BRP (FONTE 600W + HOT SWAP)</t>
  </si>
  <si>
    <t>Gabinete Mtek D-09 2b Preto</t>
  </si>
  <si>
    <t>Gabinete Nilko NK 310 MINI ITX (160W)</t>
  </si>
  <si>
    <t>Gabinete NZXT Alpha Tunning Preto</t>
  </si>
  <si>
    <t>Gabinete NZXT Apollo Preto</t>
  </si>
  <si>
    <t>Gabinete NZXT Beta Evo Preto</t>
  </si>
  <si>
    <t>Gabinete NZXT Gamma Cs-nt-(blk) Preto</t>
  </si>
  <si>
    <t>Gabinete NZXT Guardian 921 Preto</t>
  </si>
  <si>
    <t>Gabinete NZXT Lexa S Preto com Led Azul</t>
  </si>
  <si>
    <t>Gabinete RACK 2U NILKO NK220 530 mm (s/ fonte)</t>
  </si>
  <si>
    <t>Gabinete RACK 4U NILKO NK211 530mm (s/ fonte)</t>
  </si>
  <si>
    <t>Gabinete Servidor Chieftec BH-02BBB ATX (s/ fonte)</t>
  </si>
  <si>
    <t>Gabinete THERMALTAKE SD100 MINI ITX C/ FONTE 120W</t>
  </si>
  <si>
    <t>Gaveta Externa Max power para HD SATA 2,5 USB</t>
  </si>
  <si>
    <t>Gaveta Externa Max power para HD SATA 3,5 USB</t>
  </si>
  <si>
    <t>Gaveta Externa Microbon para HD IDE 2,5 USB</t>
  </si>
  <si>
    <t>Gaveta Externa Mtek EN251A para HD SATA 2 ½ USB</t>
  </si>
  <si>
    <t>Gaveta Externa Mtek EN352A para HD SATA 3 ½ USB</t>
  </si>
  <si>
    <t>Gaveta Interna Hot Swap 3.5 ICY DOCK MB877SK-B SATA</t>
  </si>
  <si>
    <t>Gravador DVD Notebook IDE Sony AD-7590A-01</t>
  </si>
  <si>
    <t>Gravador DVD-RW LG IDE (Preto/OEM)</t>
  </si>
  <si>
    <t>Gravador DVD-RW LG SATA (Preto/OEM)</t>
  </si>
  <si>
    <t>Gravador DVD-RW Samsung IDE (Preto/OEM)</t>
  </si>
  <si>
    <t>Gravador DVD-RW Samsung SATA (Preto/OEM)</t>
  </si>
  <si>
    <t>Gravador DVD-RW SONY IDE (Preto/OEM)</t>
  </si>
  <si>
    <t>Gravador DVD-RW SONY SATA (Preto/OEM)</t>
  </si>
  <si>
    <t>Gravador Externo Slim LG GP08 lite USB Preto</t>
  </si>
  <si>
    <t>Gravador Externo Slim Liteon ESAU208 USB Preto</t>
  </si>
  <si>
    <t>HD Externo 1,5TB WD My Book Elite (Visor) WDBAAH0015HCH-NES USB 2.0</t>
  </si>
  <si>
    <t>HD Externo 1TB WD My Book Essential Preto WDBAAF0010HBK-NESN USB</t>
  </si>
  <si>
    <t>HD Externo 2TB Western Digital My Book Essential USB</t>
  </si>
  <si>
    <t>HD Externo 320GB WD My Passport USB</t>
  </si>
  <si>
    <t>HD Externo 500GB LG HXD5U50PLS 500GB USB 480MB/s 5400rpm</t>
  </si>
  <si>
    <t>HD Externo 500GB Seagate ST305004EXA101-RK USB</t>
  </si>
  <si>
    <t>HD Externo 500GB Seagate ST305004FDB2E1-RK USB 7200rpm 3.5</t>
  </si>
  <si>
    <t>HD Externo 500GB Seagate ST905003FAB2E1-RK USB 480MB/s 5400rpm</t>
  </si>
  <si>
    <t>HD Externo 500GB Seagate ST905004BDB101-RK 500GB USB2.0 5400rpm 2.5</t>
  </si>
  <si>
    <t>HD Externo 500GB WD My Book Essential Preto WDBAAF5000EBK-NESN</t>
  </si>
  <si>
    <t>HD Externo 500GB WD My Passport USB</t>
  </si>
  <si>
    <t>HD Externo 500GB WD Passport Essential Prata WDBAAA5000ASL-NESN</t>
  </si>
  <si>
    <t>HD IDE 400GB Seagate 7.200RPM</t>
  </si>
  <si>
    <t>HD SATA II 1,5TB W.Digital 32MB 7.200RPM</t>
  </si>
  <si>
    <t>HD SATA II 160GB Maxtor/Samsung 7.200RPM</t>
  </si>
  <si>
    <t>HD SATA II 160GB Seagate 7.200RPM</t>
  </si>
  <si>
    <t>HD SATA II 1TB Maxtor/W.Digital 7.200rpm</t>
  </si>
  <si>
    <t>HD SATA II 1TB Seagate 7.200RPM</t>
  </si>
  <si>
    <t>HD SATA II 250GB Maxtor/W.Digital/Samsung 7.200RPM</t>
  </si>
  <si>
    <t>HD SATA II 250GB Seagate 7.200RPM</t>
  </si>
  <si>
    <t>HD SATA II 2TB W. Digital 32MB 7200RPM</t>
  </si>
  <si>
    <t>HD SATA II 320GB Maxtor/W.Digital/Samsung 7.200RPM</t>
  </si>
  <si>
    <t>HD SATA II 320GB Seagate 16MB 7.200RPM</t>
  </si>
  <si>
    <t>HD SATA II 500GB Maxtor/W.Digital/Samsung 7.200RPM</t>
  </si>
  <si>
    <t>HD SATA II 500GB Seagate 16MB 7.200RPM</t>
  </si>
  <si>
    <t>HD SATA NOTEBOOK 160GB Samsung 5.400RPM</t>
  </si>
  <si>
    <t>HD SATA NOTEBOOK 250GB WD 5.400RPM</t>
  </si>
  <si>
    <t>HD SATA NOTEBOOK 320GB WD 5.400RPM</t>
  </si>
  <si>
    <t>HD SSD 160Gb Intel SSDSA2MH160G2C1902384</t>
  </si>
  <si>
    <t>Headset C3 Tech 662863 Multimidia Stereo</t>
  </si>
  <si>
    <t>Headset sem fio Microsoft LifeChat ZX-6000</t>
  </si>
  <si>
    <t>HUB USB 2.0 - 7 portas</t>
  </si>
  <si>
    <t>Impressora Epson Jato de Tinta Stylus T50</t>
  </si>
  <si>
    <t>Impressora Epson Matricial FX-2190 (136col 9 agulhas 680cps)</t>
  </si>
  <si>
    <t>Impressora Epson Matricial FX-890 (80col 9 agulhas 680cps)</t>
  </si>
  <si>
    <t>Impressora Epson Matricial LX300+ II (80col 9 agulhas 337cps)</t>
  </si>
  <si>
    <t>Impressora HP Deskjet D1660</t>
  </si>
  <si>
    <t>Impressora HP Deskjet D2460 Ink Jet 4cores 4800x1200dpi 20ppm</t>
  </si>
  <si>
    <t>Impressora HP LaserJet CP1215 Laser Color 600x600dpi 12ppm 16MB</t>
  </si>
  <si>
    <t>Impressora HP LaserJet P2055dn Laser Mono 1200x1200dpi 35ppm 128MB</t>
  </si>
  <si>
    <t>Impressora HP Laserjet Pro 1102w Laser Mono 600x600dpi 18ppm</t>
  </si>
  <si>
    <t>Impressora HP OFFICEJET 6000DWN REDE WIRELESS DUPLEX</t>
  </si>
  <si>
    <t>Impressora HP Officejet 6000N</t>
  </si>
  <si>
    <t>Impressora HP OFFICEJET PRO 8000DN REDE DUPLEX</t>
  </si>
  <si>
    <t>Impressora Lexmark E260DN BR Laser Mono 1200x1200dpi 33ppm 32MB</t>
  </si>
  <si>
    <t>Impressora Samsung CLP-315/XAZ Laser Color 2400x600 16ppm 32MB</t>
  </si>
  <si>
    <t>Impressora Samsung ML-1665L/XAZ Laser Mono 1200x600 16ppm 8MB</t>
  </si>
  <si>
    <t>Impressora Samsung ML-2851ND Laser Mono 1200x1200 28ppm 32MB</t>
  </si>
  <si>
    <t>Inverter board F3J asus</t>
  </si>
  <si>
    <t>LCD Cable 14.1" SCREEN 6M871 REV A00</t>
  </si>
  <si>
    <t>LCD Cable 14.1" SXGA SCREEN 06M871 REV A00</t>
  </si>
  <si>
    <t>LCD Cable 15.4" REV A00 REV.3A DDDFM1LC111</t>
  </si>
  <si>
    <t>LCD Cable 50.4W001.301 i1526 WK447 15.4</t>
  </si>
  <si>
    <t>LCD Cable DDDM3LLC000 14" REV A01 REV.3B</t>
  </si>
  <si>
    <t>LCD Cable DDDM3LLC018 15" XGA REV A02</t>
  </si>
  <si>
    <t>LCD Cable XR857 50.4W109.002 M1530 REV A02</t>
  </si>
  <si>
    <t>LCD notebook SAMSUNG LTN121W1-L03 12.1</t>
  </si>
  <si>
    <t>Leitor de cartão de memória para baia 3 ½ (Preto)</t>
  </si>
  <si>
    <t>Leitor de CD-ROM Notebook IDE 6T980-A01</t>
  </si>
  <si>
    <t>Leitor de código de barras CPX10 Slim Compex USB</t>
  </si>
  <si>
    <t>Leitor de DVD-ROM Notebook IDE HL GDR-8082N</t>
  </si>
  <si>
    <t>Leitor Linear Imager AS-8250</t>
  </si>
  <si>
    <t>Memória DDR 1GB 266MHz (PC-2100) Kingston</t>
  </si>
  <si>
    <t>Memória DDR 1GB 333MHz (PC-2700) Kingston</t>
  </si>
  <si>
    <t>Memória DDR 1GB 400MHz (PC-3200) Kingston</t>
  </si>
  <si>
    <t>Memória DDR2 1GB 533MHz (PC2-4200) Kingston</t>
  </si>
  <si>
    <t>Memória DDR2 1GB 667MHz (PC2-5300) Kingston</t>
  </si>
  <si>
    <t>Memória DDR2 1GB 800MHz (PC2-6400) Kingston</t>
  </si>
  <si>
    <t>Memória DDR2 2GB 1066MHz (PC2-8500) Kingston</t>
  </si>
  <si>
    <t>Memória DDR2 2GB 533MHz (PC2-4200) Kingston</t>
  </si>
  <si>
    <t>Memória DDR2 2GB 667MHz (PC2-5300) Kingston</t>
  </si>
  <si>
    <t>Memória DDR2 2GB 800MHz (PC2-6400) Kingston</t>
  </si>
  <si>
    <t>Memória DDR2 4GB 667 ECC (Kit 2x2) KVR667D2E5K2/4G Kingston</t>
  </si>
  <si>
    <t>Memória DDR3 2GB 1333MHz (PC3-10600) Kingston</t>
  </si>
  <si>
    <t>Memória DDR3 4GB 1333MHz (PC3-10600) Kingston KVR1333D3N9/4G</t>
  </si>
  <si>
    <t>Memória DDR3 4GB KIT (2x2GB) 1600MHz (PC3-12800) Kingston</t>
  </si>
  <si>
    <t>Memória de Notebook DDR 1GB 266MHz (PC-2100) Kingston</t>
  </si>
  <si>
    <t>Memória de Notebook DDR 1GB 333MHz (PC-2700) Kingston</t>
  </si>
  <si>
    <t>Memória de Notebook DDR 1GB 400MHz (PC-3200) Kingston</t>
  </si>
  <si>
    <t>Memória de Notebook DDR2 1GB 533MHz (PC2-4200) Kingston</t>
  </si>
  <si>
    <t>Memória de Notebook DDR2 1GB 667MHz (PC2-5300) Kingston</t>
  </si>
  <si>
    <t>Memória de Notebook DDR2 2GB 667MHz (PC2-5300) Kingston</t>
  </si>
  <si>
    <t>Memória de Notebook DDR2 512MB 667MHz (PC2-5300)</t>
  </si>
  <si>
    <t>Memória ECC DDR 1GB 333MHz (PC-2700) Kingston</t>
  </si>
  <si>
    <t>Memória ECC DDR 1GB 400MHz (PC-3200) Kingston</t>
  </si>
  <si>
    <t>Memória ECC DDR2 2GB 667MHz PC2 5300 (KVR667D2S4F5/2G) Kingston</t>
  </si>
  <si>
    <t>Memória ECC DDR2 4GB 667MHz PC2 5300 (KVR667D2D4F5/4G) Kingston</t>
  </si>
  <si>
    <t>Memória ECC DDR3 2GB 1333MHz (PC3-10600) KVR1333D3E9S/2GI Kingston</t>
  </si>
  <si>
    <t>Memória ECC DDR3 4GB 1333MHz (PC3-10600) KVR1333D3D4R9S/4GI Kingston</t>
  </si>
  <si>
    <t>Mini Bluetooth USB</t>
  </si>
  <si>
    <t>Modem notebook Asus A8J A8 Z99 56k Laptop internal B93M1015-F</t>
  </si>
  <si>
    <t>Moldura LCD ASUS f9s</t>
  </si>
  <si>
    <t>Monitor AOC LCD 15 1619Swa Widescreen</t>
  </si>
  <si>
    <t>Monitor AOC LCD 18.5 F19L Widescreen</t>
  </si>
  <si>
    <t>Monitor AOC LCD AOC 2236VWA Widescreen</t>
  </si>
  <si>
    <t>Monitor LG LCD 15.6 W1643C Widescreen</t>
  </si>
  <si>
    <t>Monitor LG LCD 17 W1752T Widescreen Preto</t>
  </si>
  <si>
    <t>Monitor LG LCD 18.5 W1943C BR WIDESCREEN</t>
  </si>
  <si>
    <t>Monitor LG LCD 19 W1953 Widescreen</t>
  </si>
  <si>
    <t>Monitor LG LCD 20 W2043S Widescreen</t>
  </si>
  <si>
    <t>Monitor LG LCD 20 W2053TQ Widescreen</t>
  </si>
  <si>
    <t>Monitor LG LCD 21.5 W2243 BR WIDESCREEN</t>
  </si>
  <si>
    <t>Monitor LG LCD 23 W2353V Widescreen</t>
  </si>
  <si>
    <t>Monitor LG LED 18,5" E1950T 1360x768 Wide</t>
  </si>
  <si>
    <t>Monitor LG LED 20" E2050T 1600X900 Wide</t>
  </si>
  <si>
    <t>Monitor LG LED 21,5 E2250 Full HD/HDMI Widescreen</t>
  </si>
  <si>
    <t>Monitor LG LED 22" E2240S 1920x1080 5ms Wide</t>
  </si>
  <si>
    <t>Monitor Philips LCD 15.6 161VW Widescreen</t>
  </si>
  <si>
    <t>Monitor Philips LCD 18.5 185Vw9 Widescreen</t>
  </si>
  <si>
    <t>Monitor Samsung LCD 15.6 B1630 Wide</t>
  </si>
  <si>
    <t>Monitor Samsung LCD 18,5 B1930 1366x768 Wide</t>
  </si>
  <si>
    <t>Monitor Samsung LCD 19 LD190G Widescreen</t>
  </si>
  <si>
    <t>Monitor Samsung LCD 20 P2050 Wide</t>
  </si>
  <si>
    <t>Monitor Samsung LCD 20" B2030N 1600x900 Wide</t>
  </si>
  <si>
    <t>Monitor Samsung LCD 21,5 B2230N Wide</t>
  </si>
  <si>
    <t>Monitor Samsung LCD 21,5" P2270H Full HD Widescreen</t>
  </si>
  <si>
    <t>Monitor Samsung LCD 23 P2370H Rose Black</t>
  </si>
  <si>
    <t>Monitor TV Samsung LCD 20" 2033M 1600x900 Wide</t>
  </si>
  <si>
    <t>Monitor TV Samsung LCD 24" P2470HN 1920x1080 Wide</t>
  </si>
  <si>
    <t>Mouse Optico Microsoft 200 USB Preto NTD-00006</t>
  </si>
  <si>
    <t>Mouse Óptico Mtek B110 USB (s/ fio)</t>
  </si>
  <si>
    <t>Mouse Óptico Mtek MS608 USB (Preto)</t>
  </si>
  <si>
    <t>Mouse Óptico Mtek PM520P PS/2 (Preto)</t>
  </si>
  <si>
    <t>Multifuncional HP LaserJet Pro M1132 MFP Imp/Scan/Cópia</t>
  </si>
  <si>
    <t>Multifuncional HP Officejet J3680 Imp/Scan/Cópia/Fax</t>
  </si>
  <si>
    <t>Multifuncional HP Officejet J4660 Imp/Scan/Cópia/Fax InkJet</t>
  </si>
  <si>
    <t>Multifuncional Lexmark X203N Imp/Scan/Copia Mono Laser</t>
  </si>
  <si>
    <t>Multifuncional Samsung SCX-4600L/XAZ Laser Mono 1200x1200dpi 22ppm 64MB</t>
  </si>
  <si>
    <t>Nobreak APC Bivolt 1200va</t>
  </si>
  <si>
    <t>Nobreak APC Bivolt 600VA</t>
  </si>
  <si>
    <t>Nobreak APC Mono 1500VA</t>
  </si>
  <si>
    <t>Nobreak APC Mono 350VA</t>
  </si>
  <si>
    <t>Nobreak APC Mono 600VA</t>
  </si>
  <si>
    <t>Notebook ACER 5732Z-4737 Intel Dual Core 2.1GHz, 3GB, 320GB, DVD, CAM, Tela 15.6</t>
  </si>
  <si>
    <t>Notebook HP Compaq 510-WL706 Core 2 Duo T5870 2.0GHz, 2GB, 250GB, 14, Win 7</t>
  </si>
  <si>
    <t>Notebook HP DV4T-1600 Intel Dual Core 2.1GHz, 3GB, 250GB, DVD, CAM, Tela 14</t>
  </si>
  <si>
    <t>Notebook Lenovo G550 Intel Dual Core T4300, 2GB, 320GB, DVD, Tela 15.6, Win7</t>
  </si>
  <si>
    <t>Notebook LG 3510 Intel Pentium Dual Core T4300 2.2GHz BRANCO</t>
  </si>
  <si>
    <t>Office 2007 OEM Basic S55-02249</t>
  </si>
  <si>
    <t>Office 2007 OEM Home &amp; Student 79G-01390</t>
  </si>
  <si>
    <t>Office 2007 OEM Professional 269-13742</t>
  </si>
  <si>
    <t>Office 2007 Open License Standard 021-07856</t>
  </si>
  <si>
    <t>Pen drive Kingston 16GB USB 2.0</t>
  </si>
  <si>
    <t>Pen drive Kingston 2GB USB 2.0</t>
  </si>
  <si>
    <t>Pen drive Kingston 4GB USB 2.0</t>
  </si>
  <si>
    <t>Pen drive Kingston 8GB USB 2.0</t>
  </si>
  <si>
    <t>Placa de Captura GV800 120 FPS 16 CANAIS DE VÍDEO 04 ÁUDIOS VERSÃO 7.0</t>
  </si>
  <si>
    <t>Placa de Captura PCI Tuner Analogica</t>
  </si>
  <si>
    <t>Placa de Captura Pinnacle Studio MovieBoard PCI</t>
  </si>
  <si>
    <t>Placa de Rede D-Link DFE-520TX PCI 10/100Mbps Fast Ethernet</t>
  </si>
  <si>
    <t>Placa de Rede D-Link DGE-530T PCI Gigabit 32bits</t>
  </si>
  <si>
    <t>Placa de Rede PCI 10/100</t>
  </si>
  <si>
    <t>Placa de Rede PCI 10/100/1000 Encore</t>
  </si>
  <si>
    <t>Placa de Rede wireless PCI TP-LINK TL-WN651G 108Mbps</t>
  </si>
  <si>
    <t>Placa de vídeo AGP 256MB Nvidia GeForce FX 5500 TV/DVI</t>
  </si>
  <si>
    <t>Placa de video PCI-E 1.2GB Nvidia GeForce GTX 470 DDR5/HDMI/320BIT</t>
  </si>
  <si>
    <t>Placa de video PCI-E 1GB ATI Radeon™ HD 5450 DDR2/HDMI/64BIT</t>
  </si>
  <si>
    <t>Placa de video PCI-E 1GB ATI Radeon™ HD 5550 DDR2/HDMI/128BIT</t>
  </si>
  <si>
    <t>Placa de video PCI-E 1GB ATI Radeon™ HD 5670 DDR5/HDMI/128BIT</t>
  </si>
  <si>
    <t>Placa de video PCI-E 1GB ATI Radeon™ HD 5770 DDR5/HDMI/128BIT</t>
  </si>
  <si>
    <t>Placa de video PCI-E 1GB ATI Radeon™ HD 5830 DDR5/HDMI/256BIT</t>
  </si>
  <si>
    <t>Placa de video PCI-E 1GB ATI Radeon™ HD 5870 DDR5/HDMI/256BIT</t>
  </si>
  <si>
    <t>Placa de vídeo PCI-E 1GB Nvidia GeForce 9400GT DDR2/DVI/128BIT</t>
  </si>
  <si>
    <t>Placa de vídeo PCI-E 1GB Nvidia GeForce 9500GT DVI/HDTV/SLI/128BIT</t>
  </si>
  <si>
    <t>Placa de vídeo PCI-E 1GB Nvidia GeForce GT 220 DDR2/DVI/HDMI/128BIT</t>
  </si>
  <si>
    <t>Placa de vídeo PCI-E 1GB Nvidia GeForce GT 240 DDR3/DVI/HDMI/128BIT</t>
  </si>
  <si>
    <t>Placa de video PCI-E 1GB Nvidia GeForce GTS 250 DDR3/DVI/256BIT</t>
  </si>
  <si>
    <t>Placa de vídeo PCI-E 1GB Nvidia GeForce GTX 285 DDR3/DVI/512BIT</t>
  </si>
  <si>
    <t>Placa de vídeo PCI-E 1GB XFX ATI Radeon HD 4650 DDR2/DVI/128BIT</t>
  </si>
  <si>
    <t>Placa de vídeo PCI-E 1GB XFX ATI Radeon HD 5450 DDR2/HDMI/64BIT</t>
  </si>
  <si>
    <t>Placa de vídeo PCI-E 2GB XFX ATI Radeon HD 5970 DDR5/HDMI/DVI/512BIT</t>
  </si>
  <si>
    <t>Placa de video PCI-E 512MB ATI Radeon™ HD 4350 DDR2/HDMI/64BIT</t>
  </si>
  <si>
    <t>Placa de video PCI-E 512MB Nvidia GeForce 8400GS DVI/HDTV/64BIT</t>
  </si>
  <si>
    <t>Placa de video PCI-E 512MB Nvidia GeForce 9400GT DDR2/DVI/128BIT</t>
  </si>
  <si>
    <t>Placa de vídeo PCI-E 512MB Nvidia Geforce 9500GT DVI/HDTV/128BIT</t>
  </si>
  <si>
    <t>Placa de vídeo PCI-E 512MB Nvidia GeForce 9800GT GDDR3/HDTV/SLI/256BIT</t>
  </si>
  <si>
    <t>Placa de video PCI-E 512MB Nvidia GeForce GTS 250 DDR3/DVI/256BIT</t>
  </si>
  <si>
    <t>Placa de vídeo PCI-E 512MB NVidia Quadro FX580 GDDR3/2DVI/128BIT</t>
  </si>
  <si>
    <t>Placa de vídeo PCI-E 512MB XFX ATI Radeon HD 5450 DDR2/ HDMI/64BIT</t>
  </si>
  <si>
    <t>Placa de vídeo PCI-E 512MB XFX Nvidia GeForce 210 DDR2/HDMI/64BIT</t>
  </si>
  <si>
    <t>Placa de vídeo PCI-E 512MB XFX Nvidia GeForce GT 240 DDR3/HDMI/128BIT</t>
  </si>
  <si>
    <t>Placa de video PCI-E 896MB Nvidia GeForce GTX 260 DDR3/Dual DVI/448BIT</t>
  </si>
  <si>
    <t>Placa mãe ASUS P5G41T-M LX2 DDR3 S/V/R Socket 775</t>
  </si>
  <si>
    <t>Placa mãe ASUS P5KPL-AM SE S/V/R Socket 775</t>
  </si>
  <si>
    <t>Placa mãe ASUS P6T SE Core i7 S/R Socket 1366</t>
  </si>
  <si>
    <t>Placa mãe ASUS P6TD Deluxe S/R Socket 1366</t>
  </si>
  <si>
    <t>Placa mãe ASUS P6X58D-E Core i7 S/R Socket 1366</t>
  </si>
  <si>
    <t>Placa mãe ASUS P7H55-M Core i7/i5/i3 DDR3 S/R Socket 1156</t>
  </si>
  <si>
    <t>Placa mãe ASUS P7H57D-V EVO S/HDMI/R Socket 1156</t>
  </si>
  <si>
    <t>Placa mãe ASUS P7P55-M S/R Socket 1156</t>
  </si>
  <si>
    <t>Placa mãe ASUS P7P55D LE S/R Socket 1156</t>
  </si>
  <si>
    <t>Placa mãe ECS H55H-M Core i7/i5/i3 S/V/R Socket 1156</t>
  </si>
  <si>
    <t>Placa mãe Intel VS-AD330 + Processador Atom 330 Dual Core</t>
  </si>
  <si>
    <t>Placa mãe Intel® Desktop Board DG31PR Core™2 Duo S/V/R Socket 775</t>
  </si>
  <si>
    <t>Placa mãe Intel® Desktop Board DG41RQ S/V/R Socket</t>
  </si>
  <si>
    <t>Placa mãe Intel® Desktop Board DG41TY S/V/R Socket 775</t>
  </si>
  <si>
    <t>Placa mãe Intel® Desktop Board DG43GT S/HDMI/R Socket 775</t>
  </si>
  <si>
    <t>Placa mãe Intel® Desktop Board DG45ID S/V/R (RAID) Socket 775</t>
  </si>
  <si>
    <t>Placa mãe Intel® Desktop Board DH55HC (Core i3 i5 e i7) HDMI V/S/R Skt 1156</t>
  </si>
  <si>
    <t>Placa mãe Intel® Desktop Board DH55TC S/V(HDMI)/R Socket 1156</t>
  </si>
  <si>
    <t>Placa mãe Intel® Desktop Board DP43TF DDR2 S/R Socket 775</t>
  </si>
  <si>
    <t>Placa mãe Intel® Desktop Board DP55KG S/R Gigabit Socket 1156</t>
  </si>
  <si>
    <t>Placa mãe Intel® Desktop Board DP55SB S(7.1)/R(Gigabit) Socket 1156</t>
  </si>
  <si>
    <t>Placa mãe Intel® Desktop Board DP55WB (Core i5 e i7) S/R Socket 1156</t>
  </si>
  <si>
    <t>Placa mãe Intel® Desktop Board DQ45CB S/V/R Socket 775</t>
  </si>
  <si>
    <t>Placa mãe Intel® Desktop Board DX58SO (Core i7) S/R Socket 1366</t>
  </si>
  <si>
    <t>Placa mãe Intel® Server Board S3420GP DDR3/2xGbE Socket 1156</t>
  </si>
  <si>
    <t>Placa mãe Intel® Server Board S5000VSASATAR DDR2 V/GLan Socket 771</t>
  </si>
  <si>
    <t>Placa mãe MSI G31M3-L V2 S/V/R Socket 775</t>
  </si>
  <si>
    <t>Placa mãe MSI X58 Pro-E (Core i3/i5/i7) DDR3 S/R Socket 1366</t>
  </si>
  <si>
    <t>Placa notebook Intel 4965 4965AGN wireless WiFi PCI-E card 802.11N AGN</t>
  </si>
  <si>
    <t>Placa PCI 2 serial 1 paralera</t>
  </si>
  <si>
    <t>Placa PCI USB 2.0 4 portas</t>
  </si>
  <si>
    <t>Placa USB / Áudio / Rede Asus F9S 08g2019fe22c</t>
  </si>
  <si>
    <t>Processador AMD Athlon™ II X2 240 2.9GHz 2 x 1MB Skt AM3 BOX</t>
  </si>
  <si>
    <t>Processador AMD Sempron™ 2.7GHz 1MB Skt AM3 BOX</t>
  </si>
  <si>
    <t>Processador Intel Celeron E3200 Dual Core 2.40GHz 800MHz BOX Skt 775</t>
  </si>
  <si>
    <t>Processador Intel Celeron E3300 Dual Core 2.50GHz 800MHz BOX Skt 775</t>
  </si>
  <si>
    <t>Processador Intel Core 2 Duo E7500 2.93GHz 3MB 1066MHz Skt 775 BOX</t>
  </si>
  <si>
    <t>Processador Intel Core 2 Quad Q8400 2.66GHz 4MB 1333MHz Skt 775 BOX</t>
  </si>
  <si>
    <t>Processador Intel Core i3-530 2.93 4Mb BOX Socket 1156</t>
  </si>
  <si>
    <t>Processador Intel Core i3-540 3.06 4Mb BOX Socket 1156</t>
  </si>
  <si>
    <t>Processador Intel Core i5-650 3.20 4MB 2.5GT/S BOX Socket 1156</t>
  </si>
  <si>
    <t>Processador Intel Core i5-660 3.33 4MB 2.5GT/S BOX Socket 1156</t>
  </si>
  <si>
    <t>Processador Intel Core i5-661 3.33GHz 4MB 2.5GT/s BOX LGA 1156</t>
  </si>
  <si>
    <t>Processador Intel Core i5-670 3.46GHz 4MB 2.5GT/s BOX LGA 1156</t>
  </si>
  <si>
    <t>Processador Intel Core i5-750 2.66GHz 8MB 2.5GT/S BOX Socket 1156</t>
  </si>
  <si>
    <t>Processador Intel Core i7-860 2.80GHz 8MB 2.5GT/s BOX Socket 1156</t>
  </si>
  <si>
    <t>Processador Intel Core i7-870 2.93GHz 8MB 2.5GT/s BOX Socket 1156</t>
  </si>
  <si>
    <t>Processador Intel Core i7-930 2.88GHz 8MB 4.8GT/s BOX Socket 1366</t>
  </si>
  <si>
    <t>Processador Intel Core i7-950 3.06GHz 8MB 4.8GT/s BOX Socket 1366</t>
  </si>
  <si>
    <t>Processador Intel Core i7-975 3.33GHz 8MB 6.4GT/s BOX Socket 1366</t>
  </si>
  <si>
    <t>Processador Intel Pentium Dual Core E5300 2.6Ghz 2MB BOX Socket 775</t>
  </si>
  <si>
    <t>Processador Intel Pentium Dual Core E5400 2.7Ghz 2MB BOX Socket 775</t>
  </si>
  <si>
    <t>Processador Intel Pentium Dual Core E6300 2.8GHz 2MB BOX Socket 775</t>
  </si>
  <si>
    <t>Processador Intel Pentium Dual Core E6500 2.93GHz 2MB BOX Socket 775</t>
  </si>
  <si>
    <t>Processador Intel Xeon X3430 2.40GHZ 2.5GT/sec 8MB 4 Cores 8 Threads Skt 1156</t>
  </si>
  <si>
    <t>Processador notebook Intel Core 2 Duo T7300 4M - 2.0GHz 800Mhz</t>
  </si>
  <si>
    <t>Roteador Linksys Linksys WRT54G2-BR Wireless-G Broadband 54Mbps Bivolt</t>
  </si>
  <si>
    <t>Roteador Wireless TP-Link TL-WR642G 108Mbps 1WAN 4LAN</t>
  </si>
  <si>
    <t>Scanner HP Scanjet G2410 Base plana 1200x1200dpi 48 bits</t>
  </si>
  <si>
    <t>Servidor de Impressão USB 2.0</t>
  </si>
  <si>
    <t>Servidor de USB 2.0 com Gerenciamento de até 4 porta USB</t>
  </si>
  <si>
    <t>Servidor Intel Core i3 530 2.93 1TB DVD</t>
  </si>
  <si>
    <t>Servidor Intel Xeon X3440 2.53GHz, 2GB, HD 500B, DVD-RW, 500W</t>
  </si>
  <si>
    <t>Subwoofer C3TECH 2.1 CT683601 127V</t>
  </si>
  <si>
    <t>Subwoofer Edifier M 1350 2.1</t>
  </si>
  <si>
    <t>Subwoofer Edifier X100</t>
  </si>
  <si>
    <t>Switch D-Link DES-1008D/A 8 Portas Fast Ethernet</t>
  </si>
  <si>
    <t>Switch D-Link DES-1024D/A 24 Portas 10/100Mbps</t>
  </si>
  <si>
    <t>Switch TP-Link 24 Portas 10/100M TL-SF1024</t>
  </si>
  <si>
    <t>Switch Tp-Link TL-SF1008D 8 Portas 10/100M</t>
  </si>
  <si>
    <t>Teclado + Mouse Microsot Wireless Optical Desktop 2000</t>
  </si>
  <si>
    <t>Teclado + Mouse Óptico Microsoft WIRED DESKTOP 400 USB EYD-00007</t>
  </si>
  <si>
    <t>Teclado + Mouse Óptico Microsoft Wireless Desktop 1000 (s/ fio)</t>
  </si>
  <si>
    <t>Teclado Microsoft WIRED KEYBOARD 200 JWD-00001 USB Preto</t>
  </si>
  <si>
    <t>Teclado Mtek K2806BRP PS2 ABNT2 Preto</t>
  </si>
  <si>
    <t>Teclado Mtek K2806BRP USB ABNT2 Preto</t>
  </si>
  <si>
    <t>Teclado Multimidia Mtek KP807 PS2 ABNT2 (Preto)</t>
  </si>
  <si>
    <t>Teclado notebook ASUS F9 BLACK UK K030462R1 OKNO-431UK01 Fs9</t>
  </si>
  <si>
    <t>Teclado Numérico Mtek PT970 USB</t>
  </si>
  <si>
    <t>Teclado para Notebook H4409 KFRMB2 A185 PORT</t>
  </si>
  <si>
    <t>Teclado para Notebook H5639</t>
  </si>
  <si>
    <t>Teclado para Notebook NP582 K060425X PORT</t>
  </si>
  <si>
    <t>Teclado para Notebook NSK-H3V1D</t>
  </si>
  <si>
    <t>Teclado para Notebook YD802 K051125X PORT</t>
  </si>
  <si>
    <t>Tela Notebook LCD 14.1" LP141WX3 TL N1</t>
  </si>
  <si>
    <t>Tela Notebook LCD 14.1" LTN141XB-L01</t>
  </si>
  <si>
    <t>Tela Notebook LCD 14.1’’ WXGA CHUNGHWA CLAA141WB03 Rev A01</t>
  </si>
  <si>
    <t>Tela Notebook LCD 15,4'WXGA B154EW01 V4 Universal</t>
  </si>
  <si>
    <t>Tela Notebook LCD 15,4'WXGA CLAA154WA04 Universal</t>
  </si>
  <si>
    <t>Tela Notebook LCD 15,4'WXGA CLAA154WA05A Universal</t>
  </si>
  <si>
    <t>Tela Notebook LCD 15.0" 3K552 - ITUX97H</t>
  </si>
  <si>
    <t>Tela Notebook LCD 15.4"WXGA LTN154W1-L01</t>
  </si>
  <si>
    <t>Tela Notebook LCD 15.4’’ WXGA B154EW01 V.4</t>
  </si>
  <si>
    <t>Tela Notebook LCD 17.0" LP171WP4 TL N2 WIDESCREEN</t>
  </si>
  <si>
    <t>Terminal Consulta Preço itautec Quickway Checker</t>
  </si>
  <si>
    <t>Terminal Consulta Preço itautec Quickway Checker Wireless</t>
  </si>
  <si>
    <t>TOP COVER LCD ASUS f9s</t>
  </si>
  <si>
    <t>Touch Pad Asus F9S</t>
  </si>
  <si>
    <t>Web Cam Microsoft Vx-1000 Preta</t>
  </si>
  <si>
    <t>Web Cam Mtek MyCam SC1301 1.3MP USB 2.0 Preto Piano</t>
  </si>
  <si>
    <t>Webcam ASUS f9s</t>
  </si>
  <si>
    <t>WebCam Microsoft LifeCam VX-500 640X480</t>
  </si>
  <si>
    <t>Windows 7 FPP Home Basic 32 e 64 bits F2C-00007</t>
  </si>
  <si>
    <t>Windows 7 FPP Home Premium 32 e 64 bits GFC-00039</t>
  </si>
  <si>
    <t>Windows 7 FPP Professional 32 e 64 bits FQC-00146</t>
  </si>
  <si>
    <t>Windows 7 FPP Ultimate 32 e 64 bits GLC-00133</t>
  </si>
  <si>
    <t>Windows 7 OEM Home Basic 32 bits F2C-00183</t>
  </si>
  <si>
    <t>Windows 7 OEM Home Basic 64 bits F2C-00186</t>
  </si>
  <si>
    <t>Windows 7 OEM Home Premium 32 bits GFC-00624</t>
  </si>
  <si>
    <t>Windows 7 OEM Home Premium 64 bits GFC-00627</t>
  </si>
  <si>
    <t>Windows 7 OEM Professional 32 bits FQC-00721</t>
  </si>
  <si>
    <t>Windows 7 OEM Professional 64 bits FQC-00756</t>
  </si>
  <si>
    <t>Windows 7 OEM Starter 32 bits GJC-00102</t>
  </si>
  <si>
    <t>Windows 7 OEM Ultimate 32 bits GLC-00692</t>
  </si>
  <si>
    <t>Windows 7 OEM Ultimate 64 bits GLC-00727</t>
  </si>
  <si>
    <t>Windows Server 2008 Cal User Single Open Comercial R18-02709</t>
  </si>
  <si>
    <t>Windows Server 2008 Standard 32/64BITS OEM BR (4CPU-5CLIENTS) P73-04853</t>
  </si>
  <si>
    <t>Windows Server 2008 Standard Single Open Comercial P73-04190</t>
  </si>
  <si>
    <t>Windows Servr 2008 Standard x64 OEM ING (4CPU-5CLIENTS) P73-04001</t>
  </si>
  <si>
    <t>Adaptador</t>
  </si>
  <si>
    <t>Bateria</t>
  </si>
  <si>
    <t>Battery</t>
  </si>
  <si>
    <t>Bluetooth</t>
  </si>
  <si>
    <t>Cabo</t>
  </si>
  <si>
    <t>CABO</t>
  </si>
  <si>
    <t>Caixa</t>
  </si>
  <si>
    <t>Carenagem</t>
  </si>
  <si>
    <t>Chaveador</t>
  </si>
  <si>
    <t>Computador</t>
  </si>
  <si>
    <t>Conector</t>
  </si>
  <si>
    <t>Conversor</t>
  </si>
  <si>
    <t>Cooler</t>
  </si>
  <si>
    <t>Estabilizador</t>
  </si>
  <si>
    <t>Fan</t>
  </si>
  <si>
    <t>Fax</t>
  </si>
  <si>
    <t>Filtro</t>
  </si>
  <si>
    <t>Fingerprint</t>
  </si>
  <si>
    <t>Fone</t>
  </si>
  <si>
    <t>Fonte</t>
  </si>
  <si>
    <t>Frente</t>
  </si>
  <si>
    <t>Gabinete</t>
  </si>
  <si>
    <t>Gaveta</t>
  </si>
  <si>
    <t>Gravador</t>
  </si>
  <si>
    <t>HD</t>
  </si>
  <si>
    <t>Headset</t>
  </si>
  <si>
    <t>HUB</t>
  </si>
  <si>
    <t>Impressora</t>
  </si>
  <si>
    <t>Inverter</t>
  </si>
  <si>
    <t>LCD</t>
  </si>
  <si>
    <t>Leitor</t>
  </si>
  <si>
    <t>Memória</t>
  </si>
  <si>
    <t>Mini</t>
  </si>
  <si>
    <t>Modem</t>
  </si>
  <si>
    <t>Moldura</t>
  </si>
  <si>
    <t>Monitor</t>
  </si>
  <si>
    <t>Mouse</t>
  </si>
  <si>
    <t>Multifuncional</t>
  </si>
  <si>
    <t>Nobreak</t>
  </si>
  <si>
    <t>Notebook</t>
  </si>
  <si>
    <t>Office</t>
  </si>
  <si>
    <t>Pen</t>
  </si>
  <si>
    <t>Placa</t>
  </si>
  <si>
    <t>Processador</t>
  </si>
  <si>
    <t>Roteador</t>
  </si>
  <si>
    <t>Scanner</t>
  </si>
  <si>
    <t>Servidor</t>
  </si>
  <si>
    <t>Subwoofer</t>
  </si>
  <si>
    <t>Switch</t>
  </si>
  <si>
    <t>Teclado</t>
  </si>
  <si>
    <t>Tela</t>
  </si>
  <si>
    <t>Terminal</t>
  </si>
  <si>
    <t>TOP</t>
  </si>
  <si>
    <t>Touch</t>
  </si>
  <si>
    <t>Web</t>
  </si>
  <si>
    <t>Webcam</t>
  </si>
  <si>
    <t>WebCam</t>
  </si>
  <si>
    <t>Windows</t>
  </si>
  <si>
    <t>FORNECEDOR 1</t>
  </si>
  <si>
    <t>MAJOR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</si>
</sst>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-* #,##0_-;\-* #,##0_-;_-* &quot;-&quot;??_-;_-@_-"/>
    <numFmt numFmtId="168" formatCode="0.00_);[Red]\(0.00\)"/>
    <numFmt numFmtId="169" formatCode="&quot;R$ &quot;#,##0.00"/>
    <numFmt numFmtId="170" formatCode="dd/mm/yy;@"/>
    <numFmt numFmtId="171" formatCode="mmmm\ \-\ dd\.mm\.yyyy\ \-\ dddd"/>
    <numFmt numFmtId="172" formatCode="&quot;Sorocaba&quot;\ \-\ dd\.mmmm\.yyyy\ \-\ dddd"/>
    <numFmt numFmtId="173" formatCode="m/d/yyyy"/>
    <numFmt numFmtId="174" formatCode="&quot;Data atual&quot;\ \-\ dd\.mmmm\.yyyy\ \-\ dddd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4" tint="-0.24994659260841701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/>
      </patternFill>
    </fill>
    <fill>
      <patternFill patternType="solid">
        <fgColor rgb="FFE6E6E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25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3" xfId="0" applyBorder="1"/>
    <xf numFmtId="0" fontId="2" fillId="0" borderId="2" xfId="0" applyFont="1" applyBorder="1" applyAlignment="1">
      <alignment horizontal="center"/>
    </xf>
    <xf numFmtId="14" fontId="0" fillId="0" borderId="0" xfId="0" applyNumberFormat="1"/>
    <xf numFmtId="166" fontId="0" fillId="0" borderId="0" xfId="1" applyFont="1"/>
    <xf numFmtId="167" fontId="0" fillId="0" borderId="0" xfId="1" applyNumberFormat="1" applyFont="1"/>
    <xf numFmtId="14" fontId="2" fillId="0" borderId="0" xfId="0" applyNumberFormat="1" applyFont="1" applyAlignment="1">
      <alignment horizontal="center"/>
    </xf>
    <xf numFmtId="167" fontId="2" fillId="0" borderId="0" xfId="1" applyNumberFormat="1" applyFont="1" applyAlignment="1">
      <alignment horizontal="center"/>
    </xf>
    <xf numFmtId="166" fontId="2" fillId="0" borderId="0" xfId="1" applyFont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left"/>
    </xf>
    <xf numFmtId="0" fontId="4" fillId="2" borderId="17" xfId="0" applyFont="1" applyFill="1" applyBorder="1" applyAlignment="1">
      <alignment horizontal="left"/>
    </xf>
    <xf numFmtId="0" fontId="2" fillId="4" borderId="0" xfId="0" applyFont="1" applyFill="1" applyAlignment="1">
      <alignment horizontal="center"/>
    </xf>
    <xf numFmtId="167" fontId="2" fillId="4" borderId="0" xfId="1" applyNumberFormat="1" applyFont="1" applyFill="1" applyAlignment="1">
      <alignment horizontal="center"/>
    </xf>
    <xf numFmtId="166" fontId="2" fillId="4" borderId="0" xfId="1" applyFont="1" applyFill="1" applyAlignment="1">
      <alignment horizontal="center"/>
    </xf>
    <xf numFmtId="0" fontId="0" fillId="4" borderId="0" xfId="0" applyFill="1"/>
    <xf numFmtId="14" fontId="0" fillId="4" borderId="0" xfId="0" applyNumberFormat="1" applyFill="1"/>
    <xf numFmtId="167" fontId="0" fillId="4" borderId="0" xfId="1" applyNumberFormat="1" applyFont="1" applyFill="1"/>
    <xf numFmtId="166" fontId="0" fillId="4" borderId="0" xfId="1" applyFont="1" applyFill="1"/>
    <xf numFmtId="1" fontId="0" fillId="3" borderId="13" xfId="0" applyNumberFormat="1" applyFill="1" applyBorder="1" applyProtection="1">
      <protection locked="0"/>
    </xf>
    <xf numFmtId="167" fontId="0" fillId="3" borderId="14" xfId="1" applyNumberFormat="1" applyFont="1" applyFill="1" applyBorder="1" applyProtection="1">
      <protection locked="0"/>
    </xf>
    <xf numFmtId="165" fontId="0" fillId="3" borderId="14" xfId="2" applyFont="1" applyFill="1" applyBorder="1" applyProtection="1">
      <protection locked="0"/>
    </xf>
    <xf numFmtId="167" fontId="0" fillId="3" borderId="15" xfId="1" applyNumberFormat="1" applyFont="1" applyFill="1" applyBorder="1" applyProtection="1">
      <protection locked="0"/>
    </xf>
    <xf numFmtId="0" fontId="6" fillId="5" borderId="5" xfId="3" applyFont="1" applyFill="1" applyBorder="1" applyAlignment="1">
      <alignment horizontal="left"/>
    </xf>
    <xf numFmtId="0" fontId="4" fillId="5" borderId="6" xfId="0" applyFont="1" applyFill="1" applyBorder="1" applyAlignment="1">
      <alignment horizontal="left"/>
    </xf>
    <xf numFmtId="0" fontId="4" fillId="5" borderId="7" xfId="0" applyFont="1" applyFill="1" applyBorder="1" applyAlignment="1">
      <alignment horizontal="left"/>
    </xf>
    <xf numFmtId="167" fontId="0" fillId="6" borderId="14" xfId="1" applyNumberFormat="1" applyFont="1" applyFill="1" applyBorder="1"/>
    <xf numFmtId="165" fontId="0" fillId="6" borderId="14" xfId="2" applyFont="1" applyFill="1" applyBorder="1"/>
    <xf numFmtId="0" fontId="2" fillId="0" borderId="12" xfId="0" applyFont="1" applyBorder="1" applyAlignment="1">
      <alignment horizontal="center"/>
    </xf>
    <xf numFmtId="0" fontId="4" fillId="2" borderId="20" xfId="0" applyFont="1" applyFill="1" applyBorder="1"/>
    <xf numFmtId="0" fontId="4" fillId="2" borderId="22" xfId="0" applyFont="1" applyFill="1" applyBorder="1" applyAlignment="1">
      <alignment horizontal="left"/>
    </xf>
    <xf numFmtId="0" fontId="4" fillId="2" borderId="23" xfId="0" applyFont="1" applyFill="1" applyBorder="1" applyAlignment="1">
      <alignment horizontal="left"/>
    </xf>
    <xf numFmtId="0" fontId="5" fillId="7" borderId="11" xfId="0" applyFont="1" applyFill="1" applyBorder="1" applyAlignment="1" applyProtection="1">
      <alignment horizontal="right"/>
      <protection locked="0"/>
    </xf>
    <xf numFmtId="0" fontId="2" fillId="0" borderId="24" xfId="0" applyFont="1" applyBorder="1" applyAlignment="1">
      <alignment horizontal="center"/>
    </xf>
    <xf numFmtId="0" fontId="0" fillId="0" borderId="25" xfId="0" applyBorder="1"/>
    <xf numFmtId="0" fontId="0" fillId="5" borderId="0" xfId="0" applyFill="1"/>
    <xf numFmtId="166" fontId="0" fillId="8" borderId="18" xfId="1" applyFont="1" applyFill="1" applyBorder="1" applyAlignment="1"/>
    <xf numFmtId="0" fontId="0" fillId="8" borderId="18" xfId="0" applyFill="1" applyBorder="1"/>
    <xf numFmtId="0" fontId="0" fillId="8" borderId="19" xfId="0" applyFill="1" applyBorder="1"/>
    <xf numFmtId="14" fontId="0" fillId="8" borderId="22" xfId="0" applyNumberFormat="1" applyFill="1" applyBorder="1"/>
    <xf numFmtId="166" fontId="0" fillId="8" borderId="22" xfId="1" applyFont="1" applyFill="1" applyBorder="1"/>
    <xf numFmtId="165" fontId="0" fillId="8" borderId="22" xfId="2" applyFont="1" applyFill="1" applyBorder="1"/>
    <xf numFmtId="165" fontId="0" fillId="8" borderId="23" xfId="2" applyFont="1" applyFill="1" applyBorder="1"/>
    <xf numFmtId="167" fontId="2" fillId="0" borderId="2" xfId="1" applyNumberFormat="1" applyFont="1" applyBorder="1" applyAlignment="1">
      <alignment horizontal="center"/>
    </xf>
    <xf numFmtId="167" fontId="0" fillId="0" borderId="0" xfId="1" applyNumberFormat="1" applyFont="1" applyBorder="1"/>
    <xf numFmtId="166" fontId="0" fillId="0" borderId="0" xfId="1" applyFont="1" applyBorder="1"/>
    <xf numFmtId="167" fontId="1" fillId="0" borderId="0" xfId="1" applyNumberFormat="1" applyFont="1" applyBorder="1"/>
    <xf numFmtId="166" fontId="1" fillId="0" borderId="0" xfId="1" applyFont="1" applyBorder="1"/>
    <xf numFmtId="0" fontId="0" fillId="0" borderId="0" xfId="0" applyProtection="1">
      <protection hidden="1"/>
    </xf>
    <xf numFmtId="167" fontId="0" fillId="0" borderId="0" xfId="1" applyNumberFormat="1" applyFont="1" applyBorder="1" applyProtection="1">
      <protection hidden="1"/>
    </xf>
    <xf numFmtId="166" fontId="0" fillId="0" borderId="0" xfId="1" applyFont="1" applyBorder="1" applyProtection="1">
      <protection hidden="1"/>
    </xf>
    <xf numFmtId="167" fontId="8" fillId="0" borderId="0" xfId="1" applyNumberFormat="1" applyFont="1" applyBorder="1"/>
    <xf numFmtId="166" fontId="8" fillId="0" borderId="0" xfId="1" applyFont="1" applyBorder="1"/>
    <xf numFmtId="0" fontId="0" fillId="3" borderId="14" xfId="1" applyNumberFormat="1" applyFont="1" applyFill="1" applyBorder="1" applyProtection="1">
      <protection locked="0"/>
    </xf>
    <xf numFmtId="165" fontId="0" fillId="0" borderId="3" xfId="2" applyFont="1" applyBorder="1"/>
    <xf numFmtId="0" fontId="10" fillId="9" borderId="0" xfId="0" applyFont="1" applyFill="1" applyAlignment="1">
      <alignment horizontal="center"/>
    </xf>
    <xf numFmtId="165" fontId="0" fillId="0" borderId="0" xfId="2" applyFont="1"/>
    <xf numFmtId="165" fontId="2" fillId="0" borderId="24" xfId="2" applyFont="1" applyBorder="1" applyAlignment="1">
      <alignment horizontal="center"/>
    </xf>
    <xf numFmtId="165" fontId="0" fillId="0" borderId="25" xfId="2" applyFont="1" applyBorder="1"/>
    <xf numFmtId="165" fontId="0" fillId="0" borderId="1" xfId="2" applyFont="1" applyBorder="1"/>
    <xf numFmtId="0" fontId="11" fillId="10" borderId="1" xfId="0" applyFont="1" applyFill="1" applyBorder="1" applyAlignment="1" applyProtection="1">
      <alignment horizontal="left"/>
      <protection hidden="1"/>
    </xf>
    <xf numFmtId="0" fontId="0" fillId="10" borderId="3" xfId="0" applyFill="1" applyBorder="1" applyProtection="1">
      <protection hidden="1"/>
    </xf>
    <xf numFmtId="167" fontId="0" fillId="4" borderId="0" xfId="1" applyNumberFormat="1" applyFont="1" applyFill="1" applyBorder="1"/>
    <xf numFmtId="166" fontId="9" fillId="4" borderId="0" xfId="1" applyFont="1" applyFill="1" applyBorder="1"/>
    <xf numFmtId="167" fontId="9" fillId="4" borderId="0" xfId="1" applyNumberFormat="1" applyFont="1" applyFill="1" applyBorder="1"/>
    <xf numFmtId="0" fontId="9" fillId="4" borderId="0" xfId="0" applyFont="1" applyFill="1"/>
    <xf numFmtId="165" fontId="10" fillId="9" borderId="0" xfId="2" applyFont="1" applyFill="1" applyBorder="1" applyAlignment="1">
      <alignment horizontal="center"/>
    </xf>
    <xf numFmtId="0" fontId="11" fillId="10" borderId="3" xfId="0" applyFont="1" applyFill="1" applyBorder="1" applyAlignment="1" applyProtection="1">
      <alignment horizontal="left"/>
      <protection hidden="1"/>
    </xf>
    <xf numFmtId="0" fontId="4" fillId="2" borderId="2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168" fontId="0" fillId="10" borderId="3" xfId="2" applyNumberFormat="1" applyFont="1" applyFill="1" applyBorder="1" applyAlignment="1" applyProtection="1">
      <alignment horizontal="center"/>
      <protection hidden="1"/>
    </xf>
    <xf numFmtId="169" fontId="0" fillId="10" borderId="3" xfId="2" applyNumberFormat="1" applyFont="1" applyFill="1" applyBorder="1" applyAlignment="1" applyProtection="1">
      <alignment horizontal="center"/>
      <protection hidden="1"/>
    </xf>
    <xf numFmtId="167" fontId="0" fillId="4" borderId="0" xfId="0" applyNumberFormat="1" applyFill="1"/>
    <xf numFmtId="1" fontId="0" fillId="4" borderId="0" xfId="0" applyNumberFormat="1" applyFill="1" applyAlignment="1">
      <alignment horizontal="center"/>
    </xf>
    <xf numFmtId="166" fontId="0" fillId="4" borderId="0" xfId="1" applyFont="1" applyFill="1" applyBorder="1"/>
    <xf numFmtId="0" fontId="0" fillId="4" borderId="30" xfId="0" applyFill="1" applyBorder="1"/>
    <xf numFmtId="14" fontId="0" fillId="4" borderId="30" xfId="0" applyNumberFormat="1" applyFill="1" applyBorder="1"/>
    <xf numFmtId="167" fontId="0" fillId="4" borderId="30" xfId="1" applyNumberFormat="1" applyFont="1" applyFill="1" applyBorder="1"/>
    <xf numFmtId="166" fontId="0" fillId="4" borderId="30" xfId="1" applyFont="1" applyFill="1" applyBorder="1"/>
    <xf numFmtId="167" fontId="12" fillId="0" borderId="0" xfId="1" applyNumberFormat="1" applyFont="1" applyBorder="1"/>
    <xf numFmtId="166" fontId="12" fillId="0" borderId="0" xfId="1" applyFont="1" applyBorder="1"/>
    <xf numFmtId="0" fontId="4" fillId="0" borderId="0" xfId="0" applyFont="1" applyAlignment="1">
      <alignment horizontal="center"/>
    </xf>
    <xf numFmtId="165" fontId="4" fillId="0" borderId="0" xfId="2" applyFont="1" applyFill="1" applyBorder="1" applyAlignment="1">
      <alignment horizontal="center"/>
    </xf>
    <xf numFmtId="0" fontId="0" fillId="11" borderId="29" xfId="0" applyFill="1" applyBorder="1" applyProtection="1">
      <protection locked="0"/>
    </xf>
    <xf numFmtId="14" fontId="0" fillId="11" borderId="29" xfId="0" applyNumberFormat="1" applyFill="1" applyBorder="1" applyProtection="1">
      <protection locked="0"/>
    </xf>
    <xf numFmtId="164" fontId="12" fillId="0" borderId="0" xfId="2" applyNumberFormat="1" applyFont="1" applyProtection="1">
      <protection hidden="1"/>
    </xf>
    <xf numFmtId="166" fontId="12" fillId="0" borderId="0" xfId="1" applyFont="1" applyProtection="1">
      <protection hidden="1"/>
    </xf>
    <xf numFmtId="165" fontId="12" fillId="0" borderId="0" xfId="2" applyFont="1" applyProtection="1">
      <protection hidden="1"/>
    </xf>
    <xf numFmtId="165" fontId="12" fillId="0" borderId="4" xfId="2" applyFont="1" applyBorder="1" applyProtection="1">
      <protection hidden="1"/>
    </xf>
    <xf numFmtId="0" fontId="0" fillId="0" borderId="0" xfId="0" applyAlignment="1">
      <alignment horizontal="left"/>
    </xf>
    <xf numFmtId="170" fontId="0" fillId="0" borderId="0" xfId="0" applyNumberFormat="1"/>
    <xf numFmtId="170" fontId="0" fillId="0" borderId="0" xfId="0" applyNumberFormat="1" applyProtection="1">
      <protection hidden="1"/>
    </xf>
    <xf numFmtId="0" fontId="0" fillId="12" borderId="0" xfId="0" applyFill="1"/>
    <xf numFmtId="167" fontId="13" fillId="0" borderId="0" xfId="1" applyNumberFormat="1" applyFont="1" applyBorder="1"/>
    <xf numFmtId="166" fontId="13" fillId="0" borderId="0" xfId="1" applyFont="1" applyBorder="1"/>
    <xf numFmtId="0" fontId="3" fillId="13" borderId="0" xfId="3" applyFill="1"/>
    <xf numFmtId="166" fontId="3" fillId="4" borderId="0" xfId="3" applyNumberFormat="1" applyFill="1"/>
    <xf numFmtId="170" fontId="16" fillId="3" borderId="14" xfId="3" applyNumberFormat="1" applyFont="1" applyFill="1" applyBorder="1" applyProtection="1">
      <protection locked="0"/>
    </xf>
    <xf numFmtId="0" fontId="17" fillId="0" borderId="24" xfId="0" applyFont="1" applyBorder="1" applyAlignment="1">
      <alignment horizontal="center"/>
    </xf>
    <xf numFmtId="167" fontId="18" fillId="0" borderId="0" xfId="1" applyNumberFormat="1" applyFont="1" applyBorder="1"/>
    <xf numFmtId="166" fontId="18" fillId="0" borderId="0" xfId="1" applyFont="1" applyBorder="1"/>
    <xf numFmtId="165" fontId="0" fillId="0" borderId="0" xfId="2" applyFont="1" applyBorder="1" applyProtection="1">
      <protection hidden="1"/>
    </xf>
    <xf numFmtId="167" fontId="0" fillId="0" borderId="0" xfId="0" applyNumberFormat="1" applyProtection="1">
      <protection hidden="1"/>
    </xf>
    <xf numFmtId="164" fontId="0" fillId="0" borderId="0" xfId="2" applyNumberFormat="1" applyFont="1" applyBorder="1" applyProtection="1">
      <protection hidden="1"/>
    </xf>
    <xf numFmtId="164" fontId="0" fillId="0" borderId="0" xfId="2" applyNumberFormat="1" applyFont="1" applyProtection="1">
      <protection hidden="1"/>
    </xf>
    <xf numFmtId="165" fontId="0" fillId="0" borderId="0" xfId="2" applyFont="1" applyProtection="1">
      <protection hidden="1"/>
    </xf>
    <xf numFmtId="165" fontId="0" fillId="0" borderId="4" xfId="2" applyFont="1" applyBorder="1" applyProtection="1">
      <protection hidden="1"/>
    </xf>
    <xf numFmtId="165" fontId="0" fillId="0" borderId="26" xfId="2" applyFont="1" applyBorder="1" applyProtection="1">
      <protection hidden="1"/>
    </xf>
    <xf numFmtId="167" fontId="19" fillId="3" borderId="14" xfId="1" applyNumberFormat="1" applyFont="1" applyFill="1" applyBorder="1" applyProtection="1">
      <protection locked="0"/>
    </xf>
    <xf numFmtId="0" fontId="0" fillId="3" borderId="0" xfId="0" applyFill="1"/>
    <xf numFmtId="171" fontId="14" fillId="3" borderId="0" xfId="0" applyNumberFormat="1" applyFont="1" applyFill="1" applyAlignment="1">
      <alignment vertical="center"/>
    </xf>
    <xf numFmtId="0" fontId="16" fillId="14" borderId="0" xfId="0" applyFont="1" applyFill="1"/>
    <xf numFmtId="173" fontId="0" fillId="0" borderId="0" xfId="0" applyNumberFormat="1" applyProtection="1">
      <protection hidden="1"/>
    </xf>
    <xf numFmtId="166" fontId="0" fillId="0" borderId="0" xfId="0" applyNumberFormat="1" applyProtection="1">
      <protection hidden="1"/>
    </xf>
    <xf numFmtId="0" fontId="7" fillId="5" borderId="9" xfId="0" applyFont="1" applyFill="1" applyBorder="1" applyAlignment="1">
      <alignment horizontal="center"/>
    </xf>
    <xf numFmtId="0" fontId="7" fillId="5" borderId="10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171" fontId="14" fillId="3" borderId="0" xfId="0" applyNumberFormat="1" applyFont="1" applyFill="1" applyAlignment="1">
      <alignment horizontal="center" vertical="center"/>
    </xf>
    <xf numFmtId="172" fontId="15" fillId="3" borderId="0" xfId="0" applyNumberFormat="1" applyFont="1" applyFill="1" applyAlignment="1">
      <alignment horizontal="center" vertical="center"/>
    </xf>
    <xf numFmtId="174" fontId="15" fillId="3" borderId="0" xfId="0" applyNumberFormat="1" applyFont="1" applyFill="1" applyAlignment="1">
      <alignment horizontal="center" vertical="center"/>
    </xf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border diagonalUp="0" diagonalDown="0">
        <left style="hair">
          <color auto="1"/>
        </left>
        <right style="hair">
          <color auto="1"/>
        </right>
        <top/>
        <bottom style="hair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top style="thin">
          <color indexed="64"/>
        </top>
        <bottom style="hair">
          <color auto="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</dxf>
    <dxf>
      <numFmt numFmtId="170" formatCode="dd/mm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* #,##0.00_);_(* \(#,##0.00\);_(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_);\(&quot;R$&quot;#,##0.00\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_);\(&quot;R$&quot;#,##0.00\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R$&quot;* #,##0.00_);_(&quot;R$&quot;* \(#,##0.00\);_(&quot;R$&quot;* &quot;-&quot;??_);_(@_)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protection locked="1" hidden="1"/>
    </dxf>
    <dxf>
      <numFmt numFmtId="173" formatCode="m/d/yyyy"/>
      <protection locked="1" hidden="1"/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 tint="-0.14996795556505021"/>
      </font>
    </dxf>
    <dxf>
      <font>
        <color theme="0"/>
      </font>
    </dxf>
    <dxf>
      <font>
        <color theme="2" tint="-9.9948118533890809E-2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E6E6E6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2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16B3D85A-60E9-4B6D-98B8-9D8BA4DBC8F6}"/>
  </tableStyles>
  <colors>
    <mruColors>
      <color rgb="FFFFFF99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adastro de Produtos'!A1"/><Relationship Id="rId2" Type="http://schemas.openxmlformats.org/officeDocument/2006/relationships/hyperlink" Target="#'Cadastros Gerais'!A1"/><Relationship Id="rId1" Type="http://schemas.openxmlformats.org/officeDocument/2006/relationships/hyperlink" Target="#Menu!A1"/><Relationship Id="rId6" Type="http://schemas.openxmlformats.org/officeDocument/2006/relationships/image" Target="../media/image1.png"/><Relationship Id="rId5" Type="http://schemas.openxmlformats.org/officeDocument/2006/relationships/hyperlink" Target="#'Consulta Estoque'!A1"/><Relationship Id="rId4" Type="http://schemas.openxmlformats.org/officeDocument/2006/relationships/hyperlink" Target="#'Registro de Invent&#225;rio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Entrada e Sa&#237;da'!A1"/><Relationship Id="rId2" Type="http://schemas.openxmlformats.org/officeDocument/2006/relationships/hyperlink" Target="#'Cadastros Gerais'!A1"/><Relationship Id="rId1" Type="http://schemas.openxmlformats.org/officeDocument/2006/relationships/hyperlink" Target="#Menu!A1"/><Relationship Id="rId6" Type="http://schemas.openxmlformats.org/officeDocument/2006/relationships/image" Target="../media/image2.png"/><Relationship Id="rId5" Type="http://schemas.openxmlformats.org/officeDocument/2006/relationships/hyperlink" Target="#'Cadastro de Produtos'!A1"/><Relationship Id="rId4" Type="http://schemas.openxmlformats.org/officeDocument/2006/relationships/hyperlink" Target="#'Registro de Invent&#225;rio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sulta Estoque'!A1"/><Relationship Id="rId2" Type="http://schemas.openxmlformats.org/officeDocument/2006/relationships/hyperlink" Target="#'Entrada e Sa&#237;da'!A1"/><Relationship Id="rId1" Type="http://schemas.openxmlformats.org/officeDocument/2006/relationships/hyperlink" Target="#Menu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Registro de Invent&#225;rio'!A1"/><Relationship Id="rId2" Type="http://schemas.openxmlformats.org/officeDocument/2006/relationships/hyperlink" Target="#'Consulta Estoque'!A1"/><Relationship Id="rId1" Type="http://schemas.openxmlformats.org/officeDocument/2006/relationships/hyperlink" Target="#'Entrada e Sa&#237;da'!A1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Consulta Estoque'!A1"/><Relationship Id="rId2" Type="http://schemas.openxmlformats.org/officeDocument/2006/relationships/hyperlink" Target="#'Entrada e Sa&#237;da'!A1"/><Relationship Id="rId1" Type="http://schemas.openxmlformats.org/officeDocument/2006/relationships/hyperlink" Target="#Menu!A1"/><Relationship Id="rId6" Type="http://schemas.openxmlformats.org/officeDocument/2006/relationships/image" Target="../media/image5.png"/><Relationship Id="rId5" Type="http://schemas.openxmlformats.org/officeDocument/2006/relationships/hyperlink" Target="#'Cadastro de Produtos'!A1"/><Relationship Id="rId4" Type="http://schemas.openxmlformats.org/officeDocument/2006/relationships/hyperlink" Target="#'Registro de Invent&#225;rio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Registro de Invent&#225;rio'!A1"/><Relationship Id="rId2" Type="http://schemas.openxmlformats.org/officeDocument/2006/relationships/hyperlink" Target="#'Consulta Estoque'!A3"/><Relationship Id="rId1" Type="http://schemas.openxmlformats.org/officeDocument/2006/relationships/hyperlink" Target="#'Entrada e Sa&#237;da'!C3"/><Relationship Id="rId6" Type="http://schemas.openxmlformats.org/officeDocument/2006/relationships/image" Target="../media/image2.png"/><Relationship Id="rId5" Type="http://schemas.openxmlformats.org/officeDocument/2006/relationships/hyperlink" Target="#'Cadastros Gerais'!A1"/><Relationship Id="rId4" Type="http://schemas.openxmlformats.org/officeDocument/2006/relationships/hyperlink" Target="#'Cadastro de Produto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1571624</xdr:colOff>
      <xdr:row>17</xdr:row>
      <xdr:rowOff>59053</xdr:rowOff>
    </xdr:from>
    <xdr:to>
      <xdr:col>3</xdr:col>
      <xdr:colOff>1199</xdr:colOff>
      <xdr:row>19</xdr:row>
      <xdr:rowOff>63403</xdr:rowOff>
    </xdr:to>
    <xdr:sp macro="[0]!lsIncluirLancament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76749" y="3354703"/>
          <a:ext cx="2592000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  <a:r>
            <a:rPr lang="pt-BR" sz="1100" baseline="0"/>
            <a:t> lançamento</a:t>
          </a:r>
          <a:endParaRPr lang="pt-BR" sz="1100"/>
        </a:p>
      </xdr:txBody>
    </xdr:sp>
    <xdr:clientData/>
  </xdr:twoCellAnchor>
  <xdr:twoCellAnchor>
    <xdr:from>
      <xdr:col>0</xdr:col>
      <xdr:colOff>1043940</xdr:colOff>
      <xdr:row>0</xdr:row>
      <xdr:rowOff>28575</xdr:rowOff>
    </xdr:from>
    <xdr:to>
      <xdr:col>0</xdr:col>
      <xdr:colOff>1476375</xdr:colOff>
      <xdr:row>1</xdr:row>
      <xdr:rowOff>53340</xdr:rowOff>
    </xdr:to>
    <xdr:sp macro="" textlink="">
      <xdr:nvSpPr>
        <xdr:cNvPr id="3" name="Seta em curva para a esqu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43940" y="28575"/>
          <a:ext cx="432435" cy="466725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3135630</xdr:colOff>
      <xdr:row>7</xdr:row>
      <xdr:rowOff>19050</xdr:rowOff>
    </xdr:from>
    <xdr:to>
      <xdr:col>2</xdr:col>
      <xdr:colOff>4066142</xdr:colOff>
      <xdr:row>7</xdr:row>
      <xdr:rowOff>187570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40755" y="1409700"/>
          <a:ext cx="930512" cy="1685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>
              <a:solidFill>
                <a:srgbClr val="FF0000"/>
              </a:solidFill>
            </a:rPr>
            <a:t>ATENÇÃO !!!</a:t>
          </a:r>
        </a:p>
      </xdr:txBody>
    </xdr:sp>
    <xdr:clientData/>
  </xdr:twoCellAnchor>
  <xdr:twoCellAnchor editAs="absolute">
    <xdr:from>
      <xdr:col>0</xdr:col>
      <xdr:colOff>115374</xdr:colOff>
      <xdr:row>12</xdr:row>
      <xdr:rowOff>107410</xdr:rowOff>
    </xdr:from>
    <xdr:to>
      <xdr:col>0</xdr:col>
      <xdr:colOff>1555374</xdr:colOff>
      <xdr:row>15</xdr:row>
      <xdr:rowOff>75910</xdr:rowOff>
    </xdr:to>
    <xdr:sp macro="" textlink="">
      <xdr:nvSpPr>
        <xdr:cNvPr id="5" name="Retângulo de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5374" y="2450560"/>
          <a:ext cx="1440000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  <a:r>
            <a:rPr lang="pt-BR" sz="1000" baseline="0"/>
            <a:t> Gerais</a:t>
          </a:r>
          <a:endParaRPr lang="pt-BR" sz="1000"/>
        </a:p>
      </xdr:txBody>
    </xdr:sp>
    <xdr:clientData/>
  </xdr:twoCellAnchor>
  <xdr:twoCellAnchor editAs="absolute">
    <xdr:from>
      <xdr:col>0</xdr:col>
      <xdr:colOff>125958</xdr:colOff>
      <xdr:row>9</xdr:row>
      <xdr:rowOff>57361</xdr:rowOff>
    </xdr:from>
    <xdr:to>
      <xdr:col>0</xdr:col>
      <xdr:colOff>1565958</xdr:colOff>
      <xdr:row>12</xdr:row>
      <xdr:rowOff>25861</xdr:rowOff>
    </xdr:to>
    <xdr:sp macro="" textlink="">
      <xdr:nvSpPr>
        <xdr:cNvPr id="8" name="Retângulo de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25958" y="1829011"/>
          <a:ext cx="1440000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 de Produtos</a:t>
          </a:r>
        </a:p>
      </xdr:txBody>
    </xdr:sp>
    <xdr:clientData/>
  </xdr:twoCellAnchor>
  <xdr:twoCellAnchor editAs="absolute">
    <xdr:from>
      <xdr:col>0</xdr:col>
      <xdr:colOff>122978</xdr:colOff>
      <xdr:row>6</xdr:row>
      <xdr:rowOff>23378</xdr:rowOff>
    </xdr:from>
    <xdr:to>
      <xdr:col>0</xdr:col>
      <xdr:colOff>1562978</xdr:colOff>
      <xdr:row>8</xdr:row>
      <xdr:rowOff>182378</xdr:rowOff>
    </xdr:to>
    <xdr:sp macro="" textlink="">
      <xdr:nvSpPr>
        <xdr:cNvPr id="12" name="Retângulo de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22978" y="1223528"/>
          <a:ext cx="1440000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Registro</a:t>
          </a:r>
          <a:r>
            <a:rPr lang="pt-BR" sz="1000" baseline="0"/>
            <a:t> de Inventário</a:t>
          </a:r>
          <a:endParaRPr lang="pt-BR" sz="1000"/>
        </a:p>
      </xdr:txBody>
    </xdr:sp>
    <xdr:clientData/>
  </xdr:twoCellAnchor>
  <xdr:twoCellAnchor>
    <xdr:from>
      <xdr:col>0</xdr:col>
      <xdr:colOff>121919</xdr:colOff>
      <xdr:row>2</xdr:row>
      <xdr:rowOff>182879</xdr:rowOff>
    </xdr:from>
    <xdr:to>
      <xdr:col>0</xdr:col>
      <xdr:colOff>1561919</xdr:colOff>
      <xdr:row>5</xdr:row>
      <xdr:rowOff>151379</xdr:rowOff>
    </xdr:to>
    <xdr:sp macro="" textlink="">
      <xdr:nvSpPr>
        <xdr:cNvPr id="10" name="Retângulo de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21919" y="621029"/>
          <a:ext cx="1440000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 Estoque     Movimentações</a:t>
          </a:r>
        </a:p>
      </xdr:txBody>
    </xdr:sp>
    <xdr:clientData/>
  </xdr:twoCellAnchor>
  <xdr:twoCellAnchor>
    <xdr:from>
      <xdr:col>0</xdr:col>
      <xdr:colOff>1657349</xdr:colOff>
      <xdr:row>20</xdr:row>
      <xdr:rowOff>66675</xdr:rowOff>
    </xdr:from>
    <xdr:to>
      <xdr:col>2</xdr:col>
      <xdr:colOff>4152224</xdr:colOff>
      <xdr:row>21</xdr:row>
      <xdr:rowOff>152400</xdr:rowOff>
    </xdr:to>
    <xdr:sp macro="[0]!Localizar_codigo_saldo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657349" y="3648075"/>
          <a:ext cx="54000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/>
            <a:t>Código</a:t>
          </a:r>
          <a:r>
            <a:rPr lang="pt-BR" sz="1100" b="0" baseline="0"/>
            <a:t>                                         Produto                                         </a:t>
          </a:r>
          <a:r>
            <a:rPr lang="pt-BR" sz="1100" b="1"/>
            <a:t>Localizar item</a:t>
          </a:r>
          <a:r>
            <a:rPr lang="pt-BR" sz="1100" b="0"/>
            <a:t>          </a:t>
          </a:r>
        </a:p>
      </xdr:txBody>
    </xdr:sp>
    <xdr:clientData/>
  </xdr:twoCellAnchor>
  <xdr:twoCellAnchor>
    <xdr:from>
      <xdr:col>4</xdr:col>
      <xdr:colOff>9525</xdr:colOff>
      <xdr:row>20</xdr:row>
      <xdr:rowOff>66675</xdr:rowOff>
    </xdr:from>
    <xdr:to>
      <xdr:col>4</xdr:col>
      <xdr:colOff>885824</xdr:colOff>
      <xdr:row>22</xdr:row>
      <xdr:rowOff>203400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886700" y="3648075"/>
          <a:ext cx="876299" cy="432000"/>
        </a:xfrm>
        <a:prstGeom prst="rect">
          <a:avLst/>
        </a:prstGeom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Valor und</a:t>
          </a:r>
        </a:p>
      </xdr:txBody>
    </xdr:sp>
    <xdr:clientData/>
  </xdr:twoCellAnchor>
  <xdr:twoCellAnchor>
    <xdr:from>
      <xdr:col>3</xdr:col>
      <xdr:colOff>19050</xdr:colOff>
      <xdr:row>20</xdr:row>
      <xdr:rowOff>66675</xdr:rowOff>
    </xdr:from>
    <xdr:to>
      <xdr:col>4</xdr:col>
      <xdr:colOff>1425</xdr:colOff>
      <xdr:row>22</xdr:row>
      <xdr:rowOff>203498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7086600" y="3648075"/>
          <a:ext cx="792000" cy="432098"/>
        </a:xfrm>
        <a:prstGeom prst="rect">
          <a:avLst/>
        </a:prstGeom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Saldo</a:t>
          </a:r>
        </a:p>
      </xdr:txBody>
    </xdr:sp>
    <xdr:clientData/>
  </xdr:twoCellAnchor>
  <xdr:twoCellAnchor>
    <xdr:from>
      <xdr:col>0</xdr:col>
      <xdr:colOff>0</xdr:colOff>
      <xdr:row>20</xdr:row>
      <xdr:rowOff>66675</xdr:rowOff>
    </xdr:from>
    <xdr:to>
      <xdr:col>0</xdr:col>
      <xdr:colOff>1638300</xdr:colOff>
      <xdr:row>22</xdr:row>
      <xdr:rowOff>203498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3648075"/>
          <a:ext cx="1638300" cy="432098"/>
        </a:xfrm>
        <a:prstGeom prst="rect">
          <a:avLst/>
        </a:prstGeom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Detalhes</a:t>
          </a:r>
        </a:p>
      </xdr:txBody>
    </xdr:sp>
    <xdr:clientData/>
  </xdr:twoCellAnchor>
  <xdr:twoCellAnchor>
    <xdr:from>
      <xdr:col>3</xdr:col>
      <xdr:colOff>428625</xdr:colOff>
      <xdr:row>0</xdr:row>
      <xdr:rowOff>66675</xdr:rowOff>
    </xdr:from>
    <xdr:to>
      <xdr:col>4</xdr:col>
      <xdr:colOff>790575</xdr:colOff>
      <xdr:row>0</xdr:row>
      <xdr:rowOff>314325</xdr:rowOff>
    </xdr:to>
    <xdr:sp macro="[0]!EstaPasta_de_trabalho.TelaCheia_On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96175" y="66675"/>
          <a:ext cx="11715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/>
            <a:t>TELA</a:t>
          </a:r>
          <a:r>
            <a:rPr lang="pt-BR" sz="1100" b="0" baseline="0"/>
            <a:t> CHEIA _ on</a:t>
          </a:r>
          <a:endParaRPr lang="pt-BR" sz="1100" b="0"/>
        </a:p>
      </xdr:txBody>
    </xdr:sp>
    <xdr:clientData/>
  </xdr:twoCellAnchor>
  <xdr:twoCellAnchor>
    <xdr:from>
      <xdr:col>3</xdr:col>
      <xdr:colOff>438150</xdr:colOff>
      <xdr:row>1</xdr:row>
      <xdr:rowOff>85725</xdr:rowOff>
    </xdr:from>
    <xdr:to>
      <xdr:col>4</xdr:col>
      <xdr:colOff>800100</xdr:colOff>
      <xdr:row>3</xdr:row>
      <xdr:rowOff>28575</xdr:rowOff>
    </xdr:to>
    <xdr:sp macro="[0]!EstaPasta_de_trabalho.TelaCheia_Off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7505700" y="409575"/>
          <a:ext cx="11715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0"/>
            <a:t>TELA CHEIA _</a:t>
          </a:r>
          <a:r>
            <a:rPr lang="pt-BR" sz="1100" b="0" baseline="0"/>
            <a:t> off</a:t>
          </a:r>
          <a:endParaRPr lang="pt-BR" sz="1100" b="0"/>
        </a:p>
      </xdr:txBody>
    </xdr:sp>
    <xdr:clientData/>
  </xdr:twoCellAnchor>
  <xdr:twoCellAnchor editAs="oneCell">
    <xdr:from>
      <xdr:col>3</xdr:col>
      <xdr:colOff>723901</xdr:colOff>
      <xdr:row>3</xdr:row>
      <xdr:rowOff>104775</xdr:rowOff>
    </xdr:from>
    <xdr:to>
      <xdr:col>4</xdr:col>
      <xdr:colOff>485776</xdr:colOff>
      <xdr:row>6</xdr:row>
      <xdr:rowOff>109024</xdr:rowOff>
    </xdr:to>
    <xdr:pic macro="[0]!lsDesabilitar">
      <xdr:nvPicPr>
        <xdr:cNvPr id="2055" name="Picture 7" descr="http://1.bp.blogspot.com/-aGUs5-jVhHg/TrqAFLd_5JI/AAAAAAAAAXk/t9AfRiery0Y/s1600/logoff.png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791451" y="733425"/>
          <a:ext cx="571500" cy="575749"/>
        </a:xfrm>
        <a:prstGeom prst="rect">
          <a:avLst/>
        </a:prstGeom>
        <a:noFill/>
      </xdr:spPr>
    </xdr:pic>
    <xdr:clientData/>
  </xdr:twoCellAnchor>
  <xdr:twoCellAnchor>
    <xdr:from>
      <xdr:col>0</xdr:col>
      <xdr:colOff>1647825</xdr:colOff>
      <xdr:row>17</xdr:row>
      <xdr:rowOff>57149</xdr:rowOff>
    </xdr:from>
    <xdr:to>
      <xdr:col>2</xdr:col>
      <xdr:colOff>1334700</xdr:colOff>
      <xdr:row>19</xdr:row>
      <xdr:rowOff>61499</xdr:rowOff>
    </xdr:to>
    <xdr:sp macro="[0]!CADASTRAR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647825" y="3352799"/>
          <a:ext cx="2592000" cy="25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Cadastrar</a:t>
          </a:r>
          <a:r>
            <a:rPr lang="pt-BR" sz="1100" baseline="0"/>
            <a:t> novo Produto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3</xdr:row>
      <xdr:rowOff>57150</xdr:rowOff>
    </xdr:from>
    <xdr:to>
      <xdr:col>4</xdr:col>
      <xdr:colOff>814916</xdr:colOff>
      <xdr:row>6</xdr:row>
      <xdr:rowOff>21166</xdr:rowOff>
    </xdr:to>
    <xdr:sp macro="[0]!lsConsultaEstoque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938058" y="639233"/>
          <a:ext cx="729191" cy="546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Consultar Estoque</a:t>
          </a:r>
        </a:p>
      </xdr:txBody>
    </xdr:sp>
    <xdr:clientData/>
  </xdr:twoCellAnchor>
  <xdr:twoCellAnchor>
    <xdr:from>
      <xdr:col>4</xdr:col>
      <xdr:colOff>158750</xdr:colOff>
      <xdr:row>1</xdr:row>
      <xdr:rowOff>42333</xdr:rowOff>
    </xdr:from>
    <xdr:to>
      <xdr:col>4</xdr:col>
      <xdr:colOff>406400</xdr:colOff>
      <xdr:row>2</xdr:row>
      <xdr:rowOff>174624</xdr:rowOff>
    </xdr:to>
    <xdr:sp macro="" textlink="">
      <xdr:nvSpPr>
        <xdr:cNvPr id="3" name="Seta em curva para a esqu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857750" y="243416"/>
          <a:ext cx="247650" cy="333375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1100674</xdr:colOff>
      <xdr:row>3</xdr:row>
      <xdr:rowOff>96614</xdr:rowOff>
    </xdr:from>
    <xdr:to>
      <xdr:col>7</xdr:col>
      <xdr:colOff>342638</xdr:colOff>
      <xdr:row>6</xdr:row>
      <xdr:rowOff>27549</xdr:rowOff>
    </xdr:to>
    <xdr:sp macro="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979591" y="678697"/>
          <a:ext cx="963078" cy="51301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Cadastros</a:t>
          </a:r>
          <a:r>
            <a:rPr lang="pt-BR" sz="1000" baseline="0"/>
            <a:t> Gerais</a:t>
          </a:r>
          <a:endParaRPr lang="pt-BR" sz="1000"/>
        </a:p>
      </xdr:txBody>
    </xdr:sp>
    <xdr:clientData/>
  </xdr:twoCellAnchor>
  <xdr:twoCellAnchor editAs="absolute">
    <xdr:from>
      <xdr:col>5</xdr:col>
      <xdr:colOff>137573</xdr:colOff>
      <xdr:row>0</xdr:row>
      <xdr:rowOff>74081</xdr:rowOff>
    </xdr:from>
    <xdr:to>
      <xdr:col>5</xdr:col>
      <xdr:colOff>1016010</xdr:colOff>
      <xdr:row>3</xdr:row>
      <xdr:rowOff>4675</xdr:rowOff>
    </xdr:to>
    <xdr:sp macro="" textlink="">
      <xdr:nvSpPr>
        <xdr:cNvPr id="5" name="Retângulo de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16490" y="74081"/>
          <a:ext cx="878437" cy="512677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Entrada e Saída</a:t>
          </a:r>
        </a:p>
      </xdr:txBody>
    </xdr:sp>
    <xdr:clientData/>
  </xdr:twoCellAnchor>
  <xdr:twoCellAnchor editAs="absolute">
    <xdr:from>
      <xdr:col>5</xdr:col>
      <xdr:colOff>148156</xdr:colOff>
      <xdr:row>3</xdr:row>
      <xdr:rowOff>94497</xdr:rowOff>
    </xdr:from>
    <xdr:to>
      <xdr:col>5</xdr:col>
      <xdr:colOff>1026593</xdr:colOff>
      <xdr:row>6</xdr:row>
      <xdr:rowOff>25432</xdr:rowOff>
    </xdr:to>
    <xdr:sp macro="" textlink="">
      <xdr:nvSpPr>
        <xdr:cNvPr id="6" name="Retângulo de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027073" y="676580"/>
          <a:ext cx="878437" cy="513019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Registro</a:t>
          </a:r>
          <a:r>
            <a:rPr lang="pt-BR" sz="1000" baseline="0"/>
            <a:t> de Inventário</a:t>
          </a:r>
          <a:endParaRPr lang="pt-BR" sz="1000"/>
        </a:p>
      </xdr:txBody>
    </xdr:sp>
    <xdr:clientData/>
  </xdr:twoCellAnchor>
  <xdr:twoCellAnchor editAs="absolute">
    <xdr:from>
      <xdr:col>5</xdr:col>
      <xdr:colOff>1111257</xdr:colOff>
      <xdr:row>0</xdr:row>
      <xdr:rowOff>85723</xdr:rowOff>
    </xdr:from>
    <xdr:to>
      <xdr:col>7</xdr:col>
      <xdr:colOff>342638</xdr:colOff>
      <xdr:row>3</xdr:row>
      <xdr:rowOff>16317</xdr:rowOff>
    </xdr:to>
    <xdr:sp macro="" textlink="">
      <xdr:nvSpPr>
        <xdr:cNvPr id="7" name="Retângulo de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990174" y="85723"/>
          <a:ext cx="952495" cy="512677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Cadastro de Produtos</a:t>
          </a:r>
        </a:p>
      </xdr:txBody>
    </xdr:sp>
    <xdr:clientData/>
  </xdr:twoCellAnchor>
  <xdr:twoCellAnchor editAs="oneCell">
    <xdr:from>
      <xdr:col>7</xdr:col>
      <xdr:colOff>333375</xdr:colOff>
      <xdr:row>0</xdr:row>
      <xdr:rowOff>119062</xdr:rowOff>
    </xdr:from>
    <xdr:to>
      <xdr:col>8</xdr:col>
      <xdr:colOff>0</xdr:colOff>
      <xdr:row>3</xdr:row>
      <xdr:rowOff>943</xdr:rowOff>
    </xdr:to>
    <xdr:pic macro="[0]!lsDesabilitar">
      <xdr:nvPicPr>
        <xdr:cNvPr id="8" name="Picture 1" descr="http://1.bp.blogspot.com/-aGUs5-jVhHg/TrqAFLd_5JI/AAAAAAAAAXk/t9AfRiery0Y/s1600/logoff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917531" y="119062"/>
          <a:ext cx="467591" cy="465287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0</xdr:row>
      <xdr:rowOff>57150</xdr:rowOff>
    </xdr:from>
    <xdr:to>
      <xdr:col>11</xdr:col>
      <xdr:colOff>371475</xdr:colOff>
      <xdr:row>0</xdr:row>
      <xdr:rowOff>390525</xdr:rowOff>
    </xdr:to>
    <xdr:sp macro="" textlink="">
      <xdr:nvSpPr>
        <xdr:cNvPr id="2" name="Seta em curva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077450" y="57150"/>
          <a:ext cx="247650" cy="333375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0</xdr:row>
      <xdr:rowOff>47624</xdr:rowOff>
    </xdr:from>
    <xdr:to>
      <xdr:col>0</xdr:col>
      <xdr:colOff>800100</xdr:colOff>
      <xdr:row>0</xdr:row>
      <xdr:rowOff>371475</xdr:rowOff>
    </xdr:to>
    <xdr:sp macro="" textlink="">
      <xdr:nvSpPr>
        <xdr:cNvPr id="3" name="Seta em curva para a esqu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400" y="47624"/>
          <a:ext cx="647700" cy="323851"/>
        </a:xfrm>
        <a:prstGeom prst="curvedLef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0</xdr:colOff>
      <xdr:row>0</xdr:row>
      <xdr:rowOff>1</xdr:rowOff>
    </xdr:from>
    <xdr:to>
      <xdr:col>1</xdr:col>
      <xdr:colOff>1362649</xdr:colOff>
      <xdr:row>0</xdr:row>
      <xdr:rowOff>219075</xdr:rowOff>
    </xdr:to>
    <xdr:sp macro="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62853" y="1"/>
          <a:ext cx="1362649" cy="21907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Entrada e Saída</a:t>
          </a:r>
        </a:p>
      </xdr:txBody>
    </xdr:sp>
    <xdr:clientData/>
  </xdr:twoCellAnchor>
  <xdr:twoCellAnchor editAs="absolute">
    <xdr:from>
      <xdr:col>2</xdr:col>
      <xdr:colOff>31951</xdr:colOff>
      <xdr:row>0</xdr:row>
      <xdr:rowOff>1</xdr:rowOff>
    </xdr:from>
    <xdr:to>
      <xdr:col>3</xdr:col>
      <xdr:colOff>374290</xdr:colOff>
      <xdr:row>0</xdr:row>
      <xdr:rowOff>219075</xdr:rowOff>
    </xdr:to>
    <xdr:sp macro="" textlink="">
      <xdr:nvSpPr>
        <xdr:cNvPr id="5" name="Retângulo de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273127" y="1"/>
          <a:ext cx="1362075" cy="21907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 Estoque</a:t>
          </a:r>
        </a:p>
      </xdr:txBody>
    </xdr:sp>
    <xdr:clientData/>
  </xdr:twoCellAnchor>
  <xdr:twoCellAnchor editAs="oneCell">
    <xdr:from>
      <xdr:col>3</xdr:col>
      <xdr:colOff>426321</xdr:colOff>
      <xdr:row>0</xdr:row>
      <xdr:rowOff>0</xdr:rowOff>
    </xdr:from>
    <xdr:to>
      <xdr:col>4</xdr:col>
      <xdr:colOff>91477</xdr:colOff>
      <xdr:row>0</xdr:row>
      <xdr:rowOff>268941</xdr:rowOff>
    </xdr:to>
    <xdr:pic macro="[0]!lsDesabilitar">
      <xdr:nvPicPr>
        <xdr:cNvPr id="6" name="Picture 1" descr="http://1.bp.blogspot.com/-aGUs5-jVhHg/TrqAFLd_5JI/AAAAAAAAAXk/t9AfRiery0Y/s1600/logoff.pn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687233" y="0"/>
          <a:ext cx="270273" cy="268941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238125</xdr:colOff>
      <xdr:row>0</xdr:row>
      <xdr:rowOff>22953</xdr:rowOff>
    </xdr:from>
    <xdr:to>
      <xdr:col>1</xdr:col>
      <xdr:colOff>1418426</xdr:colOff>
      <xdr:row>0</xdr:row>
      <xdr:rowOff>382953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38125" y="22953"/>
          <a:ext cx="180000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Entrada e Saída</a:t>
          </a:r>
        </a:p>
      </xdr:txBody>
    </xdr:sp>
    <xdr:clientData/>
  </xdr:twoCellAnchor>
  <xdr:twoCellAnchor editAs="absolute">
    <xdr:from>
      <xdr:col>1</xdr:col>
      <xdr:colOff>1487740</xdr:colOff>
      <xdr:row>0</xdr:row>
      <xdr:rowOff>22953</xdr:rowOff>
    </xdr:from>
    <xdr:to>
      <xdr:col>1</xdr:col>
      <xdr:colOff>3287740</xdr:colOff>
      <xdr:row>0</xdr:row>
      <xdr:rowOff>382953</xdr:rowOff>
    </xdr:to>
    <xdr:sp macro="" textlink="">
      <xdr:nvSpPr>
        <xdr:cNvPr id="4" name="Retângulo de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07439" y="22953"/>
          <a:ext cx="180000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 Estoque</a:t>
          </a:r>
        </a:p>
      </xdr:txBody>
    </xdr:sp>
    <xdr:clientData/>
  </xdr:twoCellAnchor>
  <xdr:twoCellAnchor editAs="absolute">
    <xdr:from>
      <xdr:col>1</xdr:col>
      <xdr:colOff>3324003</xdr:colOff>
      <xdr:row>0</xdr:row>
      <xdr:rowOff>22952</xdr:rowOff>
    </xdr:from>
    <xdr:to>
      <xdr:col>2</xdr:col>
      <xdr:colOff>682829</xdr:colOff>
      <xdr:row>0</xdr:row>
      <xdr:rowOff>382952</xdr:rowOff>
    </xdr:to>
    <xdr:sp macro="" textlink="">
      <xdr:nvSpPr>
        <xdr:cNvPr id="5" name="Retângulo de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943702" y="22952"/>
          <a:ext cx="180000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Registro</a:t>
          </a:r>
          <a:r>
            <a:rPr lang="pt-BR" sz="1100" baseline="0"/>
            <a:t> de Inventário</a:t>
          </a:r>
          <a:endParaRPr lang="pt-BR" sz="1100"/>
        </a:p>
      </xdr:txBody>
    </xdr:sp>
    <xdr:clientData/>
  </xdr:twoCellAnchor>
  <xdr:twoCellAnchor editAs="oneCell">
    <xdr:from>
      <xdr:col>3</xdr:col>
      <xdr:colOff>1273850</xdr:colOff>
      <xdr:row>0</xdr:row>
      <xdr:rowOff>34428</xdr:rowOff>
    </xdr:from>
    <xdr:to>
      <xdr:col>4</xdr:col>
      <xdr:colOff>208409</xdr:colOff>
      <xdr:row>0</xdr:row>
      <xdr:rowOff>401657</xdr:rowOff>
    </xdr:to>
    <xdr:pic macro="[0]!lsDesabilitar">
      <xdr:nvPicPr>
        <xdr:cNvPr id="6" name="Picture 1" descr="http://1.bp.blogspot.com/-aGUs5-jVhHg/TrqAFLd_5JI/AAAAAAAAAXk/t9AfRiery0Y/s1600/logoff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734784" y="34428"/>
          <a:ext cx="369047" cy="367229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734464</xdr:colOff>
      <xdr:row>0</xdr:row>
      <xdr:rowOff>22952</xdr:rowOff>
    </xdr:from>
    <xdr:to>
      <xdr:col>3</xdr:col>
      <xdr:colOff>1134403</xdr:colOff>
      <xdr:row>0</xdr:row>
      <xdr:rowOff>382952</xdr:rowOff>
    </xdr:to>
    <xdr:sp macro="[0]!CADASTRAR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795337" y="22952"/>
          <a:ext cx="1800000" cy="36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  <a:r>
            <a:rPr lang="pt-BR" sz="1100" baseline="0"/>
            <a:t> Novo Produto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47625</xdr:rowOff>
    </xdr:from>
    <xdr:to>
      <xdr:col>2</xdr:col>
      <xdr:colOff>323850</xdr:colOff>
      <xdr:row>0</xdr:row>
      <xdr:rowOff>381000</xdr:rowOff>
    </xdr:to>
    <xdr:sp macro="" textlink="">
      <xdr:nvSpPr>
        <xdr:cNvPr id="2" name="Seta em curva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067050" y="47625"/>
          <a:ext cx="247650" cy="333375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0</xdr:colOff>
      <xdr:row>1</xdr:row>
      <xdr:rowOff>9525</xdr:rowOff>
    </xdr:from>
    <xdr:to>
      <xdr:col>5</xdr:col>
      <xdr:colOff>219075</xdr:colOff>
      <xdr:row>3</xdr:row>
      <xdr:rowOff>133350</xdr:rowOff>
    </xdr:to>
    <xdr:sp macro="" textlink="">
      <xdr:nvSpPr>
        <xdr:cNvPr id="3" name="Retângulo de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600450" y="409575"/>
          <a:ext cx="1438275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Entrada e Saída</a:t>
          </a:r>
        </a:p>
      </xdr:txBody>
    </xdr:sp>
    <xdr:clientData/>
  </xdr:twoCellAnchor>
  <xdr:twoCellAnchor>
    <xdr:from>
      <xdr:col>3</xdr:col>
      <xdr:colOff>9525</xdr:colOff>
      <xdr:row>4</xdr:row>
      <xdr:rowOff>28575</xdr:rowOff>
    </xdr:from>
    <xdr:to>
      <xdr:col>5</xdr:col>
      <xdr:colOff>228600</xdr:colOff>
      <xdr:row>6</xdr:row>
      <xdr:rowOff>152400</xdr:rowOff>
    </xdr:to>
    <xdr:sp macro="" textlink="">
      <xdr:nvSpPr>
        <xdr:cNvPr id="4" name="Retângulo de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09975" y="1000125"/>
          <a:ext cx="1438275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 Estoque</a:t>
          </a:r>
        </a:p>
      </xdr:txBody>
    </xdr:sp>
    <xdr:clientData/>
  </xdr:twoCellAnchor>
  <xdr:twoCellAnchor>
    <xdr:from>
      <xdr:col>3</xdr:col>
      <xdr:colOff>9525</xdr:colOff>
      <xdr:row>7</xdr:row>
      <xdr:rowOff>28575</xdr:rowOff>
    </xdr:from>
    <xdr:to>
      <xdr:col>5</xdr:col>
      <xdr:colOff>228600</xdr:colOff>
      <xdr:row>9</xdr:row>
      <xdr:rowOff>152400</xdr:rowOff>
    </xdr:to>
    <xdr:sp macro="" textlink="">
      <xdr:nvSpPr>
        <xdr:cNvPr id="5" name="Retângulo de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609975" y="1571625"/>
          <a:ext cx="1438275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Registro</a:t>
          </a:r>
          <a:r>
            <a:rPr lang="pt-BR" sz="1100" baseline="0"/>
            <a:t> de Inventário</a:t>
          </a:r>
          <a:endParaRPr lang="pt-BR" sz="1100"/>
        </a:p>
      </xdr:txBody>
    </xdr:sp>
    <xdr:clientData/>
  </xdr:twoCellAnchor>
  <xdr:twoCellAnchor>
    <xdr:from>
      <xdr:col>6</xdr:col>
      <xdr:colOff>238125</xdr:colOff>
      <xdr:row>1</xdr:row>
      <xdr:rowOff>0</xdr:rowOff>
    </xdr:from>
    <xdr:to>
      <xdr:col>8</xdr:col>
      <xdr:colOff>457200</xdr:colOff>
      <xdr:row>3</xdr:row>
      <xdr:rowOff>123825</xdr:rowOff>
    </xdr:to>
    <xdr:sp macro="" textlink="">
      <xdr:nvSpPr>
        <xdr:cNvPr id="6" name="Retângulo de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667375" y="400050"/>
          <a:ext cx="1438275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 de Produtos</a:t>
          </a:r>
        </a:p>
      </xdr:txBody>
    </xdr:sp>
    <xdr:clientData/>
  </xdr:twoCellAnchor>
  <xdr:twoCellAnchor editAs="oneCell">
    <xdr:from>
      <xdr:col>7</xdr:col>
      <xdr:colOff>161925</xdr:colOff>
      <xdr:row>4</xdr:row>
      <xdr:rowOff>57150</xdr:rowOff>
    </xdr:from>
    <xdr:to>
      <xdr:col>8</xdr:col>
      <xdr:colOff>19916</xdr:colOff>
      <xdr:row>6</xdr:row>
      <xdr:rowOff>141437</xdr:rowOff>
    </xdr:to>
    <xdr:pic macro="[0]!lsDesabilitar">
      <xdr:nvPicPr>
        <xdr:cNvPr id="7" name="Picture 1" descr="http://1.bp.blogspot.com/-aGUs5-jVhHg/TrqAFLd_5JI/AAAAAAAAAXk/t9AfRiery0Y/s1600/logoff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6200775" y="1028700"/>
          <a:ext cx="467591" cy="465287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85725</xdr:colOff>
      <xdr:row>1</xdr:row>
      <xdr:rowOff>95250</xdr:rowOff>
    </xdr:from>
    <xdr:to>
      <xdr:col>5</xdr:col>
      <xdr:colOff>553316</xdr:colOff>
      <xdr:row>3</xdr:row>
      <xdr:rowOff>179537</xdr:rowOff>
    </xdr:to>
    <xdr:pic macro="[0]!lsDesabilitar">
      <xdr:nvPicPr>
        <xdr:cNvPr id="2" name="Picture 1" descr="http://1.bp.blogspot.com/-aGUs5-jVhHg/TrqAFLd_5JI/AAAAAAAAAXk/t9AfRiery0Y/s1600/logoff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38650" y="285750"/>
          <a:ext cx="467591" cy="465287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98853</xdr:colOff>
      <xdr:row>11</xdr:row>
      <xdr:rowOff>54558</xdr:rowOff>
    </xdr:from>
    <xdr:to>
      <xdr:col>16</xdr:col>
      <xdr:colOff>118832</xdr:colOff>
      <xdr:row>15</xdr:row>
      <xdr:rowOff>5740</xdr:rowOff>
    </xdr:to>
    <xdr:sp macro="" textlink="">
      <xdr:nvSpPr>
        <xdr:cNvPr id="2" name="Retângulo de cantos arredondados 1">
          <a:hlinkClick xmlns:r="http://schemas.openxmlformats.org/officeDocument/2006/relationships" r:id="rId1" tooltip="Entrada e Saída Consulta de Estoque 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856648" y="1942240"/>
          <a:ext cx="2280002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Entrada e Saída                            Consulta de Estoque</a:t>
          </a:r>
        </a:p>
      </xdr:txBody>
    </xdr:sp>
    <xdr:clientData/>
  </xdr:twoCellAnchor>
  <xdr:twoCellAnchor editAs="absolute">
    <xdr:from>
      <xdr:col>7</xdr:col>
      <xdr:colOff>99719</xdr:colOff>
      <xdr:row>15</xdr:row>
      <xdr:rowOff>60042</xdr:rowOff>
    </xdr:from>
    <xdr:to>
      <xdr:col>16</xdr:col>
      <xdr:colOff>119698</xdr:colOff>
      <xdr:row>19</xdr:row>
      <xdr:rowOff>11224</xdr:rowOff>
    </xdr:to>
    <xdr:sp macro="" textlink="">
      <xdr:nvSpPr>
        <xdr:cNvPr id="3" name="Retângulo de cantos arredondados 2">
          <a:hlinkClick xmlns:r="http://schemas.openxmlformats.org/officeDocument/2006/relationships" r:id="rId2" tooltip="Consulta de Estoque e Lançamentos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57514" y="2536542"/>
          <a:ext cx="2280002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 Estoque       Movimentações</a:t>
          </a:r>
        </a:p>
      </xdr:txBody>
    </xdr:sp>
    <xdr:clientData/>
  </xdr:twoCellAnchor>
  <xdr:twoCellAnchor editAs="absolute">
    <xdr:from>
      <xdr:col>7</xdr:col>
      <xdr:colOff>99719</xdr:colOff>
      <xdr:row>19</xdr:row>
      <xdr:rowOff>65526</xdr:rowOff>
    </xdr:from>
    <xdr:to>
      <xdr:col>16</xdr:col>
      <xdr:colOff>119698</xdr:colOff>
      <xdr:row>23</xdr:row>
      <xdr:rowOff>16708</xdr:rowOff>
    </xdr:to>
    <xdr:sp macro="" textlink="">
      <xdr:nvSpPr>
        <xdr:cNvPr id="4" name="Retângulo de cantos arredondados 3">
          <a:hlinkClick xmlns:r="http://schemas.openxmlformats.org/officeDocument/2006/relationships" r:id="rId3" tooltip="Registro de Inventário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857514" y="3130844"/>
          <a:ext cx="2280002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Registro</a:t>
          </a:r>
          <a:r>
            <a:rPr lang="pt-BR" sz="1100" baseline="0"/>
            <a:t> de Inventário</a:t>
          </a:r>
          <a:endParaRPr lang="pt-BR" sz="1100"/>
        </a:p>
      </xdr:txBody>
    </xdr:sp>
    <xdr:clientData/>
  </xdr:twoCellAnchor>
  <xdr:twoCellAnchor editAs="absolute">
    <xdr:from>
      <xdr:col>17</xdr:col>
      <xdr:colOff>162058</xdr:colOff>
      <xdr:row>11</xdr:row>
      <xdr:rowOff>53693</xdr:rowOff>
    </xdr:from>
    <xdr:to>
      <xdr:col>26</xdr:col>
      <xdr:colOff>182037</xdr:colOff>
      <xdr:row>15</xdr:row>
      <xdr:rowOff>4875</xdr:rowOff>
    </xdr:to>
    <xdr:sp macro="" textlink="">
      <xdr:nvSpPr>
        <xdr:cNvPr id="5" name="Retângulo de cantos arredondados 4">
          <a:hlinkClick xmlns:r="http://schemas.openxmlformats.org/officeDocument/2006/relationships" r:id="rId4" tooltip="Cadastro de Produtos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430990" y="1941375"/>
          <a:ext cx="2280002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 de Produtos</a:t>
          </a:r>
        </a:p>
      </xdr:txBody>
    </xdr:sp>
    <xdr:clientData/>
  </xdr:twoCellAnchor>
  <xdr:twoCellAnchor editAs="absolute">
    <xdr:from>
      <xdr:col>17</xdr:col>
      <xdr:colOff>161192</xdr:colOff>
      <xdr:row>15</xdr:row>
      <xdr:rowOff>58311</xdr:rowOff>
    </xdr:from>
    <xdr:to>
      <xdr:col>26</xdr:col>
      <xdr:colOff>181171</xdr:colOff>
      <xdr:row>19</xdr:row>
      <xdr:rowOff>9493</xdr:rowOff>
    </xdr:to>
    <xdr:sp macro="" textlink="">
      <xdr:nvSpPr>
        <xdr:cNvPr id="6" name="Retângulo de cantos arredondados 5">
          <a:hlinkClick xmlns:r="http://schemas.openxmlformats.org/officeDocument/2006/relationships" r:id="rId5" tooltip="Cadastros Gerais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4430124" y="2534811"/>
          <a:ext cx="2280002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Cadastros</a:t>
          </a:r>
          <a:r>
            <a:rPr lang="pt-BR" sz="1100" baseline="0"/>
            <a:t> Gerais</a:t>
          </a:r>
          <a:endParaRPr lang="pt-BR" sz="1100"/>
        </a:p>
      </xdr:txBody>
    </xdr:sp>
    <xdr:clientData/>
  </xdr:twoCellAnchor>
  <xdr:oneCellAnchor>
    <xdr:from>
      <xdr:col>4</xdr:col>
      <xdr:colOff>224189</xdr:colOff>
      <xdr:row>1</xdr:row>
      <xdr:rowOff>29445</xdr:rowOff>
    </xdr:from>
    <xdr:ext cx="6024021" cy="745039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228644" y="445081"/>
          <a:ext cx="6024021" cy="74503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accent1">
                  <a:lumMod val="40000"/>
                  <a:lumOff val="60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Controle</a:t>
          </a:r>
          <a:r>
            <a:rPr lang="pt-BR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</a:t>
          </a:r>
          <a:r>
            <a:rPr lang="pt-BR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accent1">
                  <a:lumMod val="40000"/>
                  <a:lumOff val="60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 Estoque</a:t>
          </a:r>
        </a:p>
      </xdr:txBody>
    </xdr:sp>
    <xdr:clientData/>
  </xdr:oneCellAnchor>
  <xdr:twoCellAnchor editAs="absolute">
    <xdr:from>
      <xdr:col>17</xdr:col>
      <xdr:colOff>164658</xdr:colOff>
      <xdr:row>19</xdr:row>
      <xdr:rowOff>64085</xdr:rowOff>
    </xdr:from>
    <xdr:to>
      <xdr:col>26</xdr:col>
      <xdr:colOff>184637</xdr:colOff>
      <xdr:row>23</xdr:row>
      <xdr:rowOff>15267</xdr:rowOff>
    </xdr:to>
    <xdr:sp macro="[0]!EstaPasta_de_trabalho.TelaCheia_On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433590" y="3129403"/>
          <a:ext cx="2280002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Ativar Tela Cheia</a:t>
          </a:r>
        </a:p>
      </xdr:txBody>
    </xdr:sp>
    <xdr:clientData/>
  </xdr:twoCellAnchor>
  <xdr:twoCellAnchor editAs="absolute">
    <xdr:from>
      <xdr:col>17</xdr:col>
      <xdr:colOff>173317</xdr:colOff>
      <xdr:row>23</xdr:row>
      <xdr:rowOff>81407</xdr:rowOff>
    </xdr:from>
    <xdr:to>
      <xdr:col>26</xdr:col>
      <xdr:colOff>193296</xdr:colOff>
      <xdr:row>27</xdr:row>
      <xdr:rowOff>32588</xdr:rowOff>
    </xdr:to>
    <xdr:sp macro="[0]!EstaPasta_de_trabalho.TelaCheia_Off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442249" y="3735543"/>
          <a:ext cx="2280002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Desativar Tela Cheia</a:t>
          </a:r>
        </a:p>
      </xdr:txBody>
    </xdr:sp>
    <xdr:clientData/>
  </xdr:twoCellAnchor>
  <xdr:twoCellAnchor>
    <xdr:from>
      <xdr:col>5</xdr:col>
      <xdr:colOff>181840</xdr:colOff>
      <xdr:row>9</xdr:row>
      <xdr:rowOff>147200</xdr:rowOff>
    </xdr:from>
    <xdr:to>
      <xdr:col>28</xdr:col>
      <xdr:colOff>69273</xdr:colOff>
      <xdr:row>31</xdr:row>
      <xdr:rowOff>8659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437408" y="1740473"/>
          <a:ext cx="5663047" cy="3099959"/>
        </a:xfrm>
        <a:prstGeom prst="roundRect">
          <a:avLst/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4</xdr:col>
      <xdr:colOff>172603</xdr:colOff>
      <xdr:row>2</xdr:row>
      <xdr:rowOff>13856</xdr:rowOff>
    </xdr:from>
    <xdr:to>
      <xdr:col>28</xdr:col>
      <xdr:colOff>238989</xdr:colOff>
      <xdr:row>7</xdr:row>
      <xdr:rowOff>57150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177058" y="576697"/>
          <a:ext cx="6093113" cy="779317"/>
        </a:xfrm>
        <a:prstGeom prst="roundRect">
          <a:avLst/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7</xdr:col>
      <xdr:colOff>112706</xdr:colOff>
      <xdr:row>23</xdr:row>
      <xdr:rowOff>77934</xdr:rowOff>
    </xdr:from>
    <xdr:to>
      <xdr:col>16</xdr:col>
      <xdr:colOff>132685</xdr:colOff>
      <xdr:row>27</xdr:row>
      <xdr:rowOff>29115</xdr:rowOff>
    </xdr:to>
    <xdr:sp macro="[0]!lsShow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870501" y="3732070"/>
          <a:ext cx="2280002" cy="5400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Login Usuário</a:t>
          </a:r>
        </a:p>
      </xdr:txBody>
    </xdr:sp>
    <xdr:clientData/>
  </xdr:twoCellAnchor>
  <xdr:twoCellAnchor editAs="oneCell">
    <xdr:from>
      <xdr:col>1</xdr:col>
      <xdr:colOff>121227</xdr:colOff>
      <xdr:row>32</xdr:row>
      <xdr:rowOff>43298</xdr:rowOff>
    </xdr:from>
    <xdr:to>
      <xdr:col>3</xdr:col>
      <xdr:colOff>86591</xdr:colOff>
      <xdr:row>35</xdr:row>
      <xdr:rowOff>66971</xdr:rowOff>
    </xdr:to>
    <xdr:pic macro="[0]!lsDesabilitar">
      <xdr:nvPicPr>
        <xdr:cNvPr id="1025" name="Picture 1" descr="http://1.bp.blogspot.com/-aGUs5-jVhHg/TrqAFLd_5JI/AAAAAAAAAXk/t9AfRiery0Y/s1600/logoff.png">
          <a:extLst>
            <a:ext uri="{FF2B5EF4-FFF2-40B4-BE49-F238E27FC236}">
              <a16:creationId xmlns:a16="http://schemas.microsoft.com/office/drawing/2014/main" id="{00000000-0008-0000-06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372341" y="5022275"/>
          <a:ext cx="467591" cy="465287"/>
        </a:xfrm>
        <a:prstGeom prst="rect">
          <a:avLst/>
        </a:prstGeom>
        <a:noFill/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A8:O17" totalsRowShown="0" headerRowDxfId="37">
  <autoFilter ref="A8:O17" xr:uid="{00000000-0009-0000-0100-000003000000}"/>
  <sortState xmlns:xlrd2="http://schemas.microsoft.com/office/spreadsheetml/2017/richdata2" ref="A9:O707">
    <sortCondition ref="C8:C707" customList="jan,fev,mar,abr,mai,jun,jul,ago,set,out,nov,dez"/>
  </sortState>
  <tableColumns count="15">
    <tableColumn id="1" xr3:uid="{00000000-0010-0000-0000-000001000000}" name="Código" dataDxfId="36"/>
    <tableColumn id="2" xr3:uid="{00000000-0010-0000-0000-000002000000}" name="Tipo Movimentação" dataDxfId="35"/>
    <tableColumn id="3" xr3:uid="{00000000-0010-0000-0000-000003000000}" name="Data" dataDxfId="34"/>
    <tableColumn id="4" xr3:uid="{00000000-0010-0000-0000-000004000000}" name="Qtde." dataDxfId="33"/>
    <tableColumn id="5" xr3:uid="{00000000-0010-0000-0000-000005000000}" name="Valor Entrada" dataDxfId="32"/>
    <tableColumn id="6" xr3:uid="{00000000-0010-0000-0000-000006000000}" name="Operação Fiscal" dataDxfId="31" dataCellStyle="Moeda"/>
    <tableColumn id="7" xr3:uid="{00000000-0010-0000-0000-000007000000}" name="Série" dataDxfId="30"/>
    <tableColumn id="8" xr3:uid="{00000000-0010-0000-0000-000008000000}" name="Nota Fiscal" dataDxfId="29"/>
    <tableColumn id="9" xr3:uid="{00000000-0010-0000-0000-000009000000}" name="Fornecedor/Cliente" dataDxfId="28" dataCellStyle="Moeda"/>
    <tableColumn id="15" xr3:uid="{00000000-0010-0000-0000-00000F000000}" name="Complemento" dataDxfId="27" dataCellStyle="Moeda"/>
    <tableColumn id="16" xr3:uid="{00000000-0010-0000-0000-000010000000}" name="Valor Mov." dataDxfId="26" dataCellStyle="Moeda">
      <calculatedColumnFormula>IFERROR(IF(B9="E",D9*E9,D9*N9),0)</calculatedColumnFormula>
    </tableColumn>
    <tableColumn id="17" xr3:uid="{00000000-0010-0000-0000-000011000000}" name="Qtd.Total" dataDxfId="25">
      <calculatedColumnFormula>IFERROR(IF(B9="E",IF(ISNUMBER(L8),L8+D9,D9),L8-D9),0)</calculatedColumnFormula>
    </tableColumn>
    <tableColumn id="18" xr3:uid="{00000000-0010-0000-0000-000012000000}" name="Valor Total" dataDxfId="24" dataCellStyle="Moeda">
      <calculatedColumnFormula>IFERROR(IF(B9="E",IF(ISNUMBER(M8),M8+K9,K9),M8-(D9*N8)),0)</calculatedColumnFormula>
    </tableColumn>
    <tableColumn id="20" xr3:uid="{00000000-0010-0000-0000-000014000000}" name="Custo Médio" dataDxfId="23" dataCellStyle="Moeda">
      <calculatedColumnFormula>IFERROR(M9/L9,0)</calculatedColumnFormula>
    </tableColumn>
    <tableColumn id="10" xr3:uid="{00000000-0010-0000-0000-00000A000000}" name="Colunas1">
      <calculatedColumnFormula>VLOOKUP(A9,'Cadastro de Produtos'!A:B,2,0)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P726" totalsRowShown="0" headerRowDxfId="16">
  <autoFilter ref="A1:P726" xr:uid="{00000000-0009-0000-0100-000002000000}"/>
  <tableColumns count="16">
    <tableColumn id="1" xr3:uid="{00000000-0010-0000-0100-000001000000}" name="Código"/>
    <tableColumn id="2" xr3:uid="{00000000-0010-0000-0100-000002000000}" name="Tipo Movimentação"/>
    <tableColumn id="3" xr3:uid="{00000000-0010-0000-0100-000003000000}" name="Data" dataDxfId="15"/>
    <tableColumn id="4" xr3:uid="{00000000-0010-0000-0100-000004000000}" name="Qtde." dataDxfId="14"/>
    <tableColumn id="5" xr3:uid="{00000000-0010-0000-0100-000005000000}" name="Valor Entrada" dataDxfId="13"/>
    <tableColumn id="6" xr3:uid="{00000000-0010-0000-0100-000006000000}" name="Operação Fiscal"/>
    <tableColumn id="7" xr3:uid="{00000000-0010-0000-0100-000007000000}" name="Série"/>
    <tableColumn id="8" xr3:uid="{00000000-0010-0000-0100-000008000000}" name="Nota Fiscal"/>
    <tableColumn id="9" xr3:uid="{00000000-0010-0000-0100-000009000000}" name="Fornecedor/Cliente"/>
    <tableColumn id="10" xr3:uid="{00000000-0010-0000-0100-00000A000000}" name="Complemento"/>
    <tableColumn id="11" xr3:uid="{00000000-0010-0000-0100-00000B000000}" name="Seq" dataDxfId="12">
      <calculatedColumnFormula>COUNTIF($A$1:A2,A2)</calculatedColumnFormula>
    </tableColumn>
    <tableColumn id="12" xr3:uid="{00000000-0010-0000-0100-00000C000000}" name="Colunas1">
      <calculatedColumnFormula>VLOOKUP(A2,'Cadastro de Produtos'!A:B,2,0)</calculatedColumnFormula>
    </tableColumn>
    <tableColumn id="13" xr3:uid="{00000000-0010-0000-0100-00000D000000}" name="E">
      <calculatedColumnFormula>SUMIF(B2,"E",D2:D2)</calculatedColumnFormula>
    </tableColumn>
    <tableColumn id="14" xr3:uid="{00000000-0010-0000-0100-00000E000000}" name="S">
      <calculatedColumnFormula>SUMIF(B2,"S",D2:D2)</calculatedColumnFormula>
    </tableColumn>
    <tableColumn id="15" xr3:uid="{00000000-0010-0000-0100-00000F000000}" name="Colunas4">
      <calculatedColumnFormula>N2*-1</calculatedColumnFormula>
    </tableColumn>
    <tableColumn id="16" xr3:uid="{00000000-0010-0000-0100-000010000000}" name="Saldo">
      <calculatedColumnFormula>SUM(M2+O2)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ela6" displayName="Tabela6" ref="A1:H652" totalsRowShown="0" headerRowDxfId="10" headerRowBorderDxfId="9" tableBorderDxfId="8">
  <tableColumns count="8">
    <tableColumn id="1" xr3:uid="{00000000-0010-0000-0200-000001000000}" name="Código" dataDxfId="7"/>
    <tableColumn id="2" xr3:uid="{00000000-0010-0000-0200-000002000000}" name="Produto" dataDxfId="6"/>
    <tableColumn id="3" xr3:uid="{00000000-0010-0000-0200-000003000000}" name="Dimensões" dataDxfId="5"/>
    <tableColumn id="4" xr3:uid="{00000000-0010-0000-0200-000004000000}" name="Fornecedor principal" dataDxfId="4"/>
    <tableColumn id="5" xr3:uid="{00000000-0010-0000-0200-000005000000}" name="Detalhes" dataDxfId="3"/>
    <tableColumn id="6" xr3:uid="{00000000-0010-0000-0200-000006000000}" name="Valor" dataDxfId="2" dataCellStyle="Moeda"/>
    <tableColumn id="7" xr3:uid="{00000000-0010-0000-0200-000007000000}" name="Saldo" dataDxfId="1">
      <calculatedColumnFormula>SUMIF(Tabela2[Código],Tabela6[[#This Row],[Código]],Tabela2[Saldo])</calculatedColumnFormula>
    </tableColumn>
    <tableColumn id="8" xr3:uid="{00000000-0010-0000-0200-000008000000}" name="itens cadastrados" dataDxfId="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ela1" displayName="Tabela1" ref="A1:B6" totalsRowShown="0">
  <autoFilter ref="A1:B6" xr:uid="{00000000-0009-0000-0100-000001000000}"/>
  <sortState xmlns:xlrd2="http://schemas.microsoft.com/office/spreadsheetml/2017/richdata2" ref="A2:B3">
    <sortCondition ref="A2:A3"/>
  </sortState>
  <tableColumns count="2">
    <tableColumn id="1" xr3:uid="{00000000-0010-0000-0300-000001000000}" name="Operação Fiscal"/>
    <tableColumn id="2" xr3:uid="{00000000-0010-0000-0300-000002000000}" name="Tipo movimentaçã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>
    <tabColor theme="4" tint="0.39997558519241921"/>
  </sheetPr>
  <dimension ref="A1:AO999"/>
  <sheetViews>
    <sheetView showGridLines="0" showRowColHeaders="0" showZeros="0" tabSelected="1" workbookViewId="0">
      <pane xSplit="5" ySplit="23" topLeftCell="XFD24" activePane="bottomRight" state="frozen"/>
      <selection pane="topRight" activeCell="F1" sqref="F1"/>
      <selection pane="bottomLeft" activeCell="A24" sqref="A24"/>
      <selection pane="bottomRight" activeCell="C8" sqref="C8"/>
    </sheetView>
  </sheetViews>
  <sheetFormatPr defaultColWidth="0" defaultRowHeight="14.4" zeroHeight="1" x14ac:dyDescent="0.3"/>
  <cols>
    <col min="1" max="1" width="24.88671875" customWidth="1"/>
    <col min="2" max="2" width="18.6640625" bestFit="1" customWidth="1"/>
    <col min="3" max="3" width="62.44140625" style="5" customWidth="1"/>
    <col min="4" max="4" width="12.109375" style="7" bestFit="1" customWidth="1"/>
    <col min="5" max="5" width="13.44140625" style="6" customWidth="1"/>
    <col min="6" max="16384" width="9.109375" hidden="1"/>
  </cols>
  <sheetData>
    <row r="1" spans="1:41" ht="25.5" customHeight="1" thickBot="1" x14ac:dyDescent="0.45">
      <c r="A1" s="14"/>
      <c r="B1" s="116" t="s">
        <v>26</v>
      </c>
      <c r="C1" s="117"/>
      <c r="D1" s="15"/>
      <c r="E1" s="16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</row>
    <row r="2" spans="1:41" ht="9" customHeight="1" thickBot="1" x14ac:dyDescent="0.35">
      <c r="A2" s="17"/>
      <c r="B2" s="17"/>
      <c r="C2" s="18"/>
      <c r="D2" s="19"/>
      <c r="E2" s="20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</row>
    <row r="3" spans="1:41" ht="15" customHeight="1" x14ac:dyDescent="0.3">
      <c r="A3" s="17"/>
      <c r="B3" s="25" t="s">
        <v>0</v>
      </c>
      <c r="C3" s="21" t="s">
        <v>381</v>
      </c>
      <c r="D3" s="19"/>
      <c r="E3" s="20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</row>
    <row r="4" spans="1:41" ht="15" customHeight="1" x14ac:dyDescent="0.3">
      <c r="A4" s="17"/>
      <c r="B4" s="26" t="s">
        <v>1</v>
      </c>
      <c r="C4" s="28" t="str">
        <f>IFERROR(VLOOKUP(C3,'Cadastro de Produtos'!A:B,2,0),"CÓDIGO INEXISTENTE")</f>
        <v>Bateria para Notebook U4873 9 cells 11.1V 80WH F5126</v>
      </c>
      <c r="D4" s="19"/>
      <c r="E4" s="20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</row>
    <row r="5" spans="1:41" ht="15" customHeight="1" x14ac:dyDescent="0.3">
      <c r="A5" s="17"/>
      <c r="B5" s="26" t="s">
        <v>2</v>
      </c>
      <c r="C5" s="28">
        <f>IFERROR(VLOOKUP(C3,'Cadastro de Produtos'!A:C,3,0),"NÃO ENCONTRADO")</f>
        <v>0</v>
      </c>
      <c r="D5" s="19"/>
      <c r="E5" s="20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</row>
    <row r="6" spans="1:41" ht="15" customHeight="1" x14ac:dyDescent="0.3">
      <c r="A6" s="17"/>
      <c r="B6" s="26" t="s">
        <v>3</v>
      </c>
      <c r="C6" s="28">
        <f>IFERROR(VLOOKUP(C3,'Cadastro de Produtos'!A:D,4,0),"NÃO ENCONTRADO")</f>
        <v>0</v>
      </c>
      <c r="D6" s="19"/>
      <c r="E6" s="98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</row>
    <row r="7" spans="1:41" ht="15" customHeight="1" x14ac:dyDescent="0.3">
      <c r="A7" s="17"/>
      <c r="B7" s="26" t="s">
        <v>4</v>
      </c>
      <c r="C7" s="28" t="str">
        <f>IFERROR(VLOOKUP(C3,'Cadastro de Produtos'!A:E,5,0),"NÃO ENCONTRADO")</f>
        <v>Bateria</v>
      </c>
      <c r="D7" s="19"/>
      <c r="E7" s="20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</row>
    <row r="8" spans="1:41" ht="15" customHeight="1" x14ac:dyDescent="0.3">
      <c r="A8" s="17"/>
      <c r="B8" s="26" t="s">
        <v>18</v>
      </c>
      <c r="C8" s="110" t="s">
        <v>22</v>
      </c>
      <c r="D8" s="19"/>
      <c r="E8" s="20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</row>
    <row r="9" spans="1:41" ht="15" customHeight="1" x14ac:dyDescent="0.3">
      <c r="A9" s="17"/>
      <c r="B9" s="26" t="s">
        <v>5</v>
      </c>
      <c r="C9" s="28" t="str">
        <f>VLOOKUP(C8,'Cadastros Gerais'!A:B,2,0)</f>
        <v>Entrada</v>
      </c>
      <c r="D9" s="19"/>
      <c r="E9" s="20">
        <f>'Cadastros Gerais'!F12</f>
        <v>0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</row>
    <row r="10" spans="1:41" ht="15" customHeight="1" x14ac:dyDescent="0.3">
      <c r="A10" s="17"/>
      <c r="B10" s="26" t="s">
        <v>6</v>
      </c>
      <c r="C10" s="99">
        <v>42278</v>
      </c>
      <c r="D10" s="19"/>
      <c r="E10" s="20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</row>
    <row r="11" spans="1:41" ht="15" customHeight="1" x14ac:dyDescent="0.3">
      <c r="A11" s="17"/>
      <c r="B11" s="26" t="s">
        <v>9</v>
      </c>
      <c r="C11" s="55">
        <v>10</v>
      </c>
      <c r="D11" s="19"/>
      <c r="E11" s="20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</row>
    <row r="12" spans="1:41" ht="15" customHeight="1" x14ac:dyDescent="0.3">
      <c r="A12" s="17"/>
      <c r="B12" s="26" t="s">
        <v>11</v>
      </c>
      <c r="C12" s="23">
        <v>50</v>
      </c>
      <c r="D12" s="19"/>
      <c r="E12" s="20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</row>
    <row r="13" spans="1:41" ht="15" customHeight="1" x14ac:dyDescent="0.3">
      <c r="A13" s="17"/>
      <c r="B13" s="26" t="s">
        <v>10</v>
      </c>
      <c r="C13" s="29">
        <f>C11*C12</f>
        <v>500</v>
      </c>
      <c r="D13" s="19"/>
      <c r="E13" s="20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</row>
    <row r="14" spans="1:41" ht="15" customHeight="1" x14ac:dyDescent="0.3">
      <c r="A14" s="17"/>
      <c r="B14" s="26" t="s">
        <v>19</v>
      </c>
      <c r="C14" s="22">
        <v>1</v>
      </c>
      <c r="D14" s="19"/>
      <c r="E14" s="20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</row>
    <row r="15" spans="1:41" ht="15" customHeight="1" x14ac:dyDescent="0.3">
      <c r="A15" s="17"/>
      <c r="B15" s="26" t="s">
        <v>20</v>
      </c>
      <c r="C15" s="22">
        <v>153</v>
      </c>
      <c r="D15" s="19"/>
      <c r="E15" s="20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</row>
    <row r="16" spans="1:41" ht="15" customHeight="1" x14ac:dyDescent="0.3">
      <c r="A16" s="17"/>
      <c r="B16" s="26" t="s">
        <v>23</v>
      </c>
      <c r="C16" s="22" t="s">
        <v>1195</v>
      </c>
      <c r="D16" s="19"/>
      <c r="E16" s="20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</row>
    <row r="17" spans="1:41" ht="15" customHeight="1" thickBot="1" x14ac:dyDescent="0.35">
      <c r="A17" s="17"/>
      <c r="B17" s="27" t="s">
        <v>21</v>
      </c>
      <c r="C17" s="24" t="s">
        <v>1196</v>
      </c>
      <c r="D17" s="19"/>
      <c r="E17" s="20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</row>
    <row r="18" spans="1:41" ht="9.9" customHeight="1" x14ac:dyDescent="0.3">
      <c r="A18" s="17"/>
      <c r="B18" s="17"/>
      <c r="C18" s="18"/>
      <c r="D18" s="19"/>
      <c r="E18" s="20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</row>
    <row r="19" spans="1:41" ht="9.9" customHeight="1" x14ac:dyDescent="0.3">
      <c r="A19" s="74"/>
      <c r="B19" s="75"/>
      <c r="C19" s="74"/>
      <c r="D19" s="64"/>
      <c r="E19" s="76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</row>
    <row r="20" spans="1:41" ht="9.9" customHeight="1" thickBot="1" x14ac:dyDescent="0.35">
      <c r="A20" s="77"/>
      <c r="B20" s="77"/>
      <c r="C20" s="78"/>
      <c r="D20" s="79"/>
      <c r="E20" s="80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</row>
    <row r="21" spans="1:41" ht="9.9" customHeight="1" thickTop="1" thickBot="1" x14ac:dyDescent="0.35">
      <c r="A21" s="17"/>
      <c r="B21" s="17"/>
      <c r="C21" s="18"/>
      <c r="D21" s="66"/>
      <c r="E21" s="65"/>
      <c r="F21" s="67"/>
      <c r="G21" s="67"/>
      <c r="H21" s="6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</row>
    <row r="22" spans="1:41" ht="14.1" customHeight="1" thickBot="1" x14ac:dyDescent="0.35">
      <c r="A22" s="17"/>
      <c r="B22" s="70" t="s">
        <v>0</v>
      </c>
      <c r="C22" s="71" t="s">
        <v>1</v>
      </c>
      <c r="D22" s="57" t="s">
        <v>2</v>
      </c>
      <c r="E22" s="57" t="s">
        <v>3</v>
      </c>
      <c r="F22" s="57" t="s">
        <v>4</v>
      </c>
      <c r="G22" s="68" t="s">
        <v>8</v>
      </c>
      <c r="H22" s="57" t="s">
        <v>699</v>
      </c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</row>
    <row r="23" spans="1:41" ht="17.100000000000001" customHeight="1" thickBot="1" x14ac:dyDescent="0.35">
      <c r="A23" s="70" t="s">
        <v>4</v>
      </c>
      <c r="B23" s="85" t="s">
        <v>381</v>
      </c>
      <c r="C23" s="86"/>
      <c r="D23" s="20"/>
      <c r="E23" s="20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</row>
    <row r="24" spans="1:41" ht="14.1" customHeight="1" x14ac:dyDescent="0.3">
      <c r="A24" s="69" t="str">
        <f>'Cadastro de Produtos'!O2</f>
        <v>Bateria</v>
      </c>
      <c r="B24" s="63" t="str">
        <f>'Cadastro de Produtos'!K2</f>
        <v>EPI014</v>
      </c>
      <c r="C24" s="63" t="str">
        <f>'Cadastro de Produtos'!L2</f>
        <v>Bateria para Notebook U4873 9 cells 11.1V 80WH F5126</v>
      </c>
      <c r="D24" s="72">
        <f>VLOOKUP(B24,'Cadastro de Produtos'!K:Q,7,0)</f>
        <v>11</v>
      </c>
      <c r="E24" s="73">
        <f>'Cadastro de Produtos'!P2</f>
        <v>15.9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</row>
    <row r="25" spans="1:41" ht="14.1" customHeight="1" x14ac:dyDescent="0.3">
      <c r="A25" s="62">
        <f>'Cadastro de Produtos'!O3</f>
        <v>0</v>
      </c>
      <c r="B25" s="63">
        <f>'Cadastro de Produtos'!K3</f>
        <v>0</v>
      </c>
      <c r="C25" s="63">
        <f>'Cadastro de Produtos'!L3</f>
        <v>0</v>
      </c>
      <c r="D25" s="72" t="e">
        <f>VLOOKUP(B25,'Cadastro de Produtos'!K:Q,7,0)</f>
        <v>#N/A</v>
      </c>
      <c r="E25" s="73">
        <f>'Cadastro de Produtos'!P3</f>
        <v>0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</row>
    <row r="26" spans="1:41" ht="14.1" customHeight="1" x14ac:dyDescent="0.3">
      <c r="A26" s="62">
        <f>'Cadastro de Produtos'!O4</f>
        <v>0</v>
      </c>
      <c r="B26" s="63">
        <f>'Cadastro de Produtos'!K4</f>
        <v>0</v>
      </c>
      <c r="C26" s="63">
        <f>'Cadastro de Produtos'!L4</f>
        <v>0</v>
      </c>
      <c r="D26" s="72" t="e">
        <f>VLOOKUP(B26,'Cadastro de Produtos'!K:Q,7,0)</f>
        <v>#N/A</v>
      </c>
      <c r="E26" s="73">
        <f>'Cadastro de Produtos'!P4</f>
        <v>0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</row>
    <row r="27" spans="1:41" ht="14.1" customHeight="1" x14ac:dyDescent="0.3">
      <c r="A27" s="62">
        <f>'Cadastro de Produtos'!O5</f>
        <v>0</v>
      </c>
      <c r="B27" s="63">
        <f>'Cadastro de Produtos'!K5</f>
        <v>0</v>
      </c>
      <c r="C27" s="63">
        <f>'Cadastro de Produtos'!L5</f>
        <v>0</v>
      </c>
      <c r="D27" s="72" t="e">
        <f>VLOOKUP(B27,'Cadastro de Produtos'!K:Q,7,0)</f>
        <v>#N/A</v>
      </c>
      <c r="E27" s="73">
        <f>'Cadastro de Produtos'!P5</f>
        <v>0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</row>
    <row r="28" spans="1:41" ht="14.1" customHeight="1" x14ac:dyDescent="0.3">
      <c r="A28" s="62">
        <f>'Cadastro de Produtos'!O6</f>
        <v>0</v>
      </c>
      <c r="B28" s="63">
        <f>'Cadastro de Produtos'!K6</f>
        <v>0</v>
      </c>
      <c r="C28" s="63">
        <f>'Cadastro de Produtos'!L6</f>
        <v>0</v>
      </c>
      <c r="D28" s="72" t="e">
        <f>VLOOKUP(B28,'Cadastro de Produtos'!K:Q,7,0)</f>
        <v>#N/A</v>
      </c>
      <c r="E28" s="73">
        <f>'Cadastro de Produtos'!P6</f>
        <v>0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</row>
    <row r="29" spans="1:41" ht="14.1" customHeight="1" x14ac:dyDescent="0.3">
      <c r="A29" s="62">
        <f>'Cadastro de Produtos'!O7</f>
        <v>0</v>
      </c>
      <c r="B29" s="63">
        <f>'Cadastro de Produtos'!K7</f>
        <v>0</v>
      </c>
      <c r="C29" s="63">
        <f>'Cadastro de Produtos'!L7</f>
        <v>0</v>
      </c>
      <c r="D29" s="72" t="e">
        <f>VLOOKUP(B29,'Cadastro de Produtos'!K:Q,7,0)</f>
        <v>#N/A</v>
      </c>
      <c r="E29" s="73">
        <f>'Cadastro de Produtos'!P7</f>
        <v>0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</row>
    <row r="30" spans="1:41" ht="14.1" customHeight="1" x14ac:dyDescent="0.3">
      <c r="A30" s="62">
        <f>'Cadastro de Produtos'!O8</f>
        <v>0</v>
      </c>
      <c r="B30" s="63">
        <f>'Cadastro de Produtos'!K8</f>
        <v>0</v>
      </c>
      <c r="C30" s="63">
        <f>'Cadastro de Produtos'!L8</f>
        <v>0</v>
      </c>
      <c r="D30" s="72" t="e">
        <f>VLOOKUP(B30,'Cadastro de Produtos'!K:Q,7,0)</f>
        <v>#N/A</v>
      </c>
      <c r="E30" s="73">
        <f>'Cadastro de Produtos'!P8</f>
        <v>0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</row>
    <row r="31" spans="1:41" ht="14.1" customHeight="1" x14ac:dyDescent="0.3">
      <c r="A31" s="62">
        <f>'Cadastro de Produtos'!O9</f>
        <v>0</v>
      </c>
      <c r="B31" s="63">
        <f>'Cadastro de Produtos'!K9</f>
        <v>0</v>
      </c>
      <c r="C31" s="63">
        <f>'Cadastro de Produtos'!L9</f>
        <v>0</v>
      </c>
      <c r="D31" s="72" t="e">
        <f>VLOOKUP(B31,'Cadastro de Produtos'!K:Q,7,0)</f>
        <v>#N/A</v>
      </c>
      <c r="E31" s="73">
        <f>'Cadastro de Produtos'!P9</f>
        <v>0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</row>
    <row r="32" spans="1:41" ht="14.1" customHeight="1" x14ac:dyDescent="0.3">
      <c r="A32" s="62">
        <f>'Cadastro de Produtos'!O10</f>
        <v>0</v>
      </c>
      <c r="B32" s="63">
        <f>'Cadastro de Produtos'!K10</f>
        <v>0</v>
      </c>
      <c r="C32" s="63">
        <f>'Cadastro de Produtos'!L10</f>
        <v>0</v>
      </c>
      <c r="D32" s="72" t="e">
        <f>VLOOKUP(B32,'Cadastro de Produtos'!K:Q,7,0)</f>
        <v>#N/A</v>
      </c>
      <c r="E32" s="73">
        <f>'Cadastro de Produtos'!P10</f>
        <v>0</v>
      </c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</row>
    <row r="33" spans="1:41" ht="14.1" customHeight="1" x14ac:dyDescent="0.3">
      <c r="A33" s="62">
        <f>'Cadastro de Produtos'!O11</f>
        <v>0</v>
      </c>
      <c r="B33" s="63">
        <f>'Cadastro de Produtos'!K11</f>
        <v>0</v>
      </c>
      <c r="C33" s="63">
        <f>'Cadastro de Produtos'!L11</f>
        <v>0</v>
      </c>
      <c r="D33" s="72" t="e">
        <f>VLOOKUP(B33,'Cadastro de Produtos'!K:Q,7,0)</f>
        <v>#N/A</v>
      </c>
      <c r="E33" s="73">
        <f>'Cadastro de Produtos'!P11</f>
        <v>0</v>
      </c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</row>
    <row r="34" spans="1:41" ht="14.1" customHeight="1" x14ac:dyDescent="0.3">
      <c r="A34" s="62">
        <f>'Cadastro de Produtos'!O12</f>
        <v>0</v>
      </c>
      <c r="B34" s="63">
        <f>'Cadastro de Produtos'!K12</f>
        <v>0</v>
      </c>
      <c r="C34" s="63">
        <f>'Cadastro de Produtos'!L12</f>
        <v>0</v>
      </c>
      <c r="D34" s="72" t="e">
        <f>VLOOKUP(B34,'Cadastro de Produtos'!K:Q,7,0)</f>
        <v>#N/A</v>
      </c>
      <c r="E34" s="73">
        <f>'Cadastro de Produtos'!P12</f>
        <v>0</v>
      </c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</row>
    <row r="35" spans="1:41" ht="14.1" customHeight="1" x14ac:dyDescent="0.3">
      <c r="A35" s="62">
        <f>'Cadastro de Produtos'!O13</f>
        <v>0</v>
      </c>
      <c r="B35" s="63">
        <f>'Cadastro de Produtos'!K13</f>
        <v>0</v>
      </c>
      <c r="C35" s="63">
        <f>'Cadastro de Produtos'!L13</f>
        <v>0</v>
      </c>
      <c r="D35" s="72" t="e">
        <f>VLOOKUP(B35,'Cadastro de Produtos'!K:Q,7,0)</f>
        <v>#N/A</v>
      </c>
      <c r="E35" s="73">
        <f>'Cadastro de Produtos'!P13</f>
        <v>0</v>
      </c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</row>
    <row r="36" spans="1:41" ht="14.1" customHeight="1" x14ac:dyDescent="0.3">
      <c r="A36" s="62">
        <f>'Cadastro de Produtos'!O14</f>
        <v>0</v>
      </c>
      <c r="B36" s="63">
        <f>'Cadastro de Produtos'!K14</f>
        <v>0</v>
      </c>
      <c r="C36" s="63">
        <f>'Cadastro de Produtos'!L14</f>
        <v>0</v>
      </c>
      <c r="D36" s="72" t="e">
        <f>VLOOKUP(B36,'Cadastro de Produtos'!K:Q,7,0)</f>
        <v>#N/A</v>
      </c>
      <c r="E36" s="73">
        <f>'Cadastro de Produtos'!P14</f>
        <v>0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</row>
    <row r="37" spans="1:41" ht="14.1" customHeight="1" x14ac:dyDescent="0.3">
      <c r="A37" s="62">
        <f>'Cadastro de Produtos'!O15</f>
        <v>0</v>
      </c>
      <c r="B37" s="63">
        <f>'Cadastro de Produtos'!K15</f>
        <v>0</v>
      </c>
      <c r="C37" s="63">
        <f>'Cadastro de Produtos'!L15</f>
        <v>0</v>
      </c>
      <c r="D37" s="72" t="e">
        <f>VLOOKUP(B37,'Cadastro de Produtos'!K:Q,7,0)</f>
        <v>#N/A</v>
      </c>
      <c r="E37" s="73">
        <f>'Cadastro de Produtos'!P15</f>
        <v>0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</row>
    <row r="38" spans="1:41" ht="14.1" customHeight="1" x14ac:dyDescent="0.3">
      <c r="A38" s="62">
        <f>'Cadastro de Produtos'!O16</f>
        <v>0</v>
      </c>
      <c r="B38" s="63">
        <f>'Cadastro de Produtos'!K16</f>
        <v>0</v>
      </c>
      <c r="C38" s="63">
        <f>'Cadastro de Produtos'!L16</f>
        <v>0</v>
      </c>
      <c r="D38" s="72" t="e">
        <f>VLOOKUP(B38,'Cadastro de Produtos'!K:Q,7,0)</f>
        <v>#N/A</v>
      </c>
      <c r="E38" s="73">
        <f>'Cadastro de Produtos'!P16</f>
        <v>0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</row>
    <row r="39" spans="1:41" ht="14.1" customHeight="1" x14ac:dyDescent="0.3">
      <c r="A39" s="62">
        <f>'Cadastro de Produtos'!O17</f>
        <v>0</v>
      </c>
      <c r="B39" s="63">
        <f>'Cadastro de Produtos'!K17</f>
        <v>0</v>
      </c>
      <c r="C39" s="63">
        <f>'Cadastro de Produtos'!L17</f>
        <v>0</v>
      </c>
      <c r="D39" s="72" t="e">
        <f>VLOOKUP(B39,'Cadastro de Produtos'!K:Q,7,0)</f>
        <v>#N/A</v>
      </c>
      <c r="E39" s="73">
        <f>'Cadastro de Produtos'!P17</f>
        <v>0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</row>
    <row r="40" spans="1:41" ht="14.1" customHeight="1" x14ac:dyDescent="0.3">
      <c r="A40" s="62">
        <f>'Cadastro de Produtos'!O18</f>
        <v>0</v>
      </c>
      <c r="B40" s="63">
        <f>'Cadastro de Produtos'!K18</f>
        <v>0</v>
      </c>
      <c r="C40" s="63">
        <f>'Cadastro de Produtos'!L18</f>
        <v>0</v>
      </c>
      <c r="D40" s="72" t="e">
        <f>VLOOKUP(B40,'Cadastro de Produtos'!K:Q,7,0)</f>
        <v>#N/A</v>
      </c>
      <c r="E40" s="73">
        <f>'Cadastro de Produtos'!P18</f>
        <v>0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</row>
    <row r="41" spans="1:41" ht="14.1" customHeight="1" x14ac:dyDescent="0.3">
      <c r="A41" s="62">
        <f>'Cadastro de Produtos'!O19</f>
        <v>0</v>
      </c>
      <c r="B41" s="63">
        <f>'Cadastro de Produtos'!K19</f>
        <v>0</v>
      </c>
      <c r="C41" s="63">
        <f>'Cadastro de Produtos'!L19</f>
        <v>0</v>
      </c>
      <c r="D41" s="72" t="e">
        <f>VLOOKUP(B41,'Cadastro de Produtos'!K:Q,7,0)</f>
        <v>#N/A</v>
      </c>
      <c r="E41" s="73">
        <f>'Cadastro de Produtos'!P19</f>
        <v>0</v>
      </c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</row>
    <row r="42" spans="1:41" ht="14.1" customHeight="1" x14ac:dyDescent="0.3">
      <c r="A42" s="62">
        <f>'Cadastro de Produtos'!O20</f>
        <v>0</v>
      </c>
      <c r="B42" s="63">
        <f>'Cadastro de Produtos'!K20</f>
        <v>0</v>
      </c>
      <c r="C42" s="63">
        <f>'Cadastro de Produtos'!L20</f>
        <v>0</v>
      </c>
      <c r="D42" s="72" t="e">
        <f>VLOOKUP(B42,'Cadastro de Produtos'!K:Q,7,0)</f>
        <v>#N/A</v>
      </c>
      <c r="E42" s="73">
        <f>'Cadastro de Produtos'!P20</f>
        <v>0</v>
      </c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1:41" ht="14.1" customHeight="1" x14ac:dyDescent="0.3">
      <c r="A43" s="62">
        <f>'Cadastro de Produtos'!O21</f>
        <v>0</v>
      </c>
      <c r="B43" s="63">
        <f>'Cadastro de Produtos'!K21</f>
        <v>0</v>
      </c>
      <c r="C43" s="63">
        <f>'Cadastro de Produtos'!L21</f>
        <v>0</v>
      </c>
      <c r="D43" s="72" t="e">
        <f>VLOOKUP(B43,'Cadastro de Produtos'!K:Q,7,0)</f>
        <v>#N/A</v>
      </c>
      <c r="E43" s="73">
        <f>'Cadastro de Produtos'!P21</f>
        <v>0</v>
      </c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1:41" ht="14.1" customHeight="1" x14ac:dyDescent="0.3">
      <c r="A44" s="62">
        <f>'Cadastro de Produtos'!O22</f>
        <v>0</v>
      </c>
      <c r="B44" s="63">
        <f>'Cadastro de Produtos'!K22</f>
        <v>0</v>
      </c>
      <c r="C44" s="63">
        <f>'Cadastro de Produtos'!L22</f>
        <v>0</v>
      </c>
      <c r="D44" s="72" t="e">
        <f>VLOOKUP(B44,'Cadastro de Produtos'!K:Q,7,0)</f>
        <v>#N/A</v>
      </c>
      <c r="E44" s="73">
        <f>'Cadastro de Produtos'!P22</f>
        <v>0</v>
      </c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1:41" ht="14.1" customHeight="1" x14ac:dyDescent="0.3">
      <c r="A45" s="62">
        <f>'Cadastro de Produtos'!O23</f>
        <v>0</v>
      </c>
      <c r="B45" s="63">
        <f>'Cadastro de Produtos'!K23</f>
        <v>0</v>
      </c>
      <c r="C45" s="63">
        <f>'Cadastro de Produtos'!L23</f>
        <v>0</v>
      </c>
      <c r="D45" s="72" t="e">
        <f>VLOOKUP(B45,'Cadastro de Produtos'!K:Q,7,0)</f>
        <v>#N/A</v>
      </c>
      <c r="E45" s="73">
        <f>'Cadastro de Produtos'!P23</f>
        <v>0</v>
      </c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</row>
    <row r="46" spans="1:41" ht="14.1" customHeight="1" x14ac:dyDescent="0.3">
      <c r="A46" s="62">
        <f>'Cadastro de Produtos'!O24</f>
        <v>0</v>
      </c>
      <c r="B46" s="63">
        <f>'Cadastro de Produtos'!K24</f>
        <v>0</v>
      </c>
      <c r="C46" s="63">
        <f>'Cadastro de Produtos'!L24</f>
        <v>0</v>
      </c>
      <c r="D46" s="72" t="e">
        <f>VLOOKUP(B46,'Cadastro de Produtos'!K:Q,7,0)</f>
        <v>#N/A</v>
      </c>
      <c r="E46" s="73">
        <f>'Cadastro de Produtos'!P24</f>
        <v>0</v>
      </c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</row>
    <row r="47" spans="1:41" ht="14.1" customHeight="1" x14ac:dyDescent="0.3">
      <c r="A47" s="62">
        <f>'Cadastro de Produtos'!O25</f>
        <v>0</v>
      </c>
      <c r="B47" s="63">
        <f>'Cadastro de Produtos'!K25</f>
        <v>0</v>
      </c>
      <c r="C47" s="63">
        <f>'Cadastro de Produtos'!L25</f>
        <v>0</v>
      </c>
      <c r="D47" s="72" t="e">
        <f>VLOOKUP(B47,'Cadastro de Produtos'!K:Q,7,0)</f>
        <v>#N/A</v>
      </c>
      <c r="E47" s="73">
        <f>'Cadastro de Produtos'!P25</f>
        <v>0</v>
      </c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</row>
    <row r="48" spans="1:41" ht="14.1" customHeight="1" x14ac:dyDescent="0.3">
      <c r="A48" s="62">
        <f>'Cadastro de Produtos'!O26</f>
        <v>0</v>
      </c>
      <c r="B48" s="63">
        <f>'Cadastro de Produtos'!K26</f>
        <v>0</v>
      </c>
      <c r="C48" s="63">
        <f>'Cadastro de Produtos'!L26</f>
        <v>0</v>
      </c>
      <c r="D48" s="72" t="e">
        <f>VLOOKUP(B48,'Cadastro de Produtos'!K:Q,7,0)</f>
        <v>#N/A</v>
      </c>
      <c r="E48" s="73">
        <f>'Cadastro de Produtos'!P26</f>
        <v>0</v>
      </c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</row>
    <row r="49" spans="1:41" ht="14.1" customHeight="1" x14ac:dyDescent="0.3">
      <c r="A49" s="62">
        <f>'Cadastro de Produtos'!O27</f>
        <v>0</v>
      </c>
      <c r="B49" s="63">
        <f>'Cadastro de Produtos'!K27</f>
        <v>0</v>
      </c>
      <c r="C49" s="63">
        <f>'Cadastro de Produtos'!L27</f>
        <v>0</v>
      </c>
      <c r="D49" s="72" t="e">
        <f>VLOOKUP(B49,'Cadastro de Produtos'!K:Q,7,0)</f>
        <v>#N/A</v>
      </c>
      <c r="E49" s="73">
        <f>'Cadastro de Produtos'!P27</f>
        <v>0</v>
      </c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</row>
    <row r="50" spans="1:41" ht="14.1" customHeight="1" x14ac:dyDescent="0.3">
      <c r="A50" s="62">
        <f>'Cadastro de Produtos'!O28</f>
        <v>0</v>
      </c>
      <c r="B50" s="63">
        <f>'Cadastro de Produtos'!K28</f>
        <v>0</v>
      </c>
      <c r="C50" s="63">
        <f>'Cadastro de Produtos'!L28</f>
        <v>0</v>
      </c>
      <c r="D50" s="72" t="e">
        <f>VLOOKUP(B50,'Cadastro de Produtos'!K:Q,7,0)</f>
        <v>#N/A</v>
      </c>
      <c r="E50" s="73">
        <f>'Cadastro de Produtos'!P28</f>
        <v>0</v>
      </c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</row>
    <row r="51" spans="1:41" ht="14.1" customHeight="1" x14ac:dyDescent="0.3">
      <c r="A51" s="62">
        <f>'Cadastro de Produtos'!O29</f>
        <v>0</v>
      </c>
      <c r="B51" s="63">
        <f>'Cadastro de Produtos'!K29</f>
        <v>0</v>
      </c>
      <c r="C51" s="63">
        <f>'Cadastro de Produtos'!L29</f>
        <v>0</v>
      </c>
      <c r="D51" s="72" t="e">
        <f>VLOOKUP(B51,'Cadastro de Produtos'!K:Q,7,0)</f>
        <v>#N/A</v>
      </c>
      <c r="E51" s="73">
        <f>'Cadastro de Produtos'!P29</f>
        <v>0</v>
      </c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</row>
    <row r="52" spans="1:41" ht="14.1" customHeight="1" x14ac:dyDescent="0.3">
      <c r="A52" s="62">
        <f>'Cadastro de Produtos'!O30</f>
        <v>0</v>
      </c>
      <c r="B52" s="63">
        <f>'Cadastro de Produtos'!K30</f>
        <v>0</v>
      </c>
      <c r="C52" s="63">
        <f>'Cadastro de Produtos'!L30</f>
        <v>0</v>
      </c>
      <c r="D52" s="72" t="e">
        <f>VLOOKUP(B52,'Cadastro de Produtos'!K:Q,7,0)</f>
        <v>#N/A</v>
      </c>
      <c r="E52" s="73">
        <f>'Cadastro de Produtos'!P30</f>
        <v>0</v>
      </c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</row>
    <row r="53" spans="1:41" ht="14.1" customHeight="1" x14ac:dyDescent="0.3">
      <c r="A53" s="62">
        <f>'Cadastro de Produtos'!O31</f>
        <v>0</v>
      </c>
      <c r="B53" s="63">
        <f>'Cadastro de Produtos'!K31</f>
        <v>0</v>
      </c>
      <c r="C53" s="63">
        <f>'Cadastro de Produtos'!L31</f>
        <v>0</v>
      </c>
      <c r="D53" s="72" t="e">
        <f>VLOOKUP(B53,'Cadastro de Produtos'!K:Q,7,0)</f>
        <v>#N/A</v>
      </c>
      <c r="E53" s="73">
        <f>'Cadastro de Produtos'!P31</f>
        <v>0</v>
      </c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</row>
    <row r="54" spans="1:41" ht="14.1" customHeight="1" x14ac:dyDescent="0.3">
      <c r="A54" s="62">
        <f>'Cadastro de Produtos'!O32</f>
        <v>0</v>
      </c>
      <c r="B54" s="63">
        <f>'Cadastro de Produtos'!K32</f>
        <v>0</v>
      </c>
      <c r="C54" s="63">
        <f>'Cadastro de Produtos'!L32</f>
        <v>0</v>
      </c>
      <c r="D54" s="72" t="e">
        <f>VLOOKUP(B54,'Cadastro de Produtos'!K:Q,7,0)</f>
        <v>#N/A</v>
      </c>
      <c r="E54" s="73">
        <f>'Cadastro de Produtos'!P32</f>
        <v>0</v>
      </c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</row>
    <row r="55" spans="1:41" ht="14.1" customHeight="1" x14ac:dyDescent="0.3">
      <c r="A55" s="62">
        <f>'Cadastro de Produtos'!O33</f>
        <v>0</v>
      </c>
      <c r="B55" s="63">
        <f>'Cadastro de Produtos'!K33</f>
        <v>0</v>
      </c>
      <c r="C55" s="63">
        <f>'Cadastro de Produtos'!L33</f>
        <v>0</v>
      </c>
      <c r="D55" s="72" t="e">
        <f>VLOOKUP(B55,'Cadastro de Produtos'!K:Q,7,0)</f>
        <v>#N/A</v>
      </c>
      <c r="E55" s="73">
        <f>'Cadastro de Produtos'!P33</f>
        <v>0</v>
      </c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</row>
    <row r="56" spans="1:41" ht="14.1" customHeight="1" x14ac:dyDescent="0.3">
      <c r="A56" s="62">
        <f>'Cadastro de Produtos'!O34</f>
        <v>0</v>
      </c>
      <c r="B56" s="63">
        <f>'Cadastro de Produtos'!K34</f>
        <v>0</v>
      </c>
      <c r="C56" s="63">
        <f>'Cadastro de Produtos'!L34</f>
        <v>0</v>
      </c>
      <c r="D56" s="72" t="e">
        <f>VLOOKUP(B56,'Cadastro de Produtos'!K:Q,7,0)</f>
        <v>#N/A</v>
      </c>
      <c r="E56" s="73">
        <f>'Cadastro de Produtos'!P34</f>
        <v>0</v>
      </c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</row>
    <row r="57" spans="1:41" ht="14.1" customHeight="1" x14ac:dyDescent="0.3">
      <c r="A57" s="62">
        <f>'Cadastro de Produtos'!O35</f>
        <v>0</v>
      </c>
      <c r="B57" s="63">
        <f>'Cadastro de Produtos'!K35</f>
        <v>0</v>
      </c>
      <c r="C57" s="63">
        <f>'Cadastro de Produtos'!L35</f>
        <v>0</v>
      </c>
      <c r="D57" s="72" t="e">
        <f>VLOOKUP(B57,'Cadastro de Produtos'!K:Q,7,0)</f>
        <v>#N/A</v>
      </c>
      <c r="E57" s="73">
        <f>'Cadastro de Produtos'!P35</f>
        <v>0</v>
      </c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</row>
    <row r="58" spans="1:41" ht="14.1" customHeight="1" x14ac:dyDescent="0.3">
      <c r="A58" s="62">
        <f>'Cadastro de Produtos'!O36</f>
        <v>0</v>
      </c>
      <c r="B58" s="63">
        <f>'Cadastro de Produtos'!K36</f>
        <v>0</v>
      </c>
      <c r="C58" s="63">
        <f>'Cadastro de Produtos'!L36</f>
        <v>0</v>
      </c>
      <c r="D58" s="72" t="e">
        <f>VLOOKUP(B58,'Cadastro de Produtos'!K:Q,7,0)</f>
        <v>#N/A</v>
      </c>
      <c r="E58" s="73">
        <f>'Cadastro de Produtos'!P36</f>
        <v>0</v>
      </c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</row>
    <row r="59" spans="1:41" ht="14.1" customHeight="1" x14ac:dyDescent="0.3">
      <c r="A59" s="62">
        <f>'Cadastro de Produtos'!O37</f>
        <v>0</v>
      </c>
      <c r="B59" s="63">
        <f>'Cadastro de Produtos'!K37</f>
        <v>0</v>
      </c>
      <c r="C59" s="63">
        <f>'Cadastro de Produtos'!L37</f>
        <v>0</v>
      </c>
      <c r="D59" s="72" t="e">
        <f>VLOOKUP(B59,'Cadastro de Produtos'!K:Q,7,0)</f>
        <v>#N/A</v>
      </c>
      <c r="E59" s="73">
        <f>'Cadastro de Produtos'!P37</f>
        <v>0</v>
      </c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</row>
    <row r="60" spans="1:41" ht="14.1" customHeight="1" x14ac:dyDescent="0.3">
      <c r="A60" s="62">
        <f>'Cadastro de Produtos'!O38</f>
        <v>0</v>
      </c>
      <c r="B60" s="63">
        <f>'Cadastro de Produtos'!K38</f>
        <v>0</v>
      </c>
      <c r="C60" s="63">
        <f>'Cadastro de Produtos'!L38</f>
        <v>0</v>
      </c>
      <c r="D60" s="72" t="e">
        <f>VLOOKUP(B60,'Cadastro de Produtos'!K:Q,7,0)</f>
        <v>#N/A</v>
      </c>
      <c r="E60" s="73">
        <f>'Cadastro de Produtos'!P38</f>
        <v>0</v>
      </c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</row>
    <row r="61" spans="1:41" ht="14.1" customHeight="1" x14ac:dyDescent="0.3">
      <c r="A61" s="62">
        <f>'Cadastro de Produtos'!O39</f>
        <v>0</v>
      </c>
      <c r="B61" s="63">
        <f>'Cadastro de Produtos'!K39</f>
        <v>0</v>
      </c>
      <c r="C61" s="63">
        <f>'Cadastro de Produtos'!L39</f>
        <v>0</v>
      </c>
      <c r="D61" s="72" t="e">
        <f>VLOOKUP(B61,'Cadastro de Produtos'!K:Q,7,0)</f>
        <v>#N/A</v>
      </c>
      <c r="E61" s="73">
        <f>'Cadastro de Produtos'!P39</f>
        <v>0</v>
      </c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</row>
    <row r="62" spans="1:41" ht="14.1" customHeight="1" x14ac:dyDescent="0.3">
      <c r="A62" s="62">
        <f>'Cadastro de Produtos'!O40</f>
        <v>0</v>
      </c>
      <c r="B62" s="63">
        <f>'Cadastro de Produtos'!K40</f>
        <v>0</v>
      </c>
      <c r="C62" s="63">
        <f>'Cadastro de Produtos'!L40</f>
        <v>0</v>
      </c>
      <c r="D62" s="72" t="e">
        <f>VLOOKUP(B62,'Cadastro de Produtos'!K:Q,7,0)</f>
        <v>#N/A</v>
      </c>
      <c r="E62" s="73">
        <f>'Cadastro de Produtos'!P40</f>
        <v>0</v>
      </c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</row>
    <row r="63" spans="1:41" ht="14.1" customHeight="1" x14ac:dyDescent="0.3">
      <c r="A63" s="62">
        <f>'Cadastro de Produtos'!O41</f>
        <v>0</v>
      </c>
      <c r="B63" s="63">
        <f>'Cadastro de Produtos'!K41</f>
        <v>0</v>
      </c>
      <c r="C63" s="63">
        <f>'Cadastro de Produtos'!L41</f>
        <v>0</v>
      </c>
      <c r="D63" s="72" t="e">
        <f>VLOOKUP(B63,'Cadastro de Produtos'!K:Q,7,0)</f>
        <v>#N/A</v>
      </c>
      <c r="E63" s="73">
        <f>'Cadastro de Produtos'!P41</f>
        <v>0</v>
      </c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</row>
    <row r="64" spans="1:41" ht="14.1" customHeight="1" x14ac:dyDescent="0.3">
      <c r="A64" s="62">
        <f>'Cadastro de Produtos'!O42</f>
        <v>0</v>
      </c>
      <c r="B64" s="63">
        <f>'Cadastro de Produtos'!K42</f>
        <v>0</v>
      </c>
      <c r="C64" s="63">
        <f>'Cadastro de Produtos'!L42</f>
        <v>0</v>
      </c>
      <c r="D64" s="72" t="e">
        <f>VLOOKUP(B64,'Cadastro de Produtos'!K:Q,7,0)</f>
        <v>#N/A</v>
      </c>
      <c r="E64" s="73">
        <f>'Cadastro de Produtos'!P42</f>
        <v>0</v>
      </c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1:41" ht="14.1" customHeight="1" x14ac:dyDescent="0.3">
      <c r="A65" s="62">
        <f>'Cadastro de Produtos'!O43</f>
        <v>0</v>
      </c>
      <c r="B65" s="63">
        <f>'Cadastro de Produtos'!K43</f>
        <v>0</v>
      </c>
      <c r="C65" s="63">
        <f>'Cadastro de Produtos'!L43</f>
        <v>0</v>
      </c>
      <c r="D65" s="72" t="e">
        <f>VLOOKUP(B65,'Cadastro de Produtos'!K:Q,7,0)</f>
        <v>#N/A</v>
      </c>
      <c r="E65" s="73">
        <f>'Cadastro de Produtos'!P43</f>
        <v>0</v>
      </c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1:41" ht="14.1" customHeight="1" x14ac:dyDescent="0.3">
      <c r="A66" s="62">
        <f>'Cadastro de Produtos'!O44</f>
        <v>0</v>
      </c>
      <c r="B66" s="63">
        <f>'Cadastro de Produtos'!K44</f>
        <v>0</v>
      </c>
      <c r="C66" s="63">
        <f>'Cadastro de Produtos'!L44</f>
        <v>0</v>
      </c>
      <c r="D66" s="72" t="e">
        <f>VLOOKUP(B66,'Cadastro de Produtos'!K:Q,7,0)</f>
        <v>#N/A</v>
      </c>
      <c r="E66" s="73">
        <f>'Cadastro de Produtos'!P44</f>
        <v>0</v>
      </c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1:41" ht="14.1" customHeight="1" x14ac:dyDescent="0.3">
      <c r="A67" s="62">
        <f>'Cadastro de Produtos'!O45</f>
        <v>0</v>
      </c>
      <c r="B67" s="63">
        <f>'Cadastro de Produtos'!K45</f>
        <v>0</v>
      </c>
      <c r="C67" s="63">
        <f>'Cadastro de Produtos'!L45</f>
        <v>0</v>
      </c>
      <c r="D67" s="72" t="e">
        <f>VLOOKUP(B67,'Cadastro de Produtos'!K:Q,7,0)</f>
        <v>#N/A</v>
      </c>
      <c r="E67" s="73">
        <f>'Cadastro de Produtos'!P45</f>
        <v>0</v>
      </c>
    </row>
    <row r="68" spans="1:41" ht="14.1" customHeight="1" x14ac:dyDescent="0.3">
      <c r="A68" s="62">
        <f>'Cadastro de Produtos'!O46</f>
        <v>0</v>
      </c>
      <c r="B68" s="63">
        <f>'Cadastro de Produtos'!K46</f>
        <v>0</v>
      </c>
      <c r="C68" s="63">
        <f>'Cadastro de Produtos'!L46</f>
        <v>0</v>
      </c>
      <c r="D68" s="72" t="e">
        <f>VLOOKUP(B68,'Cadastro de Produtos'!K:Q,7,0)</f>
        <v>#N/A</v>
      </c>
      <c r="E68" s="73">
        <f>'Cadastro de Produtos'!P46</f>
        <v>0</v>
      </c>
    </row>
    <row r="69" spans="1:41" ht="14.1" customHeight="1" x14ac:dyDescent="0.3">
      <c r="A69" s="62">
        <f>'Cadastro de Produtos'!O47</f>
        <v>0</v>
      </c>
      <c r="B69" s="63">
        <f>'Cadastro de Produtos'!K47</f>
        <v>0</v>
      </c>
      <c r="C69" s="63">
        <f>'Cadastro de Produtos'!L47</f>
        <v>0</v>
      </c>
      <c r="D69" s="72" t="e">
        <f>VLOOKUP(B69,'Cadastro de Produtos'!K:Q,7,0)</f>
        <v>#N/A</v>
      </c>
      <c r="E69" s="73">
        <f>'Cadastro de Produtos'!P47</f>
        <v>0</v>
      </c>
    </row>
    <row r="70" spans="1:41" ht="14.1" customHeight="1" x14ac:dyDescent="0.3">
      <c r="A70" s="62">
        <f>'Cadastro de Produtos'!O48</f>
        <v>0</v>
      </c>
      <c r="B70" s="63">
        <f>'Cadastro de Produtos'!K48</f>
        <v>0</v>
      </c>
      <c r="C70" s="63">
        <f>'Cadastro de Produtos'!L48</f>
        <v>0</v>
      </c>
      <c r="D70" s="72" t="e">
        <f>VLOOKUP(B70,'Cadastro de Produtos'!K:Q,7,0)</f>
        <v>#N/A</v>
      </c>
      <c r="E70" s="73">
        <f>'Cadastro de Produtos'!P48</f>
        <v>0</v>
      </c>
    </row>
    <row r="71" spans="1:41" ht="14.1" customHeight="1" x14ac:dyDescent="0.3">
      <c r="A71" s="62">
        <f>'Cadastro de Produtos'!O49</f>
        <v>0</v>
      </c>
      <c r="B71" s="63">
        <f>'Cadastro de Produtos'!K49</f>
        <v>0</v>
      </c>
      <c r="C71" s="63">
        <f>'Cadastro de Produtos'!L49</f>
        <v>0</v>
      </c>
      <c r="D71" s="72" t="e">
        <f>VLOOKUP(B71,'Cadastro de Produtos'!K:Q,7,0)</f>
        <v>#N/A</v>
      </c>
      <c r="E71" s="73">
        <f>'Cadastro de Produtos'!P49</f>
        <v>0</v>
      </c>
    </row>
    <row r="72" spans="1:41" ht="14.1" customHeight="1" x14ac:dyDescent="0.3">
      <c r="A72" s="62">
        <f>'Cadastro de Produtos'!O50</f>
        <v>0</v>
      </c>
      <c r="B72" s="63">
        <f>'Cadastro de Produtos'!K50</f>
        <v>0</v>
      </c>
      <c r="C72" s="63">
        <f>'Cadastro de Produtos'!L50</f>
        <v>0</v>
      </c>
      <c r="D72" s="72" t="e">
        <f>VLOOKUP(B72,'Cadastro de Produtos'!K:Q,7,0)</f>
        <v>#N/A</v>
      </c>
      <c r="E72" s="73">
        <f>'Cadastro de Produtos'!P50</f>
        <v>0</v>
      </c>
    </row>
    <row r="73" spans="1:41" ht="14.1" customHeight="1" x14ac:dyDescent="0.3">
      <c r="A73" s="62">
        <f>'Cadastro de Produtos'!O51</f>
        <v>0</v>
      </c>
      <c r="B73" s="63">
        <f>'Cadastro de Produtos'!K51</f>
        <v>0</v>
      </c>
      <c r="C73" s="63">
        <f>'Cadastro de Produtos'!L51</f>
        <v>0</v>
      </c>
      <c r="D73" s="72" t="e">
        <f>VLOOKUP(B73,'Cadastro de Produtos'!K:Q,7,0)</f>
        <v>#N/A</v>
      </c>
      <c r="E73" s="73">
        <f>'Cadastro de Produtos'!P51</f>
        <v>0</v>
      </c>
    </row>
    <row r="74" spans="1:41" ht="14.1" customHeight="1" x14ac:dyDescent="0.3">
      <c r="A74" s="62">
        <f>'Cadastro de Produtos'!O52</f>
        <v>0</v>
      </c>
      <c r="B74" s="63">
        <f>'Cadastro de Produtos'!K52</f>
        <v>0</v>
      </c>
      <c r="C74" s="63">
        <f>'Cadastro de Produtos'!L52</f>
        <v>0</v>
      </c>
      <c r="D74" s="72" t="e">
        <f>VLOOKUP(B74,'Cadastro de Produtos'!K:Q,7,0)</f>
        <v>#N/A</v>
      </c>
      <c r="E74" s="73">
        <f>'Cadastro de Produtos'!P52</f>
        <v>0</v>
      </c>
    </row>
    <row r="75" spans="1:41" ht="14.1" customHeight="1" x14ac:dyDescent="0.3">
      <c r="A75" s="62">
        <f>'Cadastro de Produtos'!O53</f>
        <v>0</v>
      </c>
      <c r="B75" s="63">
        <f>'Cadastro de Produtos'!K53</f>
        <v>0</v>
      </c>
      <c r="C75" s="63">
        <f>'Cadastro de Produtos'!L53</f>
        <v>0</v>
      </c>
      <c r="D75" s="72" t="e">
        <f>VLOOKUP(B75,'Cadastro de Produtos'!K:Q,7,0)</f>
        <v>#N/A</v>
      </c>
      <c r="E75" s="73">
        <f>'Cadastro de Produtos'!P53</f>
        <v>0</v>
      </c>
    </row>
    <row r="76" spans="1:41" ht="14.1" customHeight="1" x14ac:dyDescent="0.3">
      <c r="A76" s="62">
        <f>'Cadastro de Produtos'!O54</f>
        <v>0</v>
      </c>
      <c r="B76" s="63">
        <f>'Cadastro de Produtos'!K54</f>
        <v>0</v>
      </c>
      <c r="C76" s="63">
        <f>'Cadastro de Produtos'!L54</f>
        <v>0</v>
      </c>
      <c r="D76" s="72" t="e">
        <f>VLOOKUP(B76,'Cadastro de Produtos'!K:Q,7,0)</f>
        <v>#N/A</v>
      </c>
      <c r="E76" s="73">
        <f>'Cadastro de Produtos'!P54</f>
        <v>0</v>
      </c>
    </row>
    <row r="77" spans="1:41" ht="14.1" customHeight="1" x14ac:dyDescent="0.3">
      <c r="A77" s="62">
        <f>'Cadastro de Produtos'!O55</f>
        <v>0</v>
      </c>
      <c r="B77" s="63">
        <f>'Cadastro de Produtos'!K55</f>
        <v>0</v>
      </c>
      <c r="C77" s="63">
        <f>'Cadastro de Produtos'!L55</f>
        <v>0</v>
      </c>
      <c r="D77" s="72" t="e">
        <f>VLOOKUP(B77,'Cadastro de Produtos'!K:Q,7,0)</f>
        <v>#N/A</v>
      </c>
      <c r="E77" s="73">
        <f>'Cadastro de Produtos'!P55</f>
        <v>0</v>
      </c>
    </row>
    <row r="78" spans="1:41" ht="14.1" customHeight="1" x14ac:dyDescent="0.3">
      <c r="A78" s="62">
        <f>'Cadastro de Produtos'!O56</f>
        <v>0</v>
      </c>
      <c r="B78" s="63">
        <f>'Cadastro de Produtos'!K56</f>
        <v>0</v>
      </c>
      <c r="C78" s="63">
        <f>'Cadastro de Produtos'!L56</f>
        <v>0</v>
      </c>
      <c r="D78" s="72" t="e">
        <f>VLOOKUP(B78,'Cadastro de Produtos'!K:Q,7,0)</f>
        <v>#N/A</v>
      </c>
      <c r="E78" s="73">
        <f>'Cadastro de Produtos'!P56</f>
        <v>0</v>
      </c>
    </row>
    <row r="79" spans="1:41" ht="14.1" customHeight="1" x14ac:dyDescent="0.3">
      <c r="A79" s="62">
        <f>'Cadastro de Produtos'!O57</f>
        <v>0</v>
      </c>
      <c r="B79" s="63">
        <f>'Cadastro de Produtos'!K57</f>
        <v>0</v>
      </c>
      <c r="C79" s="63">
        <f>'Cadastro de Produtos'!L57</f>
        <v>0</v>
      </c>
      <c r="D79" s="72" t="e">
        <f>VLOOKUP(B79,'Cadastro de Produtos'!K:Q,7,0)</f>
        <v>#N/A</v>
      </c>
      <c r="E79" s="73">
        <f>'Cadastro de Produtos'!P57</f>
        <v>0</v>
      </c>
    </row>
    <row r="80" spans="1:41" ht="14.1" customHeight="1" x14ac:dyDescent="0.3">
      <c r="A80" s="62">
        <f>'Cadastro de Produtos'!O58</f>
        <v>0</v>
      </c>
      <c r="B80" s="63">
        <f>'Cadastro de Produtos'!K58</f>
        <v>0</v>
      </c>
      <c r="C80" s="63">
        <f>'Cadastro de Produtos'!L58</f>
        <v>0</v>
      </c>
      <c r="D80" s="72" t="e">
        <f>VLOOKUP(B80,'Cadastro de Produtos'!K:Q,7,0)</f>
        <v>#N/A</v>
      </c>
      <c r="E80" s="73">
        <f>'Cadastro de Produtos'!P58</f>
        <v>0</v>
      </c>
    </row>
    <row r="81" spans="1:5" ht="14.1" customHeight="1" x14ac:dyDescent="0.3">
      <c r="A81" s="62">
        <f>'Cadastro de Produtos'!O59</f>
        <v>0</v>
      </c>
      <c r="B81" s="63">
        <f>'Cadastro de Produtos'!K59</f>
        <v>0</v>
      </c>
      <c r="C81" s="63">
        <f>'Cadastro de Produtos'!L59</f>
        <v>0</v>
      </c>
      <c r="D81" s="72" t="e">
        <f>VLOOKUP(B81,'Cadastro de Produtos'!K:Q,7,0)</f>
        <v>#N/A</v>
      </c>
      <c r="E81" s="73">
        <f>'Cadastro de Produtos'!P59</f>
        <v>0</v>
      </c>
    </row>
    <row r="82" spans="1:5" x14ac:dyDescent="0.3">
      <c r="A82" s="62">
        <f>'Cadastro de Produtos'!O60</f>
        <v>0</v>
      </c>
      <c r="B82" s="63">
        <f>'Cadastro de Produtos'!K60</f>
        <v>0</v>
      </c>
      <c r="C82" s="63">
        <f>'Cadastro de Produtos'!L60</f>
        <v>0</v>
      </c>
      <c r="D82" s="72" t="e">
        <f>VLOOKUP(B82,'Cadastro de Produtos'!K:Q,7,0)</f>
        <v>#N/A</v>
      </c>
      <c r="E82" s="73">
        <f>'Cadastro de Produtos'!P60</f>
        <v>0</v>
      </c>
    </row>
    <row r="83" spans="1:5" x14ac:dyDescent="0.3">
      <c r="A83" s="62">
        <f>'Cadastro de Produtos'!O61</f>
        <v>0</v>
      </c>
      <c r="B83" s="63">
        <f>'Cadastro de Produtos'!K61</f>
        <v>0</v>
      </c>
      <c r="C83" s="63">
        <f>'Cadastro de Produtos'!L61</f>
        <v>0</v>
      </c>
      <c r="D83" s="72" t="e">
        <f>VLOOKUP(B83,'Cadastro de Produtos'!K:Q,7,0)</f>
        <v>#N/A</v>
      </c>
      <c r="E83" s="73">
        <f>'Cadastro de Produtos'!P61</f>
        <v>0</v>
      </c>
    </row>
    <row r="84" spans="1:5" x14ac:dyDescent="0.3">
      <c r="A84" s="62">
        <f>'Cadastro de Produtos'!O62</f>
        <v>0</v>
      </c>
      <c r="B84" s="63">
        <f>'Cadastro de Produtos'!K62</f>
        <v>0</v>
      </c>
      <c r="C84" s="63">
        <f>'Cadastro de Produtos'!L62</f>
        <v>0</v>
      </c>
      <c r="D84" s="72" t="e">
        <f>VLOOKUP(B84,'Cadastro de Produtos'!K:Q,7,0)</f>
        <v>#N/A</v>
      </c>
      <c r="E84" s="73">
        <f>'Cadastro de Produtos'!P62</f>
        <v>0</v>
      </c>
    </row>
    <row r="85" spans="1:5" x14ac:dyDescent="0.3">
      <c r="A85" s="62">
        <f>'Cadastro de Produtos'!O63</f>
        <v>0</v>
      </c>
      <c r="B85" s="63">
        <f>'Cadastro de Produtos'!K63</f>
        <v>0</v>
      </c>
      <c r="C85" s="63">
        <f>'Cadastro de Produtos'!L63</f>
        <v>0</v>
      </c>
      <c r="D85" s="72" t="e">
        <f>VLOOKUP(B85,'Cadastro de Produtos'!K:Q,7,0)</f>
        <v>#N/A</v>
      </c>
      <c r="E85" s="73">
        <f>'Cadastro de Produtos'!P63</f>
        <v>0</v>
      </c>
    </row>
    <row r="86" spans="1:5" x14ac:dyDescent="0.3">
      <c r="A86" s="62">
        <f>'Cadastro de Produtos'!O64</f>
        <v>0</v>
      </c>
      <c r="B86" s="63">
        <f>'Cadastro de Produtos'!K64</f>
        <v>0</v>
      </c>
      <c r="C86" s="63">
        <f>'Cadastro de Produtos'!L64</f>
        <v>0</v>
      </c>
      <c r="D86" s="72" t="e">
        <f>VLOOKUP(B86,'Cadastro de Produtos'!K:Q,7,0)</f>
        <v>#N/A</v>
      </c>
      <c r="E86" s="73">
        <f>'Cadastro de Produtos'!P64</f>
        <v>0</v>
      </c>
    </row>
    <row r="87" spans="1:5" x14ac:dyDescent="0.3">
      <c r="A87" s="62">
        <f>'Cadastro de Produtos'!O65</f>
        <v>0</v>
      </c>
      <c r="B87" s="63">
        <f>'Cadastro de Produtos'!K65</f>
        <v>0</v>
      </c>
      <c r="C87" s="63">
        <f>'Cadastro de Produtos'!L65</f>
        <v>0</v>
      </c>
      <c r="D87" s="72" t="e">
        <f>VLOOKUP(B87,'Cadastro de Produtos'!K:Q,7,0)</f>
        <v>#N/A</v>
      </c>
      <c r="E87" s="73">
        <f>'Cadastro de Produtos'!P65</f>
        <v>0</v>
      </c>
    </row>
    <row r="88" spans="1:5" x14ac:dyDescent="0.3">
      <c r="A88" s="62">
        <f>'Cadastro de Produtos'!O66</f>
        <v>0</v>
      </c>
      <c r="B88" s="63">
        <f>'Cadastro de Produtos'!K66</f>
        <v>0</v>
      </c>
      <c r="C88" s="63">
        <f>'Cadastro de Produtos'!L66</f>
        <v>0</v>
      </c>
      <c r="D88" s="72" t="e">
        <f>VLOOKUP(B88,'Cadastro de Produtos'!K:Q,7,0)</f>
        <v>#N/A</v>
      </c>
      <c r="E88" s="73">
        <f>'Cadastro de Produtos'!P66</f>
        <v>0</v>
      </c>
    </row>
    <row r="89" spans="1:5" x14ac:dyDescent="0.3">
      <c r="A89" s="62">
        <f>'Cadastro de Produtos'!O67</f>
        <v>0</v>
      </c>
      <c r="B89" s="63">
        <f>'Cadastro de Produtos'!K67</f>
        <v>0</v>
      </c>
      <c r="C89" s="63">
        <f>'Cadastro de Produtos'!L67</f>
        <v>0</v>
      </c>
      <c r="D89" s="72" t="e">
        <f>VLOOKUP(B89,'Cadastro de Produtos'!K:Q,7,0)</f>
        <v>#N/A</v>
      </c>
      <c r="E89" s="73">
        <f>'Cadastro de Produtos'!P67</f>
        <v>0</v>
      </c>
    </row>
    <row r="90" spans="1:5" x14ac:dyDescent="0.3">
      <c r="A90" s="62">
        <f>'Cadastro de Produtos'!O68</f>
        <v>0</v>
      </c>
      <c r="B90" s="63">
        <f>'Cadastro de Produtos'!K68</f>
        <v>0</v>
      </c>
      <c r="C90" s="63">
        <f>'Cadastro de Produtos'!L68</f>
        <v>0</v>
      </c>
      <c r="D90" s="72" t="e">
        <f>VLOOKUP(B90,'Cadastro de Produtos'!K:Q,7,0)</f>
        <v>#N/A</v>
      </c>
      <c r="E90" s="73">
        <f>'Cadastro de Produtos'!P68</f>
        <v>0</v>
      </c>
    </row>
    <row r="91" spans="1:5" x14ac:dyDescent="0.3">
      <c r="A91" s="62">
        <f>'Cadastro de Produtos'!O69</f>
        <v>0</v>
      </c>
      <c r="B91" s="63">
        <f>'Cadastro de Produtos'!K69</f>
        <v>0</v>
      </c>
      <c r="C91" s="63">
        <f>'Cadastro de Produtos'!L69</f>
        <v>0</v>
      </c>
      <c r="D91" s="72" t="e">
        <f>VLOOKUP(B91,'Cadastro de Produtos'!K:Q,7,0)</f>
        <v>#N/A</v>
      </c>
      <c r="E91" s="73">
        <f>'Cadastro de Produtos'!P69</f>
        <v>0</v>
      </c>
    </row>
    <row r="92" spans="1:5" x14ac:dyDescent="0.3">
      <c r="A92" s="62">
        <f>'Cadastro de Produtos'!O70</f>
        <v>0</v>
      </c>
      <c r="B92" s="63">
        <f>'Cadastro de Produtos'!K70</f>
        <v>0</v>
      </c>
      <c r="C92" s="63">
        <f>'Cadastro de Produtos'!L70</f>
        <v>0</v>
      </c>
      <c r="D92" s="72" t="e">
        <f>VLOOKUP(B92,'Cadastro de Produtos'!K:Q,7,0)</f>
        <v>#N/A</v>
      </c>
      <c r="E92" s="73">
        <f>'Cadastro de Produtos'!P70</f>
        <v>0</v>
      </c>
    </row>
    <row r="93" spans="1:5" x14ac:dyDescent="0.3">
      <c r="A93" s="62">
        <f>'Cadastro de Produtos'!O71</f>
        <v>0</v>
      </c>
      <c r="B93" s="63">
        <f>'Cadastro de Produtos'!K71</f>
        <v>0</v>
      </c>
      <c r="C93" s="63">
        <f>'Cadastro de Produtos'!L71</f>
        <v>0</v>
      </c>
      <c r="D93" s="72" t="e">
        <f>VLOOKUP(B93,'Cadastro de Produtos'!K:Q,7,0)</f>
        <v>#N/A</v>
      </c>
      <c r="E93" s="73">
        <f>'Cadastro de Produtos'!P71</f>
        <v>0</v>
      </c>
    </row>
    <row r="94" spans="1:5" x14ac:dyDescent="0.3">
      <c r="A94" s="62">
        <f>'Cadastro de Produtos'!O72</f>
        <v>0</v>
      </c>
      <c r="B94" s="63">
        <f>'Cadastro de Produtos'!K72</f>
        <v>0</v>
      </c>
      <c r="C94" s="63">
        <f>'Cadastro de Produtos'!L72</f>
        <v>0</v>
      </c>
      <c r="D94" s="72" t="e">
        <f>VLOOKUP(B94,'Cadastro de Produtos'!K:Q,7,0)</f>
        <v>#N/A</v>
      </c>
      <c r="E94" s="73">
        <f>'Cadastro de Produtos'!P72</f>
        <v>0</v>
      </c>
    </row>
    <row r="95" spans="1:5" x14ac:dyDescent="0.3">
      <c r="A95" s="62">
        <f>'Cadastro de Produtos'!O73</f>
        <v>0</v>
      </c>
      <c r="B95" s="63">
        <f>'Cadastro de Produtos'!K73</f>
        <v>0</v>
      </c>
      <c r="C95" s="63">
        <f>'Cadastro de Produtos'!L73</f>
        <v>0</v>
      </c>
      <c r="D95" s="72" t="e">
        <f>VLOOKUP(B95,'Cadastro de Produtos'!K:Q,7,0)</f>
        <v>#N/A</v>
      </c>
      <c r="E95" s="73">
        <f>'Cadastro de Produtos'!P73</f>
        <v>0</v>
      </c>
    </row>
    <row r="96" spans="1:5" x14ac:dyDescent="0.3">
      <c r="A96" s="62">
        <f>'Cadastro de Produtos'!O74</f>
        <v>0</v>
      </c>
      <c r="B96" s="63">
        <f>'Cadastro de Produtos'!K74</f>
        <v>0</v>
      </c>
      <c r="C96" s="63">
        <f>'Cadastro de Produtos'!L74</f>
        <v>0</v>
      </c>
      <c r="D96" s="72" t="e">
        <f>VLOOKUP(B96,'Cadastro de Produtos'!K:Q,7,0)</f>
        <v>#N/A</v>
      </c>
      <c r="E96" s="73">
        <f>'Cadastro de Produtos'!P74</f>
        <v>0</v>
      </c>
    </row>
    <row r="97" spans="1:5" x14ac:dyDescent="0.3">
      <c r="A97" s="62">
        <f>'Cadastro de Produtos'!O75</f>
        <v>0</v>
      </c>
      <c r="B97" s="63">
        <f>'Cadastro de Produtos'!K75</f>
        <v>0</v>
      </c>
      <c r="C97" s="63">
        <f>'Cadastro de Produtos'!L75</f>
        <v>0</v>
      </c>
      <c r="D97" s="72" t="e">
        <f>VLOOKUP(B97,'Cadastro de Produtos'!K:Q,7,0)</f>
        <v>#N/A</v>
      </c>
      <c r="E97" s="73">
        <f>'Cadastro de Produtos'!P75</f>
        <v>0</v>
      </c>
    </row>
    <row r="98" spans="1:5" x14ac:dyDescent="0.3">
      <c r="A98" s="62">
        <f>'Cadastro de Produtos'!O76</f>
        <v>0</v>
      </c>
      <c r="B98" s="63">
        <f>'Cadastro de Produtos'!K76</f>
        <v>0</v>
      </c>
      <c r="C98" s="63">
        <f>'Cadastro de Produtos'!L76</f>
        <v>0</v>
      </c>
      <c r="D98" s="72" t="e">
        <f>VLOOKUP(B98,'Cadastro de Produtos'!K:Q,7,0)</f>
        <v>#N/A</v>
      </c>
      <c r="E98" s="73">
        <f>'Cadastro de Produtos'!P76</f>
        <v>0</v>
      </c>
    </row>
    <row r="99" spans="1:5" x14ac:dyDescent="0.3">
      <c r="A99" s="62">
        <f>'Cadastro de Produtos'!O77</f>
        <v>0</v>
      </c>
      <c r="B99" s="63">
        <f>'Cadastro de Produtos'!K77</f>
        <v>0</v>
      </c>
      <c r="C99" s="63">
        <f>'Cadastro de Produtos'!L77</f>
        <v>0</v>
      </c>
      <c r="D99" s="72" t="e">
        <f>VLOOKUP(B99,'Cadastro de Produtos'!K:Q,7,0)</f>
        <v>#N/A</v>
      </c>
      <c r="E99" s="73">
        <f>'Cadastro de Produtos'!P77</f>
        <v>0</v>
      </c>
    </row>
    <row r="100" spans="1:5" x14ac:dyDescent="0.3">
      <c r="A100" s="62">
        <f>'Cadastro de Produtos'!O78</f>
        <v>0</v>
      </c>
      <c r="B100" s="63">
        <f>'Cadastro de Produtos'!K78</f>
        <v>0</v>
      </c>
      <c r="C100" s="63">
        <f>'Cadastro de Produtos'!L78</f>
        <v>0</v>
      </c>
      <c r="D100" s="72" t="e">
        <f>VLOOKUP(B100,'Cadastro de Produtos'!K:Q,7,0)</f>
        <v>#N/A</v>
      </c>
      <c r="E100" s="73">
        <f>'Cadastro de Produtos'!P78</f>
        <v>0</v>
      </c>
    </row>
    <row r="101" spans="1:5" x14ac:dyDescent="0.3">
      <c r="A101" s="62">
        <f>'Cadastro de Produtos'!O79</f>
        <v>0</v>
      </c>
      <c r="B101" s="63">
        <f>'Cadastro de Produtos'!K79</f>
        <v>0</v>
      </c>
      <c r="C101" s="63">
        <f>'Cadastro de Produtos'!L79</f>
        <v>0</v>
      </c>
      <c r="D101" s="72" t="e">
        <f>VLOOKUP(B101,'Cadastro de Produtos'!K:Q,7,0)</f>
        <v>#N/A</v>
      </c>
      <c r="E101" s="73">
        <f>'Cadastro de Produtos'!P79</f>
        <v>0</v>
      </c>
    </row>
    <row r="102" spans="1:5" x14ac:dyDescent="0.3">
      <c r="A102" s="62">
        <f>'Cadastro de Produtos'!O80</f>
        <v>0</v>
      </c>
      <c r="B102" s="63">
        <f>'Cadastro de Produtos'!K80</f>
        <v>0</v>
      </c>
      <c r="C102" s="63">
        <f>'Cadastro de Produtos'!L80</f>
        <v>0</v>
      </c>
      <c r="D102" s="72" t="e">
        <f>VLOOKUP(B102,'Cadastro de Produtos'!K:Q,7,0)</f>
        <v>#N/A</v>
      </c>
      <c r="E102" s="73">
        <f>'Cadastro de Produtos'!P80</f>
        <v>0</v>
      </c>
    </row>
    <row r="103" spans="1:5" x14ac:dyDescent="0.3">
      <c r="A103" s="62">
        <f>'Cadastro de Produtos'!O81</f>
        <v>0</v>
      </c>
      <c r="B103" s="63">
        <f>'Cadastro de Produtos'!K81</f>
        <v>0</v>
      </c>
      <c r="C103" s="63">
        <f>'Cadastro de Produtos'!L81</f>
        <v>0</v>
      </c>
      <c r="D103" s="72" t="e">
        <f>VLOOKUP(B103,'Cadastro de Produtos'!K:Q,7,0)</f>
        <v>#N/A</v>
      </c>
      <c r="E103" s="73">
        <f>'Cadastro de Produtos'!P81</f>
        <v>0</v>
      </c>
    </row>
    <row r="104" spans="1:5" x14ac:dyDescent="0.3">
      <c r="A104" s="62">
        <f>'Cadastro de Produtos'!O82</f>
        <v>0</v>
      </c>
      <c r="B104" s="63">
        <f>'Cadastro de Produtos'!K82</f>
        <v>0</v>
      </c>
      <c r="C104" s="63">
        <f>'Cadastro de Produtos'!L82</f>
        <v>0</v>
      </c>
      <c r="D104" s="72" t="e">
        <f>VLOOKUP(B104,'Cadastro de Produtos'!K:Q,7,0)</f>
        <v>#N/A</v>
      </c>
      <c r="E104" s="73">
        <f>'Cadastro de Produtos'!P82</f>
        <v>0</v>
      </c>
    </row>
    <row r="105" spans="1:5" x14ac:dyDescent="0.3">
      <c r="A105" s="62">
        <f>'Cadastro de Produtos'!O83</f>
        <v>0</v>
      </c>
      <c r="B105" s="63">
        <f>'Cadastro de Produtos'!K83</f>
        <v>0</v>
      </c>
      <c r="C105" s="63">
        <f>'Cadastro de Produtos'!L83</f>
        <v>0</v>
      </c>
      <c r="D105" s="72" t="e">
        <f>VLOOKUP(B105,'Cadastro de Produtos'!K:Q,7,0)</f>
        <v>#N/A</v>
      </c>
      <c r="E105" s="73">
        <f>'Cadastro de Produtos'!P83</f>
        <v>0</v>
      </c>
    </row>
    <row r="106" spans="1:5" x14ac:dyDescent="0.3">
      <c r="A106" s="62">
        <f>'Cadastro de Produtos'!O84</f>
        <v>0</v>
      </c>
      <c r="B106" s="63">
        <f>'Cadastro de Produtos'!K84</f>
        <v>0</v>
      </c>
      <c r="C106" s="63">
        <f>'Cadastro de Produtos'!L84</f>
        <v>0</v>
      </c>
      <c r="D106" s="72" t="e">
        <f>VLOOKUP(B106,'Cadastro de Produtos'!K:Q,7,0)</f>
        <v>#N/A</v>
      </c>
      <c r="E106" s="73">
        <f>'Cadastro de Produtos'!P84</f>
        <v>0</v>
      </c>
    </row>
    <row r="107" spans="1:5" x14ac:dyDescent="0.3">
      <c r="A107" s="62">
        <f>'Cadastro de Produtos'!O85</f>
        <v>0</v>
      </c>
      <c r="B107" s="63">
        <f>'Cadastro de Produtos'!K85</f>
        <v>0</v>
      </c>
      <c r="C107" s="63">
        <f>'Cadastro de Produtos'!L85</f>
        <v>0</v>
      </c>
      <c r="D107" s="72" t="e">
        <f>VLOOKUP(B107,'Cadastro de Produtos'!K:Q,7,0)</f>
        <v>#N/A</v>
      </c>
      <c r="E107" s="73">
        <f>'Cadastro de Produtos'!P85</f>
        <v>0</v>
      </c>
    </row>
    <row r="108" spans="1:5" x14ac:dyDescent="0.3">
      <c r="A108" s="62">
        <f>'Cadastro de Produtos'!O86</f>
        <v>0</v>
      </c>
      <c r="B108" s="63">
        <f>'Cadastro de Produtos'!K86</f>
        <v>0</v>
      </c>
      <c r="C108" s="63">
        <f>'Cadastro de Produtos'!L86</f>
        <v>0</v>
      </c>
      <c r="D108" s="72" t="e">
        <f>VLOOKUP(B108,'Cadastro de Produtos'!K:Q,7,0)</f>
        <v>#N/A</v>
      </c>
      <c r="E108" s="73">
        <f>'Cadastro de Produtos'!P86</f>
        <v>0</v>
      </c>
    </row>
    <row r="109" spans="1:5" x14ac:dyDescent="0.3">
      <c r="A109" s="62">
        <f>'Cadastro de Produtos'!O87</f>
        <v>0</v>
      </c>
      <c r="B109" s="63">
        <f>'Cadastro de Produtos'!K87</f>
        <v>0</v>
      </c>
      <c r="C109" s="63">
        <f>'Cadastro de Produtos'!L87</f>
        <v>0</v>
      </c>
      <c r="D109" s="72" t="e">
        <f>VLOOKUP(B109,'Cadastro de Produtos'!K:Q,7,0)</f>
        <v>#N/A</v>
      </c>
      <c r="E109" s="73">
        <f>'Cadastro de Produtos'!P87</f>
        <v>0</v>
      </c>
    </row>
    <row r="110" spans="1:5" x14ac:dyDescent="0.3">
      <c r="A110" s="62">
        <f>'Cadastro de Produtos'!O88</f>
        <v>0</v>
      </c>
      <c r="B110" s="63">
        <f>'Cadastro de Produtos'!K88</f>
        <v>0</v>
      </c>
      <c r="C110" s="63">
        <f>'Cadastro de Produtos'!L88</f>
        <v>0</v>
      </c>
      <c r="D110" s="72" t="e">
        <f>VLOOKUP(B110,'Cadastro de Produtos'!K:Q,7,0)</f>
        <v>#N/A</v>
      </c>
      <c r="E110" s="73">
        <f>'Cadastro de Produtos'!P88</f>
        <v>0</v>
      </c>
    </row>
    <row r="111" spans="1:5" x14ac:dyDescent="0.3">
      <c r="A111" s="62">
        <f>'Cadastro de Produtos'!O89</f>
        <v>0</v>
      </c>
      <c r="B111" s="63">
        <f>'Cadastro de Produtos'!K89</f>
        <v>0</v>
      </c>
      <c r="C111" s="63">
        <f>'Cadastro de Produtos'!L89</f>
        <v>0</v>
      </c>
      <c r="D111" s="72" t="e">
        <f>VLOOKUP(B111,'Cadastro de Produtos'!K:Q,7,0)</f>
        <v>#N/A</v>
      </c>
      <c r="E111" s="73">
        <f>'Cadastro de Produtos'!P89</f>
        <v>0</v>
      </c>
    </row>
    <row r="112" spans="1:5" x14ac:dyDescent="0.3">
      <c r="A112" s="62">
        <f>'Cadastro de Produtos'!O90</f>
        <v>0</v>
      </c>
      <c r="B112" s="63">
        <f>'Cadastro de Produtos'!K90</f>
        <v>0</v>
      </c>
      <c r="C112" s="63">
        <f>'Cadastro de Produtos'!L90</f>
        <v>0</v>
      </c>
      <c r="D112" s="72" t="e">
        <f>VLOOKUP(B112,'Cadastro de Produtos'!K:Q,7,0)</f>
        <v>#N/A</v>
      </c>
      <c r="E112" s="73">
        <f>'Cadastro de Produtos'!P90</f>
        <v>0</v>
      </c>
    </row>
    <row r="113" spans="1:5" x14ac:dyDescent="0.3">
      <c r="A113" s="62">
        <f>'Cadastro de Produtos'!O91</f>
        <v>0</v>
      </c>
      <c r="B113" s="63">
        <f>'Cadastro de Produtos'!K91</f>
        <v>0</v>
      </c>
      <c r="C113" s="63">
        <f>'Cadastro de Produtos'!L91</f>
        <v>0</v>
      </c>
      <c r="D113" s="72" t="e">
        <f>VLOOKUP(B113,'Cadastro de Produtos'!K:Q,7,0)</f>
        <v>#N/A</v>
      </c>
      <c r="E113" s="73">
        <f>'Cadastro de Produtos'!P91</f>
        <v>0</v>
      </c>
    </row>
    <row r="114" spans="1:5" x14ac:dyDescent="0.3">
      <c r="A114" s="62">
        <f>'Cadastro de Produtos'!O92</f>
        <v>0</v>
      </c>
      <c r="B114" s="63">
        <f>'Cadastro de Produtos'!K92</f>
        <v>0</v>
      </c>
      <c r="C114" s="63">
        <f>'Cadastro de Produtos'!L92</f>
        <v>0</v>
      </c>
      <c r="D114" s="72" t="e">
        <f>VLOOKUP(B114,'Cadastro de Produtos'!K:Q,7,0)</f>
        <v>#N/A</v>
      </c>
      <c r="E114" s="73">
        <f>'Cadastro de Produtos'!P92</f>
        <v>0</v>
      </c>
    </row>
    <row r="115" spans="1:5" x14ac:dyDescent="0.3">
      <c r="A115" s="62">
        <f>'Cadastro de Produtos'!O93</f>
        <v>0</v>
      </c>
      <c r="B115" s="63">
        <f>'Cadastro de Produtos'!K93</f>
        <v>0</v>
      </c>
      <c r="C115" s="63">
        <f>'Cadastro de Produtos'!L93</f>
        <v>0</v>
      </c>
      <c r="D115" s="72" t="e">
        <f>VLOOKUP(B115,'Cadastro de Produtos'!K:Q,7,0)</f>
        <v>#N/A</v>
      </c>
      <c r="E115" s="73">
        <f>'Cadastro de Produtos'!P93</f>
        <v>0</v>
      </c>
    </row>
    <row r="116" spans="1:5" x14ac:dyDescent="0.3">
      <c r="A116" s="62">
        <f>'Cadastro de Produtos'!O94</f>
        <v>0</v>
      </c>
      <c r="B116" s="63">
        <f>'Cadastro de Produtos'!K94</f>
        <v>0</v>
      </c>
      <c r="C116" s="63">
        <f>'Cadastro de Produtos'!L94</f>
        <v>0</v>
      </c>
      <c r="D116" s="72" t="e">
        <f>VLOOKUP(B116,'Cadastro de Produtos'!K:Q,7,0)</f>
        <v>#N/A</v>
      </c>
      <c r="E116" s="73">
        <f>'Cadastro de Produtos'!P94</f>
        <v>0</v>
      </c>
    </row>
    <row r="117" spans="1:5" x14ac:dyDescent="0.3">
      <c r="A117" s="62">
        <f>'Cadastro de Produtos'!O95</f>
        <v>0</v>
      </c>
      <c r="B117" s="63">
        <f>'Cadastro de Produtos'!K95</f>
        <v>0</v>
      </c>
      <c r="C117" s="63">
        <f>'Cadastro de Produtos'!L95</f>
        <v>0</v>
      </c>
      <c r="D117" s="72" t="e">
        <f>VLOOKUP(B117,'Cadastro de Produtos'!K:Q,7,0)</f>
        <v>#N/A</v>
      </c>
      <c r="E117" s="73">
        <f>'Cadastro de Produtos'!P95</f>
        <v>0</v>
      </c>
    </row>
    <row r="118" spans="1:5" x14ac:dyDescent="0.3">
      <c r="A118" s="62">
        <f>'Cadastro de Produtos'!O96</f>
        <v>0</v>
      </c>
      <c r="B118" s="63">
        <f>'Cadastro de Produtos'!K96</f>
        <v>0</v>
      </c>
      <c r="C118" s="63">
        <f>'Cadastro de Produtos'!L96</f>
        <v>0</v>
      </c>
      <c r="D118" s="72" t="e">
        <f>VLOOKUP(B118,'Cadastro de Produtos'!K:Q,7,0)</f>
        <v>#N/A</v>
      </c>
      <c r="E118" s="73">
        <f>'Cadastro de Produtos'!P96</f>
        <v>0</v>
      </c>
    </row>
    <row r="119" spans="1:5" x14ac:dyDescent="0.3">
      <c r="A119" s="62">
        <f>'Cadastro de Produtos'!O97</f>
        <v>0</v>
      </c>
      <c r="B119" s="63">
        <f>'Cadastro de Produtos'!K97</f>
        <v>0</v>
      </c>
      <c r="C119" s="63">
        <f>'Cadastro de Produtos'!L97</f>
        <v>0</v>
      </c>
      <c r="D119" s="72" t="e">
        <f>VLOOKUP(B119,'Cadastro de Produtos'!K:Q,7,0)</f>
        <v>#N/A</v>
      </c>
      <c r="E119" s="73">
        <f>'Cadastro de Produtos'!P97</f>
        <v>0</v>
      </c>
    </row>
    <row r="120" spans="1:5" x14ac:dyDescent="0.3">
      <c r="A120" s="62">
        <f>'Cadastro de Produtos'!O98</f>
        <v>0</v>
      </c>
      <c r="B120" s="63">
        <f>'Cadastro de Produtos'!K98</f>
        <v>0</v>
      </c>
      <c r="C120" s="63">
        <f>'Cadastro de Produtos'!L98</f>
        <v>0</v>
      </c>
      <c r="D120" s="72" t="e">
        <f>VLOOKUP(B120,'Cadastro de Produtos'!K:Q,7,0)</f>
        <v>#N/A</v>
      </c>
      <c r="E120" s="73">
        <f>'Cadastro de Produtos'!P98</f>
        <v>0</v>
      </c>
    </row>
    <row r="121" spans="1:5" x14ac:dyDescent="0.3">
      <c r="A121" s="62">
        <f>'Cadastro de Produtos'!O99</f>
        <v>0</v>
      </c>
      <c r="B121" s="63">
        <f>'Cadastro de Produtos'!K99</f>
        <v>0</v>
      </c>
      <c r="C121" s="63">
        <f>'Cadastro de Produtos'!L99</f>
        <v>0</v>
      </c>
      <c r="D121" s="72" t="e">
        <f>VLOOKUP(B121,'Cadastro de Produtos'!K:Q,7,0)</f>
        <v>#N/A</v>
      </c>
      <c r="E121" s="73">
        <f>'Cadastro de Produtos'!P99</f>
        <v>0</v>
      </c>
    </row>
    <row r="122" spans="1:5" x14ac:dyDescent="0.3">
      <c r="A122" s="62">
        <f>'Cadastro de Produtos'!O100</f>
        <v>0</v>
      </c>
      <c r="B122" s="63">
        <f>'Cadastro de Produtos'!K100</f>
        <v>0</v>
      </c>
      <c r="C122" s="63">
        <f>'Cadastro de Produtos'!L100</f>
        <v>0</v>
      </c>
      <c r="D122" s="72" t="e">
        <f>VLOOKUP(B122,'Cadastro de Produtos'!K:Q,7,0)</f>
        <v>#N/A</v>
      </c>
      <c r="E122" s="73">
        <f>'Cadastro de Produtos'!P100</f>
        <v>0</v>
      </c>
    </row>
    <row r="123" spans="1:5" x14ac:dyDescent="0.3">
      <c r="A123" s="62">
        <f>'Cadastro de Produtos'!O101</f>
        <v>0</v>
      </c>
      <c r="B123" s="63">
        <f>'Cadastro de Produtos'!K101</f>
        <v>0</v>
      </c>
      <c r="C123" s="63">
        <f>'Cadastro de Produtos'!L101</f>
        <v>0</v>
      </c>
      <c r="D123" s="72" t="e">
        <f>VLOOKUP(B123,'Cadastro de Produtos'!K:Q,7,0)</f>
        <v>#N/A</v>
      </c>
      <c r="E123" s="73">
        <f>'Cadastro de Produtos'!P101</f>
        <v>0</v>
      </c>
    </row>
    <row r="124" spans="1:5" x14ac:dyDescent="0.3">
      <c r="A124" s="62">
        <f>'Cadastro de Produtos'!O102</f>
        <v>0</v>
      </c>
      <c r="B124" s="63">
        <f>'Cadastro de Produtos'!K102</f>
        <v>0</v>
      </c>
      <c r="C124" s="63">
        <f>'Cadastro de Produtos'!L102</f>
        <v>0</v>
      </c>
      <c r="D124" s="72" t="e">
        <f>VLOOKUP(B124,'Cadastro de Produtos'!K:Q,7,0)</f>
        <v>#N/A</v>
      </c>
      <c r="E124" s="73">
        <f>'Cadastro de Produtos'!P102</f>
        <v>0</v>
      </c>
    </row>
    <row r="125" spans="1:5" x14ac:dyDescent="0.3">
      <c r="A125" s="62">
        <f>'Cadastro de Produtos'!O103</f>
        <v>0</v>
      </c>
      <c r="B125" s="63">
        <f>'Cadastro de Produtos'!K103</f>
        <v>0</v>
      </c>
      <c r="C125" s="63">
        <f>'Cadastro de Produtos'!L103</f>
        <v>0</v>
      </c>
      <c r="D125" s="72" t="e">
        <f>VLOOKUP(B125,'Cadastro de Produtos'!K:Q,7,0)</f>
        <v>#N/A</v>
      </c>
      <c r="E125" s="73">
        <f>'Cadastro de Produtos'!P103</f>
        <v>0</v>
      </c>
    </row>
    <row r="126" spans="1:5" x14ac:dyDescent="0.3">
      <c r="A126" s="62">
        <f>'Cadastro de Produtos'!O104</f>
        <v>0</v>
      </c>
      <c r="B126" s="63">
        <f>'Cadastro de Produtos'!K104</f>
        <v>0</v>
      </c>
      <c r="C126" s="63">
        <f>'Cadastro de Produtos'!L104</f>
        <v>0</v>
      </c>
      <c r="D126" s="72" t="e">
        <f>VLOOKUP(B126,'Cadastro de Produtos'!K:Q,7,0)</f>
        <v>#N/A</v>
      </c>
      <c r="E126" s="73">
        <f>'Cadastro de Produtos'!P104</f>
        <v>0</v>
      </c>
    </row>
    <row r="127" spans="1:5" x14ac:dyDescent="0.3">
      <c r="A127" s="62">
        <f>'Cadastro de Produtos'!O105</f>
        <v>0</v>
      </c>
      <c r="B127" s="63">
        <f>'Cadastro de Produtos'!K105</f>
        <v>0</v>
      </c>
      <c r="C127" s="63">
        <f>'Cadastro de Produtos'!L105</f>
        <v>0</v>
      </c>
      <c r="D127" s="72" t="e">
        <f>VLOOKUP(B127,'Cadastro de Produtos'!K:Q,7,0)</f>
        <v>#N/A</v>
      </c>
      <c r="E127" s="73">
        <f>'Cadastro de Produtos'!P105</f>
        <v>0</v>
      </c>
    </row>
    <row r="128" spans="1:5" x14ac:dyDescent="0.3">
      <c r="A128" s="62">
        <f>'Cadastro de Produtos'!O106</f>
        <v>0</v>
      </c>
      <c r="B128" s="63">
        <f>'Cadastro de Produtos'!K106</f>
        <v>0</v>
      </c>
      <c r="C128" s="63">
        <f>'Cadastro de Produtos'!L106</f>
        <v>0</v>
      </c>
      <c r="D128" s="72" t="e">
        <f>VLOOKUP(B128,'Cadastro de Produtos'!K:Q,7,0)</f>
        <v>#N/A</v>
      </c>
      <c r="E128" s="73">
        <f>'Cadastro de Produtos'!P106</f>
        <v>0</v>
      </c>
    </row>
    <row r="129" spans="1:5" x14ac:dyDescent="0.3">
      <c r="A129" s="62">
        <f>'Cadastro de Produtos'!O107</f>
        <v>0</v>
      </c>
      <c r="B129" s="63">
        <f>'Cadastro de Produtos'!K107</f>
        <v>0</v>
      </c>
      <c r="C129" s="63">
        <f>'Cadastro de Produtos'!L107</f>
        <v>0</v>
      </c>
      <c r="D129" s="72" t="e">
        <f>VLOOKUP(B129,'Cadastro de Produtos'!K:Q,7,0)</f>
        <v>#N/A</v>
      </c>
      <c r="E129" s="73">
        <f>'Cadastro de Produtos'!P107</f>
        <v>0</v>
      </c>
    </row>
    <row r="130" spans="1:5" x14ac:dyDescent="0.3">
      <c r="A130" s="62">
        <f>'Cadastro de Produtos'!O108</f>
        <v>0</v>
      </c>
      <c r="B130" s="63">
        <f>'Cadastro de Produtos'!K108</f>
        <v>0</v>
      </c>
      <c r="C130" s="63">
        <f>'Cadastro de Produtos'!L108</f>
        <v>0</v>
      </c>
      <c r="D130" s="72" t="e">
        <f>VLOOKUP(B130,'Cadastro de Produtos'!K:Q,7,0)</f>
        <v>#N/A</v>
      </c>
      <c r="E130" s="73">
        <f>'Cadastro de Produtos'!P108</f>
        <v>0</v>
      </c>
    </row>
    <row r="131" spans="1:5" x14ac:dyDescent="0.3">
      <c r="A131" s="62">
        <f>'Cadastro de Produtos'!O109</f>
        <v>0</v>
      </c>
      <c r="B131" s="63">
        <f>'Cadastro de Produtos'!K109</f>
        <v>0</v>
      </c>
      <c r="C131" s="63">
        <f>'Cadastro de Produtos'!L109</f>
        <v>0</v>
      </c>
      <c r="D131" s="72" t="e">
        <f>VLOOKUP(B131,'Cadastro de Produtos'!K:Q,7,0)</f>
        <v>#N/A</v>
      </c>
      <c r="E131" s="73">
        <f>'Cadastro de Produtos'!P109</f>
        <v>0</v>
      </c>
    </row>
    <row r="132" spans="1:5" x14ac:dyDescent="0.3">
      <c r="A132" s="62">
        <f>'Cadastro de Produtos'!O110</f>
        <v>0</v>
      </c>
      <c r="B132" s="63">
        <f>'Cadastro de Produtos'!K110</f>
        <v>0</v>
      </c>
      <c r="C132" s="63">
        <f>'Cadastro de Produtos'!L110</f>
        <v>0</v>
      </c>
      <c r="D132" s="72" t="e">
        <f>VLOOKUP(B132,'Cadastro de Produtos'!K:Q,7,0)</f>
        <v>#N/A</v>
      </c>
      <c r="E132" s="73">
        <f>'Cadastro de Produtos'!P110</f>
        <v>0</v>
      </c>
    </row>
    <row r="133" spans="1:5" x14ac:dyDescent="0.3">
      <c r="A133" s="62">
        <f>'Cadastro de Produtos'!O111</f>
        <v>0</v>
      </c>
      <c r="B133" s="63">
        <f>'Cadastro de Produtos'!K111</f>
        <v>0</v>
      </c>
      <c r="C133" s="63">
        <f>'Cadastro de Produtos'!L111</f>
        <v>0</v>
      </c>
      <c r="D133" s="72" t="e">
        <f>VLOOKUP(B133,'Cadastro de Produtos'!K:Q,7,0)</f>
        <v>#N/A</v>
      </c>
      <c r="E133" s="73">
        <f>'Cadastro de Produtos'!P111</f>
        <v>0</v>
      </c>
    </row>
    <row r="134" spans="1:5" x14ac:dyDescent="0.3">
      <c r="A134" s="62">
        <f>'Cadastro de Produtos'!O112</f>
        <v>0</v>
      </c>
      <c r="B134" s="63">
        <f>'Cadastro de Produtos'!K112</f>
        <v>0</v>
      </c>
      <c r="C134" s="63">
        <f>'Cadastro de Produtos'!L112</f>
        <v>0</v>
      </c>
      <c r="D134" s="72" t="e">
        <f>VLOOKUP(B134,'Cadastro de Produtos'!K:Q,7,0)</f>
        <v>#N/A</v>
      </c>
      <c r="E134" s="73">
        <f>'Cadastro de Produtos'!P112</f>
        <v>0</v>
      </c>
    </row>
    <row r="135" spans="1:5" x14ac:dyDescent="0.3">
      <c r="A135" s="62">
        <f>'Cadastro de Produtos'!O113</f>
        <v>0</v>
      </c>
      <c r="B135" s="63">
        <f>'Cadastro de Produtos'!K113</f>
        <v>0</v>
      </c>
      <c r="C135" s="63">
        <f>'Cadastro de Produtos'!L113</f>
        <v>0</v>
      </c>
      <c r="D135" s="72" t="e">
        <f>VLOOKUP(B135,'Cadastro de Produtos'!K:Q,7,0)</f>
        <v>#N/A</v>
      </c>
      <c r="E135" s="73">
        <f>'Cadastro de Produtos'!P113</f>
        <v>0</v>
      </c>
    </row>
    <row r="136" spans="1:5" x14ac:dyDescent="0.3">
      <c r="A136" s="62">
        <f>'Cadastro de Produtos'!O114</f>
        <v>0</v>
      </c>
      <c r="B136" s="63">
        <f>'Cadastro de Produtos'!K114</f>
        <v>0</v>
      </c>
      <c r="C136" s="63">
        <f>'Cadastro de Produtos'!L114</f>
        <v>0</v>
      </c>
      <c r="D136" s="72" t="e">
        <f>VLOOKUP(B136,'Cadastro de Produtos'!K:Q,7,0)</f>
        <v>#N/A</v>
      </c>
      <c r="E136" s="73">
        <f>'Cadastro de Produtos'!P114</f>
        <v>0</v>
      </c>
    </row>
    <row r="137" spans="1:5" x14ac:dyDescent="0.3">
      <c r="A137" s="62">
        <f>'Cadastro de Produtos'!O115</f>
        <v>0</v>
      </c>
      <c r="B137" s="63">
        <f>'Cadastro de Produtos'!K115</f>
        <v>0</v>
      </c>
      <c r="C137" s="63">
        <f>'Cadastro de Produtos'!L115</f>
        <v>0</v>
      </c>
      <c r="D137" s="72" t="e">
        <f>VLOOKUP(B137,'Cadastro de Produtos'!K:Q,7,0)</f>
        <v>#N/A</v>
      </c>
      <c r="E137" s="73">
        <f>'Cadastro de Produtos'!P115</f>
        <v>0</v>
      </c>
    </row>
    <row r="138" spans="1:5" x14ac:dyDescent="0.3">
      <c r="A138" s="62">
        <f>'Cadastro de Produtos'!O116</f>
        <v>0</v>
      </c>
      <c r="B138" s="63">
        <f>'Cadastro de Produtos'!K116</f>
        <v>0</v>
      </c>
      <c r="C138" s="63">
        <f>'Cadastro de Produtos'!L116</f>
        <v>0</v>
      </c>
      <c r="D138" s="72" t="e">
        <f>VLOOKUP(B138,'Cadastro de Produtos'!K:Q,7,0)</f>
        <v>#N/A</v>
      </c>
      <c r="E138" s="73">
        <f>'Cadastro de Produtos'!P116</f>
        <v>0</v>
      </c>
    </row>
    <row r="139" spans="1:5" x14ac:dyDescent="0.3">
      <c r="A139" s="62">
        <f>'Cadastro de Produtos'!O117</f>
        <v>0</v>
      </c>
      <c r="B139" s="63">
        <f>'Cadastro de Produtos'!K117</f>
        <v>0</v>
      </c>
      <c r="C139" s="63">
        <f>'Cadastro de Produtos'!L117</f>
        <v>0</v>
      </c>
      <c r="D139" s="72" t="e">
        <f>VLOOKUP(B139,'Cadastro de Produtos'!K:Q,7,0)</f>
        <v>#N/A</v>
      </c>
      <c r="E139" s="73">
        <f>'Cadastro de Produtos'!P117</f>
        <v>0</v>
      </c>
    </row>
    <row r="140" spans="1:5" x14ac:dyDescent="0.3">
      <c r="A140" s="62">
        <f>'Cadastro de Produtos'!O118</f>
        <v>0</v>
      </c>
      <c r="B140" s="63">
        <f>'Cadastro de Produtos'!K118</f>
        <v>0</v>
      </c>
      <c r="C140" s="63">
        <f>'Cadastro de Produtos'!L118</f>
        <v>0</v>
      </c>
      <c r="D140" s="72" t="e">
        <f>VLOOKUP(B140,'Cadastro de Produtos'!K:Q,7,0)</f>
        <v>#N/A</v>
      </c>
      <c r="E140" s="73">
        <f>'Cadastro de Produtos'!P118</f>
        <v>0</v>
      </c>
    </row>
    <row r="141" spans="1:5" x14ac:dyDescent="0.3">
      <c r="A141" s="62">
        <f>'Cadastro de Produtos'!O119</f>
        <v>0</v>
      </c>
      <c r="B141" s="63">
        <f>'Cadastro de Produtos'!K119</f>
        <v>0</v>
      </c>
      <c r="C141" s="63">
        <f>'Cadastro de Produtos'!L119</f>
        <v>0</v>
      </c>
      <c r="D141" s="72" t="e">
        <f>VLOOKUP(B141,'Cadastro de Produtos'!K:Q,7,0)</f>
        <v>#N/A</v>
      </c>
      <c r="E141" s="73">
        <f>'Cadastro de Produtos'!P119</f>
        <v>0</v>
      </c>
    </row>
    <row r="142" spans="1:5" x14ac:dyDescent="0.3">
      <c r="A142" s="62">
        <f>'Cadastro de Produtos'!O120</f>
        <v>0</v>
      </c>
      <c r="B142" s="63">
        <f>'Cadastro de Produtos'!K120</f>
        <v>0</v>
      </c>
      <c r="C142" s="63">
        <f>'Cadastro de Produtos'!L120</f>
        <v>0</v>
      </c>
      <c r="D142" s="72" t="e">
        <f>VLOOKUP(B142,'Cadastro de Produtos'!K:Q,7,0)</f>
        <v>#N/A</v>
      </c>
      <c r="E142" s="73">
        <f>'Cadastro de Produtos'!P120</f>
        <v>0</v>
      </c>
    </row>
    <row r="143" spans="1:5" x14ac:dyDescent="0.3">
      <c r="A143" s="62">
        <f>'Cadastro de Produtos'!O121</f>
        <v>0</v>
      </c>
      <c r="B143" s="63">
        <f>'Cadastro de Produtos'!K121</f>
        <v>0</v>
      </c>
      <c r="C143" s="63">
        <f>'Cadastro de Produtos'!L121</f>
        <v>0</v>
      </c>
      <c r="D143" s="72" t="e">
        <f>VLOOKUP(B143,'Cadastro de Produtos'!K:Q,7,0)</f>
        <v>#N/A</v>
      </c>
      <c r="E143" s="73">
        <f>'Cadastro de Produtos'!P121</f>
        <v>0</v>
      </c>
    </row>
    <row r="144" spans="1:5" x14ac:dyDescent="0.3">
      <c r="A144" s="62">
        <f>'Cadastro de Produtos'!O122</f>
        <v>0</v>
      </c>
      <c r="B144" s="63">
        <f>'Cadastro de Produtos'!K122</f>
        <v>0</v>
      </c>
      <c r="C144" s="63">
        <f>'Cadastro de Produtos'!L122</f>
        <v>0</v>
      </c>
      <c r="D144" s="72" t="e">
        <f>VLOOKUP(B144,'Cadastro de Produtos'!K:Q,7,0)</f>
        <v>#N/A</v>
      </c>
      <c r="E144" s="73">
        <f>'Cadastro de Produtos'!P122</f>
        <v>0</v>
      </c>
    </row>
    <row r="145" spans="1:5" x14ac:dyDescent="0.3">
      <c r="A145" s="62">
        <f>'Cadastro de Produtos'!O123</f>
        <v>0</v>
      </c>
      <c r="B145" s="63">
        <f>'Cadastro de Produtos'!K123</f>
        <v>0</v>
      </c>
      <c r="C145" s="63">
        <f>'Cadastro de Produtos'!L123</f>
        <v>0</v>
      </c>
      <c r="D145" s="72" t="e">
        <f>VLOOKUP(B145,'Cadastro de Produtos'!K:Q,7,0)</f>
        <v>#N/A</v>
      </c>
      <c r="E145" s="73">
        <f>'Cadastro de Produtos'!P123</f>
        <v>0</v>
      </c>
    </row>
    <row r="146" spans="1:5" x14ac:dyDescent="0.3">
      <c r="A146" s="62">
        <f>'Cadastro de Produtos'!O124</f>
        <v>0</v>
      </c>
      <c r="B146" s="63">
        <f>'Cadastro de Produtos'!K124</f>
        <v>0</v>
      </c>
      <c r="C146" s="63">
        <f>'Cadastro de Produtos'!L124</f>
        <v>0</v>
      </c>
      <c r="D146" s="72" t="e">
        <f>VLOOKUP(B146,'Cadastro de Produtos'!K:Q,7,0)</f>
        <v>#N/A</v>
      </c>
      <c r="E146" s="73">
        <f>'Cadastro de Produtos'!P124</f>
        <v>0</v>
      </c>
    </row>
    <row r="147" spans="1:5" x14ac:dyDescent="0.3">
      <c r="A147" s="62">
        <f>'Cadastro de Produtos'!O125</f>
        <v>0</v>
      </c>
      <c r="B147" s="63">
        <f>'Cadastro de Produtos'!K125</f>
        <v>0</v>
      </c>
      <c r="C147" s="63">
        <f>'Cadastro de Produtos'!L125</f>
        <v>0</v>
      </c>
      <c r="D147" s="72" t="e">
        <f>VLOOKUP(B147,'Cadastro de Produtos'!K:Q,7,0)</f>
        <v>#N/A</v>
      </c>
      <c r="E147" s="73">
        <f>'Cadastro de Produtos'!P125</f>
        <v>0</v>
      </c>
    </row>
    <row r="148" spans="1:5" x14ac:dyDescent="0.3">
      <c r="A148" s="62">
        <f>'Cadastro de Produtos'!O126</f>
        <v>0</v>
      </c>
      <c r="B148" s="63">
        <f>'Cadastro de Produtos'!K126</f>
        <v>0</v>
      </c>
      <c r="C148" s="63">
        <f>'Cadastro de Produtos'!L126</f>
        <v>0</v>
      </c>
      <c r="D148" s="72" t="e">
        <f>VLOOKUP(B148,'Cadastro de Produtos'!K:Q,7,0)</f>
        <v>#N/A</v>
      </c>
      <c r="E148" s="73">
        <f>'Cadastro de Produtos'!P126</f>
        <v>0</v>
      </c>
    </row>
    <row r="149" spans="1:5" x14ac:dyDescent="0.3">
      <c r="A149" s="62">
        <f>'Cadastro de Produtos'!O127</f>
        <v>0</v>
      </c>
      <c r="B149" s="63">
        <f>'Cadastro de Produtos'!K127</f>
        <v>0</v>
      </c>
      <c r="C149" s="63">
        <f>'Cadastro de Produtos'!L127</f>
        <v>0</v>
      </c>
      <c r="D149" s="72" t="e">
        <f>VLOOKUP(B149,'Cadastro de Produtos'!K:Q,7,0)</f>
        <v>#N/A</v>
      </c>
      <c r="E149" s="73">
        <f>'Cadastro de Produtos'!P127</f>
        <v>0</v>
      </c>
    </row>
    <row r="150" spans="1:5" x14ac:dyDescent="0.3">
      <c r="A150" s="62">
        <f>'Cadastro de Produtos'!O128</f>
        <v>0</v>
      </c>
      <c r="B150" s="63">
        <f>'Cadastro de Produtos'!K128</f>
        <v>0</v>
      </c>
      <c r="C150" s="63">
        <f>'Cadastro de Produtos'!L128</f>
        <v>0</v>
      </c>
      <c r="D150" s="72" t="e">
        <f>VLOOKUP(B150,'Cadastro de Produtos'!K:Q,7,0)</f>
        <v>#N/A</v>
      </c>
      <c r="E150" s="73">
        <f>'Cadastro de Produtos'!P128</f>
        <v>0</v>
      </c>
    </row>
    <row r="151" spans="1:5" x14ac:dyDescent="0.3">
      <c r="A151" s="62">
        <f>'Cadastro de Produtos'!O129</f>
        <v>0</v>
      </c>
      <c r="B151" s="63">
        <f>'Cadastro de Produtos'!K129</f>
        <v>0</v>
      </c>
      <c r="C151" s="63">
        <f>'Cadastro de Produtos'!L129</f>
        <v>0</v>
      </c>
      <c r="D151" s="72" t="e">
        <f>VLOOKUP(B151,'Cadastro de Produtos'!K:Q,7,0)</f>
        <v>#N/A</v>
      </c>
      <c r="E151" s="73">
        <f>'Cadastro de Produtos'!P129</f>
        <v>0</v>
      </c>
    </row>
    <row r="152" spans="1:5" x14ac:dyDescent="0.3">
      <c r="A152" s="62">
        <f>'Cadastro de Produtos'!O130</f>
        <v>0</v>
      </c>
      <c r="B152" s="63">
        <f>'Cadastro de Produtos'!K130</f>
        <v>0</v>
      </c>
      <c r="C152" s="63">
        <f>'Cadastro de Produtos'!L130</f>
        <v>0</v>
      </c>
      <c r="D152" s="72" t="e">
        <f>VLOOKUP(B152,'Cadastro de Produtos'!K:Q,7,0)</f>
        <v>#N/A</v>
      </c>
      <c r="E152" s="73">
        <f>'Cadastro de Produtos'!P130</f>
        <v>0</v>
      </c>
    </row>
    <row r="153" spans="1:5" x14ac:dyDescent="0.3">
      <c r="A153" s="62">
        <f>'Cadastro de Produtos'!O131</f>
        <v>0</v>
      </c>
      <c r="B153" s="63">
        <f>'Cadastro de Produtos'!K131</f>
        <v>0</v>
      </c>
      <c r="C153" s="63">
        <f>'Cadastro de Produtos'!L131</f>
        <v>0</v>
      </c>
      <c r="D153" s="72" t="e">
        <f>VLOOKUP(B153,'Cadastro de Produtos'!K:Q,7,0)</f>
        <v>#N/A</v>
      </c>
      <c r="E153" s="73">
        <f>'Cadastro de Produtos'!P131</f>
        <v>0</v>
      </c>
    </row>
    <row r="154" spans="1:5" x14ac:dyDescent="0.3">
      <c r="A154" s="62">
        <f>'Cadastro de Produtos'!O132</f>
        <v>0</v>
      </c>
      <c r="B154" s="63">
        <f>'Cadastro de Produtos'!K132</f>
        <v>0</v>
      </c>
      <c r="C154" s="63">
        <f>'Cadastro de Produtos'!L132</f>
        <v>0</v>
      </c>
      <c r="D154" s="72" t="e">
        <f>VLOOKUP(B154,'Cadastro de Produtos'!K:Q,7,0)</f>
        <v>#N/A</v>
      </c>
      <c r="E154" s="73">
        <f>'Cadastro de Produtos'!P132</f>
        <v>0</v>
      </c>
    </row>
    <row r="155" spans="1:5" x14ac:dyDescent="0.3">
      <c r="A155" s="62">
        <f>'Cadastro de Produtos'!O133</f>
        <v>0</v>
      </c>
      <c r="B155" s="63">
        <f>'Cadastro de Produtos'!K133</f>
        <v>0</v>
      </c>
      <c r="C155" s="63">
        <f>'Cadastro de Produtos'!L133</f>
        <v>0</v>
      </c>
      <c r="D155" s="72" t="e">
        <f>VLOOKUP(B155,'Cadastro de Produtos'!K:Q,7,0)</f>
        <v>#N/A</v>
      </c>
      <c r="E155" s="73">
        <f>'Cadastro de Produtos'!P133</f>
        <v>0</v>
      </c>
    </row>
    <row r="156" spans="1:5" x14ac:dyDescent="0.3">
      <c r="A156" s="62">
        <f>'Cadastro de Produtos'!O134</f>
        <v>0</v>
      </c>
      <c r="B156" s="63">
        <f>'Cadastro de Produtos'!K134</f>
        <v>0</v>
      </c>
      <c r="C156" s="63">
        <f>'Cadastro de Produtos'!L134</f>
        <v>0</v>
      </c>
      <c r="D156" s="72" t="e">
        <f>VLOOKUP(B156,'Cadastro de Produtos'!K:Q,7,0)</f>
        <v>#N/A</v>
      </c>
      <c r="E156" s="73">
        <f>'Cadastro de Produtos'!P134</f>
        <v>0</v>
      </c>
    </row>
    <row r="157" spans="1:5" x14ac:dyDescent="0.3">
      <c r="A157" s="62">
        <f>'Cadastro de Produtos'!O135</f>
        <v>0</v>
      </c>
      <c r="B157" s="63">
        <f>'Cadastro de Produtos'!K135</f>
        <v>0</v>
      </c>
      <c r="C157" s="63">
        <f>'Cadastro de Produtos'!L135</f>
        <v>0</v>
      </c>
      <c r="D157" s="72" t="e">
        <f>VLOOKUP(B157,'Cadastro de Produtos'!K:Q,7,0)</f>
        <v>#N/A</v>
      </c>
      <c r="E157" s="73">
        <f>'Cadastro de Produtos'!P135</f>
        <v>0</v>
      </c>
    </row>
    <row r="158" spans="1:5" x14ac:dyDescent="0.3">
      <c r="A158" s="62">
        <f>'Cadastro de Produtos'!O136</f>
        <v>0</v>
      </c>
      <c r="B158" s="63">
        <f>'Cadastro de Produtos'!K136</f>
        <v>0</v>
      </c>
      <c r="C158" s="63">
        <f>'Cadastro de Produtos'!L136</f>
        <v>0</v>
      </c>
      <c r="D158" s="72" t="e">
        <f>VLOOKUP(B158,'Cadastro de Produtos'!K:Q,7,0)</f>
        <v>#N/A</v>
      </c>
      <c r="E158" s="73">
        <f>'Cadastro de Produtos'!P136</f>
        <v>0</v>
      </c>
    </row>
    <row r="159" spans="1:5" x14ac:dyDescent="0.3">
      <c r="A159" s="62">
        <f>'Cadastro de Produtos'!O137</f>
        <v>0</v>
      </c>
      <c r="B159" s="63">
        <f>'Cadastro de Produtos'!K137</f>
        <v>0</v>
      </c>
      <c r="C159" s="63">
        <f>'Cadastro de Produtos'!L137</f>
        <v>0</v>
      </c>
      <c r="D159" s="72" t="e">
        <f>VLOOKUP(B159,'Cadastro de Produtos'!K:Q,7,0)</f>
        <v>#N/A</v>
      </c>
      <c r="E159" s="73">
        <f>'Cadastro de Produtos'!P137</f>
        <v>0</v>
      </c>
    </row>
    <row r="160" spans="1:5" x14ac:dyDescent="0.3">
      <c r="A160" s="62">
        <f>'Cadastro de Produtos'!O138</f>
        <v>0</v>
      </c>
      <c r="B160" s="63">
        <f>'Cadastro de Produtos'!K138</f>
        <v>0</v>
      </c>
      <c r="C160" s="63">
        <f>'Cadastro de Produtos'!L138</f>
        <v>0</v>
      </c>
      <c r="D160" s="72" t="e">
        <f>VLOOKUP(B160,'Cadastro de Produtos'!K:Q,7,0)</f>
        <v>#N/A</v>
      </c>
      <c r="E160" s="73">
        <f>'Cadastro de Produtos'!P138</f>
        <v>0</v>
      </c>
    </row>
    <row r="161" spans="1:5" x14ac:dyDescent="0.3">
      <c r="A161" s="62">
        <f>'Cadastro de Produtos'!O139</f>
        <v>0</v>
      </c>
      <c r="B161" s="63">
        <f>'Cadastro de Produtos'!K139</f>
        <v>0</v>
      </c>
      <c r="C161" s="63">
        <f>'Cadastro de Produtos'!L139</f>
        <v>0</v>
      </c>
      <c r="D161" s="72" t="e">
        <f>VLOOKUP(B161,'Cadastro de Produtos'!K:Q,7,0)</f>
        <v>#N/A</v>
      </c>
      <c r="E161" s="73">
        <f>'Cadastro de Produtos'!P139</f>
        <v>0</v>
      </c>
    </row>
    <row r="162" spans="1:5" x14ac:dyDescent="0.3">
      <c r="A162" s="62">
        <f>'Cadastro de Produtos'!O140</f>
        <v>0</v>
      </c>
      <c r="B162" s="63">
        <f>'Cadastro de Produtos'!K140</f>
        <v>0</v>
      </c>
      <c r="C162" s="63">
        <f>'Cadastro de Produtos'!L140</f>
        <v>0</v>
      </c>
      <c r="D162" s="72" t="e">
        <f>VLOOKUP(B162,'Cadastro de Produtos'!K:Q,7,0)</f>
        <v>#N/A</v>
      </c>
      <c r="E162" s="73">
        <f>'Cadastro de Produtos'!P140</f>
        <v>0</v>
      </c>
    </row>
    <row r="163" spans="1:5" x14ac:dyDescent="0.3">
      <c r="A163" s="62">
        <f>'Cadastro de Produtos'!O141</f>
        <v>0</v>
      </c>
      <c r="B163" s="63">
        <f>'Cadastro de Produtos'!K141</f>
        <v>0</v>
      </c>
      <c r="C163" s="63">
        <f>'Cadastro de Produtos'!L141</f>
        <v>0</v>
      </c>
      <c r="D163" s="72" t="e">
        <f>VLOOKUP(B163,'Cadastro de Produtos'!K:Q,7,0)</f>
        <v>#N/A</v>
      </c>
      <c r="E163" s="73">
        <f>'Cadastro de Produtos'!P141</f>
        <v>0</v>
      </c>
    </row>
    <row r="164" spans="1:5" x14ac:dyDescent="0.3">
      <c r="A164" s="62">
        <f>'Cadastro de Produtos'!O142</f>
        <v>0</v>
      </c>
      <c r="B164" s="63">
        <f>'Cadastro de Produtos'!K142</f>
        <v>0</v>
      </c>
      <c r="C164" s="63">
        <f>'Cadastro de Produtos'!L142</f>
        <v>0</v>
      </c>
      <c r="D164" s="72" t="e">
        <f>VLOOKUP(B164,'Cadastro de Produtos'!K:Q,7,0)</f>
        <v>#N/A</v>
      </c>
      <c r="E164" s="73">
        <f>'Cadastro de Produtos'!P142</f>
        <v>0</v>
      </c>
    </row>
    <row r="165" spans="1:5" x14ac:dyDescent="0.3">
      <c r="A165" s="62">
        <f>'Cadastro de Produtos'!O143</f>
        <v>0</v>
      </c>
      <c r="B165" s="63">
        <f>'Cadastro de Produtos'!K143</f>
        <v>0</v>
      </c>
      <c r="C165" s="63">
        <f>'Cadastro de Produtos'!L143</f>
        <v>0</v>
      </c>
      <c r="D165" s="72" t="e">
        <f>VLOOKUP(B165,'Cadastro de Produtos'!K:Q,7,0)</f>
        <v>#N/A</v>
      </c>
      <c r="E165" s="73">
        <f>'Cadastro de Produtos'!P143</f>
        <v>0</v>
      </c>
    </row>
    <row r="166" spans="1:5" x14ac:dyDescent="0.3">
      <c r="A166" s="62">
        <f>'Cadastro de Produtos'!O144</f>
        <v>0</v>
      </c>
      <c r="B166" s="63">
        <f>'Cadastro de Produtos'!K144</f>
        <v>0</v>
      </c>
      <c r="C166" s="63">
        <f>'Cadastro de Produtos'!L144</f>
        <v>0</v>
      </c>
      <c r="D166" s="72" t="e">
        <f>VLOOKUP(B166,'Cadastro de Produtos'!K:Q,7,0)</f>
        <v>#N/A</v>
      </c>
      <c r="E166" s="73">
        <f>'Cadastro de Produtos'!P144</f>
        <v>0</v>
      </c>
    </row>
    <row r="167" spans="1:5" x14ac:dyDescent="0.3">
      <c r="A167" s="62">
        <f>'Cadastro de Produtos'!O145</f>
        <v>0</v>
      </c>
      <c r="B167" s="63">
        <f>'Cadastro de Produtos'!K145</f>
        <v>0</v>
      </c>
      <c r="C167" s="63">
        <f>'Cadastro de Produtos'!L145</f>
        <v>0</v>
      </c>
      <c r="D167" s="72" t="e">
        <f>VLOOKUP(B167,'Cadastro de Produtos'!K:Q,7,0)</f>
        <v>#N/A</v>
      </c>
      <c r="E167" s="73">
        <f>'Cadastro de Produtos'!P145</f>
        <v>0</v>
      </c>
    </row>
    <row r="168" spans="1:5" x14ac:dyDescent="0.3">
      <c r="A168" s="62">
        <f>'Cadastro de Produtos'!O146</f>
        <v>0</v>
      </c>
      <c r="B168" s="63">
        <f>'Cadastro de Produtos'!K146</f>
        <v>0</v>
      </c>
      <c r="C168" s="63">
        <f>'Cadastro de Produtos'!L146</f>
        <v>0</v>
      </c>
      <c r="D168" s="72" t="e">
        <f>VLOOKUP(B168,'Cadastro de Produtos'!K:Q,7,0)</f>
        <v>#N/A</v>
      </c>
      <c r="E168" s="73">
        <f>'Cadastro de Produtos'!P146</f>
        <v>0</v>
      </c>
    </row>
    <row r="169" spans="1:5" x14ac:dyDescent="0.3">
      <c r="A169" s="62">
        <f>'Cadastro de Produtos'!O147</f>
        <v>0</v>
      </c>
      <c r="B169" s="63">
        <f>'Cadastro de Produtos'!K147</f>
        <v>0</v>
      </c>
      <c r="C169" s="63">
        <f>'Cadastro de Produtos'!L147</f>
        <v>0</v>
      </c>
      <c r="D169" s="72" t="e">
        <f>VLOOKUP(B169,'Cadastro de Produtos'!K:Q,7,0)</f>
        <v>#N/A</v>
      </c>
      <c r="E169" s="73">
        <f>'Cadastro de Produtos'!P147</f>
        <v>0</v>
      </c>
    </row>
    <row r="170" spans="1:5" x14ac:dyDescent="0.3">
      <c r="A170" s="62">
        <f>'Cadastro de Produtos'!O148</f>
        <v>0</v>
      </c>
      <c r="B170" s="63">
        <f>'Cadastro de Produtos'!K148</f>
        <v>0</v>
      </c>
      <c r="C170" s="63">
        <f>'Cadastro de Produtos'!L148</f>
        <v>0</v>
      </c>
      <c r="D170" s="72" t="e">
        <f>VLOOKUP(B170,'Cadastro de Produtos'!K:Q,7,0)</f>
        <v>#N/A</v>
      </c>
      <c r="E170" s="73">
        <f>'Cadastro de Produtos'!P148</f>
        <v>0</v>
      </c>
    </row>
    <row r="171" spans="1:5" x14ac:dyDescent="0.3">
      <c r="A171" s="62">
        <f>'Cadastro de Produtos'!O149</f>
        <v>0</v>
      </c>
      <c r="B171" s="63">
        <f>'Cadastro de Produtos'!K149</f>
        <v>0</v>
      </c>
      <c r="C171" s="63">
        <f>'Cadastro de Produtos'!L149</f>
        <v>0</v>
      </c>
      <c r="D171" s="72" t="e">
        <f>VLOOKUP(B171,'Cadastro de Produtos'!K:Q,7,0)</f>
        <v>#N/A</v>
      </c>
      <c r="E171" s="73">
        <f>'Cadastro de Produtos'!P149</f>
        <v>0</v>
      </c>
    </row>
    <row r="172" spans="1:5" x14ac:dyDescent="0.3">
      <c r="A172" s="62">
        <f>'Cadastro de Produtos'!O150</f>
        <v>0</v>
      </c>
      <c r="B172" s="63">
        <f>'Cadastro de Produtos'!K150</f>
        <v>0</v>
      </c>
      <c r="C172" s="63">
        <f>'Cadastro de Produtos'!L150</f>
        <v>0</v>
      </c>
      <c r="D172" s="72" t="e">
        <f>VLOOKUP(B172,'Cadastro de Produtos'!K:Q,7,0)</f>
        <v>#N/A</v>
      </c>
      <c r="E172" s="73">
        <f>'Cadastro de Produtos'!P150</f>
        <v>0</v>
      </c>
    </row>
    <row r="173" spans="1:5" x14ac:dyDescent="0.3">
      <c r="A173" s="62">
        <f>'Cadastro de Produtos'!O151</f>
        <v>0</v>
      </c>
      <c r="B173" s="63">
        <f>'Cadastro de Produtos'!K151</f>
        <v>0</v>
      </c>
      <c r="C173" s="63">
        <f>'Cadastro de Produtos'!L151</f>
        <v>0</v>
      </c>
      <c r="D173" s="72" t="e">
        <f>VLOOKUP(B173,'Cadastro de Produtos'!K:Q,7,0)</f>
        <v>#N/A</v>
      </c>
      <c r="E173" s="73">
        <f>'Cadastro de Produtos'!P151</f>
        <v>0</v>
      </c>
    </row>
    <row r="174" spans="1:5" x14ac:dyDescent="0.3">
      <c r="A174" s="62">
        <f>'Cadastro de Produtos'!O152</f>
        <v>0</v>
      </c>
      <c r="B174" s="63">
        <f>'Cadastro de Produtos'!K152</f>
        <v>0</v>
      </c>
      <c r="C174" s="63">
        <f>'Cadastro de Produtos'!L152</f>
        <v>0</v>
      </c>
      <c r="D174" s="72" t="e">
        <f>VLOOKUP(B174,'Cadastro de Produtos'!K:Q,7,0)</f>
        <v>#N/A</v>
      </c>
      <c r="E174" s="73">
        <f>'Cadastro de Produtos'!P152</f>
        <v>0</v>
      </c>
    </row>
    <row r="175" spans="1:5" x14ac:dyDescent="0.3">
      <c r="A175" s="62">
        <f>'Cadastro de Produtos'!O153</f>
        <v>0</v>
      </c>
      <c r="B175" s="63">
        <f>'Cadastro de Produtos'!K153</f>
        <v>0</v>
      </c>
      <c r="C175" s="63">
        <f>'Cadastro de Produtos'!L153</f>
        <v>0</v>
      </c>
      <c r="D175" s="72" t="e">
        <f>VLOOKUP(B175,'Cadastro de Produtos'!K:Q,7,0)</f>
        <v>#N/A</v>
      </c>
      <c r="E175" s="73">
        <f>'Cadastro de Produtos'!P153</f>
        <v>0</v>
      </c>
    </row>
    <row r="176" spans="1:5" x14ac:dyDescent="0.3">
      <c r="A176" s="62">
        <f>'Cadastro de Produtos'!O154</f>
        <v>0</v>
      </c>
      <c r="B176" s="63">
        <f>'Cadastro de Produtos'!K154</f>
        <v>0</v>
      </c>
      <c r="C176" s="63">
        <f>'Cadastro de Produtos'!L154</f>
        <v>0</v>
      </c>
      <c r="D176" s="72" t="e">
        <f>VLOOKUP(B176,'Cadastro de Produtos'!K:Q,7,0)</f>
        <v>#N/A</v>
      </c>
      <c r="E176" s="73">
        <f>'Cadastro de Produtos'!P154</f>
        <v>0</v>
      </c>
    </row>
    <row r="177" spans="1:5" x14ac:dyDescent="0.3">
      <c r="A177" s="62">
        <f>'Cadastro de Produtos'!O155</f>
        <v>0</v>
      </c>
      <c r="B177" s="63">
        <f>'Cadastro de Produtos'!K155</f>
        <v>0</v>
      </c>
      <c r="C177" s="63">
        <f>'Cadastro de Produtos'!L155</f>
        <v>0</v>
      </c>
      <c r="D177" s="72" t="e">
        <f>VLOOKUP(B177,'Cadastro de Produtos'!K:Q,7,0)</f>
        <v>#N/A</v>
      </c>
      <c r="E177" s="73">
        <f>'Cadastro de Produtos'!P155</f>
        <v>0</v>
      </c>
    </row>
    <row r="178" spans="1:5" x14ac:dyDescent="0.3">
      <c r="A178" s="62">
        <f>'Cadastro de Produtos'!O156</f>
        <v>0</v>
      </c>
      <c r="B178" s="63">
        <f>'Cadastro de Produtos'!K156</f>
        <v>0</v>
      </c>
      <c r="C178" s="63">
        <f>'Cadastro de Produtos'!L156</f>
        <v>0</v>
      </c>
      <c r="D178" s="72" t="e">
        <f>VLOOKUP(B178,'Cadastro de Produtos'!K:Q,7,0)</f>
        <v>#N/A</v>
      </c>
      <c r="E178" s="73">
        <f>'Cadastro de Produtos'!P156</f>
        <v>0</v>
      </c>
    </row>
    <row r="179" spans="1:5" x14ac:dyDescent="0.3">
      <c r="A179" s="62">
        <f>'Cadastro de Produtos'!O157</f>
        <v>0</v>
      </c>
      <c r="B179" s="63">
        <f>'Cadastro de Produtos'!K157</f>
        <v>0</v>
      </c>
      <c r="C179" s="63">
        <f>'Cadastro de Produtos'!L157</f>
        <v>0</v>
      </c>
      <c r="D179" s="72" t="e">
        <f>VLOOKUP(B179,'Cadastro de Produtos'!K:Q,7,0)</f>
        <v>#N/A</v>
      </c>
      <c r="E179" s="73">
        <f>'Cadastro de Produtos'!P157</f>
        <v>0</v>
      </c>
    </row>
    <row r="180" spans="1:5" x14ac:dyDescent="0.3">
      <c r="A180" s="62">
        <f>'Cadastro de Produtos'!O158</f>
        <v>0</v>
      </c>
      <c r="B180" s="63">
        <f>'Cadastro de Produtos'!K158</f>
        <v>0</v>
      </c>
      <c r="C180" s="63">
        <f>'Cadastro de Produtos'!L158</f>
        <v>0</v>
      </c>
      <c r="D180" s="72" t="e">
        <f>VLOOKUP(B180,'Cadastro de Produtos'!K:Q,7,0)</f>
        <v>#N/A</v>
      </c>
      <c r="E180" s="73">
        <f>'Cadastro de Produtos'!P158</f>
        <v>0</v>
      </c>
    </row>
    <row r="181" spans="1:5" x14ac:dyDescent="0.3">
      <c r="A181" s="62">
        <f>'Cadastro de Produtos'!O159</f>
        <v>0</v>
      </c>
      <c r="B181" s="63">
        <f>'Cadastro de Produtos'!K159</f>
        <v>0</v>
      </c>
      <c r="C181" s="63">
        <f>'Cadastro de Produtos'!L159</f>
        <v>0</v>
      </c>
      <c r="D181" s="72" t="e">
        <f>VLOOKUP(B181,'Cadastro de Produtos'!K:Q,7,0)</f>
        <v>#N/A</v>
      </c>
      <c r="E181" s="73">
        <f>'Cadastro de Produtos'!P159</f>
        <v>0</v>
      </c>
    </row>
    <row r="182" spans="1:5" x14ac:dyDescent="0.3">
      <c r="A182" s="62">
        <f>'Cadastro de Produtos'!O160</f>
        <v>0</v>
      </c>
      <c r="B182" s="63">
        <f>'Cadastro de Produtos'!K160</f>
        <v>0</v>
      </c>
      <c r="C182" s="63">
        <f>'Cadastro de Produtos'!L160</f>
        <v>0</v>
      </c>
      <c r="D182" s="72" t="e">
        <f>VLOOKUP(B182,'Cadastro de Produtos'!K:Q,7,0)</f>
        <v>#N/A</v>
      </c>
      <c r="E182" s="73">
        <f>'Cadastro de Produtos'!P160</f>
        <v>0</v>
      </c>
    </row>
    <row r="183" spans="1:5" x14ac:dyDescent="0.3">
      <c r="A183" s="62">
        <f>'Cadastro de Produtos'!O161</f>
        <v>0</v>
      </c>
      <c r="B183" s="63">
        <f>'Cadastro de Produtos'!K161</f>
        <v>0</v>
      </c>
      <c r="C183" s="63">
        <f>'Cadastro de Produtos'!L161</f>
        <v>0</v>
      </c>
      <c r="D183" s="72" t="e">
        <f>VLOOKUP(B183,'Cadastro de Produtos'!K:Q,7,0)</f>
        <v>#N/A</v>
      </c>
      <c r="E183" s="73">
        <f>'Cadastro de Produtos'!P161</f>
        <v>0</v>
      </c>
    </row>
    <row r="184" spans="1:5" x14ac:dyDescent="0.3">
      <c r="A184" s="62">
        <f>'Cadastro de Produtos'!O162</f>
        <v>0</v>
      </c>
      <c r="B184" s="63">
        <f>'Cadastro de Produtos'!K162</f>
        <v>0</v>
      </c>
      <c r="C184" s="63">
        <f>'Cadastro de Produtos'!L162</f>
        <v>0</v>
      </c>
      <c r="D184" s="72" t="e">
        <f>VLOOKUP(B184,'Cadastro de Produtos'!K:Q,7,0)</f>
        <v>#N/A</v>
      </c>
      <c r="E184" s="73">
        <f>'Cadastro de Produtos'!P162</f>
        <v>0</v>
      </c>
    </row>
    <row r="185" spans="1:5" x14ac:dyDescent="0.3">
      <c r="A185" s="62">
        <f>'Cadastro de Produtos'!O163</f>
        <v>0</v>
      </c>
      <c r="B185" s="63">
        <f>'Cadastro de Produtos'!K163</f>
        <v>0</v>
      </c>
      <c r="C185" s="63">
        <f>'Cadastro de Produtos'!L163</f>
        <v>0</v>
      </c>
      <c r="D185" s="72" t="e">
        <f>VLOOKUP(B185,'Cadastro de Produtos'!K:Q,7,0)</f>
        <v>#N/A</v>
      </c>
      <c r="E185" s="73">
        <f>'Cadastro de Produtos'!P163</f>
        <v>0</v>
      </c>
    </row>
    <row r="186" spans="1:5" x14ac:dyDescent="0.3">
      <c r="A186" s="62">
        <f>'Cadastro de Produtos'!O164</f>
        <v>0</v>
      </c>
      <c r="B186" s="63">
        <f>'Cadastro de Produtos'!K164</f>
        <v>0</v>
      </c>
      <c r="C186" s="63">
        <f>'Cadastro de Produtos'!L164</f>
        <v>0</v>
      </c>
      <c r="D186" s="72" t="e">
        <f>VLOOKUP(B186,'Cadastro de Produtos'!K:Q,7,0)</f>
        <v>#N/A</v>
      </c>
      <c r="E186" s="73">
        <f>'Cadastro de Produtos'!P164</f>
        <v>0</v>
      </c>
    </row>
    <row r="187" spans="1:5" x14ac:dyDescent="0.3">
      <c r="A187" s="62">
        <f>'Cadastro de Produtos'!O165</f>
        <v>0</v>
      </c>
      <c r="B187" s="63">
        <f>'Cadastro de Produtos'!K165</f>
        <v>0</v>
      </c>
      <c r="C187" s="63">
        <f>'Cadastro de Produtos'!L165</f>
        <v>0</v>
      </c>
      <c r="D187" s="72" t="e">
        <f>VLOOKUP(B187,'Cadastro de Produtos'!K:Q,7,0)</f>
        <v>#N/A</v>
      </c>
      <c r="E187" s="73">
        <f>'Cadastro de Produtos'!P165</f>
        <v>0</v>
      </c>
    </row>
    <row r="188" spans="1:5" x14ac:dyDescent="0.3">
      <c r="A188" s="62">
        <f>'Cadastro de Produtos'!O166</f>
        <v>0</v>
      </c>
      <c r="B188" s="63">
        <f>'Cadastro de Produtos'!K166</f>
        <v>0</v>
      </c>
      <c r="C188" s="63">
        <f>'Cadastro de Produtos'!L166</f>
        <v>0</v>
      </c>
      <c r="D188" s="72" t="e">
        <f>VLOOKUP(B188,'Cadastro de Produtos'!K:Q,7,0)</f>
        <v>#N/A</v>
      </c>
      <c r="E188" s="73">
        <f>'Cadastro de Produtos'!P166</f>
        <v>0</v>
      </c>
    </row>
    <row r="189" spans="1:5" x14ac:dyDescent="0.3">
      <c r="A189" s="62">
        <f>'Cadastro de Produtos'!O167</f>
        <v>0</v>
      </c>
      <c r="B189" s="63">
        <f>'Cadastro de Produtos'!K167</f>
        <v>0</v>
      </c>
      <c r="C189" s="63">
        <f>'Cadastro de Produtos'!L167</f>
        <v>0</v>
      </c>
      <c r="D189" s="72" t="e">
        <f>VLOOKUP(B189,'Cadastro de Produtos'!K:Q,7,0)</f>
        <v>#N/A</v>
      </c>
      <c r="E189" s="73">
        <f>'Cadastro de Produtos'!P167</f>
        <v>0</v>
      </c>
    </row>
    <row r="190" spans="1:5" x14ac:dyDescent="0.3">
      <c r="A190" s="62">
        <f>'Cadastro de Produtos'!O168</f>
        <v>0</v>
      </c>
      <c r="B190" s="63">
        <f>'Cadastro de Produtos'!K168</f>
        <v>0</v>
      </c>
      <c r="C190" s="63">
        <f>'Cadastro de Produtos'!L168</f>
        <v>0</v>
      </c>
      <c r="D190" s="72" t="e">
        <f>VLOOKUP(B190,'Cadastro de Produtos'!K:Q,7,0)</f>
        <v>#N/A</v>
      </c>
      <c r="E190" s="73">
        <f>'Cadastro de Produtos'!P168</f>
        <v>0</v>
      </c>
    </row>
    <row r="191" spans="1:5" x14ac:dyDescent="0.3">
      <c r="A191" s="62">
        <f>'Cadastro de Produtos'!O169</f>
        <v>0</v>
      </c>
      <c r="B191" s="63">
        <f>'Cadastro de Produtos'!K169</f>
        <v>0</v>
      </c>
      <c r="C191" s="63">
        <f>'Cadastro de Produtos'!L169</f>
        <v>0</v>
      </c>
      <c r="D191" s="72" t="e">
        <f>VLOOKUP(B191,'Cadastro de Produtos'!K:Q,7,0)</f>
        <v>#N/A</v>
      </c>
      <c r="E191" s="73">
        <f>'Cadastro de Produtos'!P169</f>
        <v>0</v>
      </c>
    </row>
    <row r="192" spans="1:5" x14ac:dyDescent="0.3">
      <c r="A192" s="62">
        <f>'Cadastro de Produtos'!O170</f>
        <v>0</v>
      </c>
      <c r="B192" s="63">
        <f>'Cadastro de Produtos'!K170</f>
        <v>0</v>
      </c>
      <c r="C192" s="63">
        <f>'Cadastro de Produtos'!L170</f>
        <v>0</v>
      </c>
      <c r="D192" s="72" t="e">
        <f>VLOOKUP(B192,'Cadastro de Produtos'!K:Q,7,0)</f>
        <v>#N/A</v>
      </c>
      <c r="E192" s="73">
        <f>'Cadastro de Produtos'!P170</f>
        <v>0</v>
      </c>
    </row>
    <row r="193" spans="1:5" x14ac:dyDescent="0.3">
      <c r="A193" s="62">
        <f>'Cadastro de Produtos'!O171</f>
        <v>0</v>
      </c>
      <c r="B193" s="63">
        <f>'Cadastro de Produtos'!K171</f>
        <v>0</v>
      </c>
      <c r="C193" s="63">
        <f>'Cadastro de Produtos'!L171</f>
        <v>0</v>
      </c>
      <c r="D193" s="72" t="e">
        <f>VLOOKUP(B193,'Cadastro de Produtos'!K:Q,7,0)</f>
        <v>#N/A</v>
      </c>
      <c r="E193" s="73">
        <f>'Cadastro de Produtos'!P171</f>
        <v>0</v>
      </c>
    </row>
    <row r="194" spans="1:5" x14ac:dyDescent="0.3">
      <c r="A194" s="62">
        <f>'Cadastro de Produtos'!O172</f>
        <v>0</v>
      </c>
      <c r="B194" s="63">
        <f>'Cadastro de Produtos'!K172</f>
        <v>0</v>
      </c>
      <c r="C194" s="63">
        <f>'Cadastro de Produtos'!L172</f>
        <v>0</v>
      </c>
      <c r="D194" s="72" t="e">
        <f>VLOOKUP(B194,'Cadastro de Produtos'!K:Q,7,0)</f>
        <v>#N/A</v>
      </c>
      <c r="E194" s="73">
        <f>'Cadastro de Produtos'!P172</f>
        <v>0</v>
      </c>
    </row>
    <row r="195" spans="1:5" x14ac:dyDescent="0.3">
      <c r="A195" s="62">
        <f>'Cadastro de Produtos'!O173</f>
        <v>0</v>
      </c>
      <c r="B195" s="63">
        <f>'Cadastro de Produtos'!K173</f>
        <v>0</v>
      </c>
      <c r="C195" s="63">
        <f>'Cadastro de Produtos'!L173</f>
        <v>0</v>
      </c>
      <c r="D195" s="72" t="e">
        <f>VLOOKUP(B195,'Cadastro de Produtos'!K:Q,7,0)</f>
        <v>#N/A</v>
      </c>
      <c r="E195" s="73">
        <f>'Cadastro de Produtos'!P173</f>
        <v>0</v>
      </c>
    </row>
    <row r="196" spans="1:5" x14ac:dyDescent="0.3">
      <c r="A196" s="62">
        <f>'Cadastro de Produtos'!O174</f>
        <v>0</v>
      </c>
      <c r="B196" s="63">
        <f>'Cadastro de Produtos'!K174</f>
        <v>0</v>
      </c>
      <c r="C196" s="63">
        <f>'Cadastro de Produtos'!L174</f>
        <v>0</v>
      </c>
      <c r="D196" s="72" t="e">
        <f>VLOOKUP(B196,'Cadastro de Produtos'!K:Q,7,0)</f>
        <v>#N/A</v>
      </c>
      <c r="E196" s="73">
        <f>'Cadastro de Produtos'!P174</f>
        <v>0</v>
      </c>
    </row>
    <row r="197" spans="1:5" x14ac:dyDescent="0.3">
      <c r="A197" s="62">
        <f>'Cadastro de Produtos'!O175</f>
        <v>0</v>
      </c>
      <c r="B197" s="63">
        <f>'Cadastro de Produtos'!K175</f>
        <v>0</v>
      </c>
      <c r="C197" s="63">
        <f>'Cadastro de Produtos'!L175</f>
        <v>0</v>
      </c>
      <c r="D197" s="72" t="e">
        <f>VLOOKUP(B197,'Cadastro de Produtos'!K:Q,7,0)</f>
        <v>#N/A</v>
      </c>
      <c r="E197" s="73">
        <f>'Cadastro de Produtos'!P175</f>
        <v>0</v>
      </c>
    </row>
    <row r="198" spans="1:5" x14ac:dyDescent="0.3">
      <c r="A198" s="62">
        <f>'Cadastro de Produtos'!O176</f>
        <v>0</v>
      </c>
      <c r="B198" s="63">
        <f>'Cadastro de Produtos'!K176</f>
        <v>0</v>
      </c>
      <c r="C198" s="63">
        <f>'Cadastro de Produtos'!L176</f>
        <v>0</v>
      </c>
      <c r="D198" s="72" t="e">
        <f>VLOOKUP(B198,'Cadastro de Produtos'!K:Q,7,0)</f>
        <v>#N/A</v>
      </c>
      <c r="E198" s="73">
        <f>'Cadastro de Produtos'!P176</f>
        <v>0</v>
      </c>
    </row>
    <row r="199" spans="1:5" x14ac:dyDescent="0.3">
      <c r="A199" s="62">
        <f>'Cadastro de Produtos'!O177</f>
        <v>0</v>
      </c>
      <c r="B199" s="63">
        <f>'Cadastro de Produtos'!K177</f>
        <v>0</v>
      </c>
      <c r="C199" s="63">
        <f>'Cadastro de Produtos'!L177</f>
        <v>0</v>
      </c>
      <c r="D199" s="72" t="e">
        <f>VLOOKUP(B199,'Cadastro de Produtos'!K:Q,7,0)</f>
        <v>#N/A</v>
      </c>
      <c r="E199" s="73">
        <f>'Cadastro de Produtos'!P177</f>
        <v>0</v>
      </c>
    </row>
    <row r="200" spans="1:5" x14ac:dyDescent="0.3">
      <c r="A200" s="62">
        <f>'Cadastro de Produtos'!O178</f>
        <v>0</v>
      </c>
      <c r="B200" s="63">
        <f>'Cadastro de Produtos'!K178</f>
        <v>0</v>
      </c>
      <c r="C200" s="63">
        <f>'Cadastro de Produtos'!L178</f>
        <v>0</v>
      </c>
      <c r="D200" s="72" t="e">
        <f>VLOOKUP(B200,'Cadastro de Produtos'!K:Q,7,0)</f>
        <v>#N/A</v>
      </c>
      <c r="E200" s="73">
        <f>'Cadastro de Produtos'!P178</f>
        <v>0</v>
      </c>
    </row>
    <row r="201" spans="1:5" x14ac:dyDescent="0.3">
      <c r="A201" s="62">
        <f>'Cadastro de Produtos'!O179</f>
        <v>0</v>
      </c>
      <c r="B201" s="63">
        <f>'Cadastro de Produtos'!K179</f>
        <v>0</v>
      </c>
      <c r="C201" s="63">
        <f>'Cadastro de Produtos'!L179</f>
        <v>0</v>
      </c>
      <c r="D201" s="72" t="e">
        <f>VLOOKUP(B201,'Cadastro de Produtos'!K:Q,7,0)</f>
        <v>#N/A</v>
      </c>
      <c r="E201" s="73">
        <f>'Cadastro de Produtos'!P179</f>
        <v>0</v>
      </c>
    </row>
    <row r="202" spans="1:5" x14ac:dyDescent="0.3">
      <c r="A202" s="62">
        <f>'Cadastro de Produtos'!O180</f>
        <v>0</v>
      </c>
      <c r="B202" s="63">
        <f>'Cadastro de Produtos'!K180</f>
        <v>0</v>
      </c>
      <c r="C202" s="63">
        <f>'Cadastro de Produtos'!L180</f>
        <v>0</v>
      </c>
      <c r="D202" s="72" t="e">
        <f>VLOOKUP(B202,'Cadastro de Produtos'!K:Q,7,0)</f>
        <v>#N/A</v>
      </c>
      <c r="E202" s="73">
        <f>'Cadastro de Produtos'!P180</f>
        <v>0</v>
      </c>
    </row>
    <row r="203" spans="1:5" x14ac:dyDescent="0.3">
      <c r="A203" s="62">
        <f>'Cadastro de Produtos'!O181</f>
        <v>0</v>
      </c>
      <c r="B203" s="63">
        <f>'Cadastro de Produtos'!K181</f>
        <v>0</v>
      </c>
      <c r="C203" s="63">
        <f>'Cadastro de Produtos'!L181</f>
        <v>0</v>
      </c>
      <c r="D203" s="72" t="e">
        <f>VLOOKUP(B203,'Cadastro de Produtos'!K:Q,7,0)</f>
        <v>#N/A</v>
      </c>
      <c r="E203" s="73">
        <f>'Cadastro de Produtos'!P181</f>
        <v>0</v>
      </c>
    </row>
    <row r="204" spans="1:5" x14ac:dyDescent="0.3">
      <c r="A204" s="62">
        <f>'Cadastro de Produtos'!O182</f>
        <v>0</v>
      </c>
      <c r="B204" s="63">
        <f>'Cadastro de Produtos'!K182</f>
        <v>0</v>
      </c>
      <c r="C204" s="63">
        <f>'Cadastro de Produtos'!L182</f>
        <v>0</v>
      </c>
      <c r="D204" s="72" t="e">
        <f>VLOOKUP(B204,'Cadastro de Produtos'!K:Q,7,0)</f>
        <v>#N/A</v>
      </c>
      <c r="E204" s="73">
        <f>'Cadastro de Produtos'!P182</f>
        <v>0</v>
      </c>
    </row>
    <row r="205" spans="1:5" x14ac:dyDescent="0.3">
      <c r="A205" s="62">
        <f>'Cadastro de Produtos'!O183</f>
        <v>0</v>
      </c>
      <c r="B205" s="63">
        <f>'Cadastro de Produtos'!K183</f>
        <v>0</v>
      </c>
      <c r="C205" s="63">
        <f>'Cadastro de Produtos'!L183</f>
        <v>0</v>
      </c>
      <c r="D205" s="72" t="e">
        <f>VLOOKUP(B205,'Cadastro de Produtos'!K:Q,7,0)</f>
        <v>#N/A</v>
      </c>
      <c r="E205" s="73">
        <f>'Cadastro de Produtos'!P183</f>
        <v>0</v>
      </c>
    </row>
    <row r="206" spans="1:5" x14ac:dyDescent="0.3">
      <c r="A206" s="62">
        <f>'Cadastro de Produtos'!O184</f>
        <v>0</v>
      </c>
      <c r="B206" s="63">
        <f>'Cadastro de Produtos'!K184</f>
        <v>0</v>
      </c>
      <c r="C206" s="63">
        <f>'Cadastro de Produtos'!L184</f>
        <v>0</v>
      </c>
      <c r="D206" s="72" t="e">
        <f>VLOOKUP(B206,'Cadastro de Produtos'!K:Q,7,0)</f>
        <v>#N/A</v>
      </c>
      <c r="E206" s="73">
        <f>'Cadastro de Produtos'!P184</f>
        <v>0</v>
      </c>
    </row>
    <row r="207" spans="1:5" x14ac:dyDescent="0.3">
      <c r="A207" s="62">
        <f>'Cadastro de Produtos'!O185</f>
        <v>0</v>
      </c>
      <c r="B207" s="63">
        <f>'Cadastro de Produtos'!K185</f>
        <v>0</v>
      </c>
      <c r="C207" s="63">
        <f>'Cadastro de Produtos'!L185</f>
        <v>0</v>
      </c>
      <c r="D207" s="72" t="e">
        <f>VLOOKUP(B207,'Cadastro de Produtos'!K:Q,7,0)</f>
        <v>#N/A</v>
      </c>
      <c r="E207" s="73">
        <f>'Cadastro de Produtos'!P185</f>
        <v>0</v>
      </c>
    </row>
    <row r="208" spans="1:5" x14ac:dyDescent="0.3">
      <c r="A208" s="62">
        <f>'Cadastro de Produtos'!O186</f>
        <v>0</v>
      </c>
      <c r="B208" s="63">
        <f>'Cadastro de Produtos'!K186</f>
        <v>0</v>
      </c>
      <c r="C208" s="63">
        <f>'Cadastro de Produtos'!L186</f>
        <v>0</v>
      </c>
      <c r="D208" s="72" t="e">
        <f>VLOOKUP(B208,'Cadastro de Produtos'!K:Q,7,0)</f>
        <v>#N/A</v>
      </c>
      <c r="E208" s="73">
        <f>'Cadastro de Produtos'!P186</f>
        <v>0</v>
      </c>
    </row>
    <row r="209" spans="1:5" x14ac:dyDescent="0.3">
      <c r="A209" s="62">
        <f>'Cadastro de Produtos'!O187</f>
        <v>0</v>
      </c>
      <c r="B209" s="63">
        <f>'Cadastro de Produtos'!K187</f>
        <v>0</v>
      </c>
      <c r="C209" s="63">
        <f>'Cadastro de Produtos'!L187</f>
        <v>0</v>
      </c>
      <c r="D209" s="72" t="e">
        <f>VLOOKUP(B209,'Cadastro de Produtos'!K:Q,7,0)</f>
        <v>#N/A</v>
      </c>
      <c r="E209" s="73">
        <f>'Cadastro de Produtos'!P187</f>
        <v>0</v>
      </c>
    </row>
    <row r="210" spans="1:5" x14ac:dyDescent="0.3">
      <c r="A210" s="62">
        <f>'Cadastro de Produtos'!O188</f>
        <v>0</v>
      </c>
      <c r="B210" s="63">
        <f>'Cadastro de Produtos'!K188</f>
        <v>0</v>
      </c>
      <c r="C210" s="63">
        <f>'Cadastro de Produtos'!L188</f>
        <v>0</v>
      </c>
      <c r="D210" s="72" t="e">
        <f>VLOOKUP(B210,'Cadastro de Produtos'!K:Q,7,0)</f>
        <v>#N/A</v>
      </c>
      <c r="E210" s="73">
        <f>'Cadastro de Produtos'!P188</f>
        <v>0</v>
      </c>
    </row>
    <row r="211" spans="1:5" x14ac:dyDescent="0.3">
      <c r="A211" s="62">
        <f>'Cadastro de Produtos'!O189</f>
        <v>0</v>
      </c>
      <c r="B211" s="63">
        <f>'Cadastro de Produtos'!K189</f>
        <v>0</v>
      </c>
      <c r="C211" s="63">
        <f>'Cadastro de Produtos'!L189</f>
        <v>0</v>
      </c>
      <c r="D211" s="72" t="e">
        <f>VLOOKUP(B211,'Cadastro de Produtos'!K:Q,7,0)</f>
        <v>#N/A</v>
      </c>
      <c r="E211" s="73">
        <f>'Cadastro de Produtos'!P189</f>
        <v>0</v>
      </c>
    </row>
    <row r="212" spans="1:5" x14ac:dyDescent="0.3">
      <c r="A212" s="62">
        <f>'Cadastro de Produtos'!O190</f>
        <v>0</v>
      </c>
      <c r="B212" s="63">
        <f>'Cadastro de Produtos'!K190</f>
        <v>0</v>
      </c>
      <c r="C212" s="63">
        <f>'Cadastro de Produtos'!L190</f>
        <v>0</v>
      </c>
      <c r="D212" s="72" t="e">
        <f>VLOOKUP(B212,'Cadastro de Produtos'!K:Q,7,0)</f>
        <v>#N/A</v>
      </c>
      <c r="E212" s="73">
        <f>'Cadastro de Produtos'!P190</f>
        <v>0</v>
      </c>
    </row>
    <row r="213" spans="1:5" x14ac:dyDescent="0.3">
      <c r="A213" s="62">
        <f>'Cadastro de Produtos'!O191</f>
        <v>0</v>
      </c>
      <c r="B213" s="63">
        <f>'Cadastro de Produtos'!K191</f>
        <v>0</v>
      </c>
      <c r="C213" s="63">
        <f>'Cadastro de Produtos'!L191</f>
        <v>0</v>
      </c>
      <c r="D213" s="72" t="e">
        <f>VLOOKUP(B213,'Cadastro de Produtos'!K:Q,7,0)</f>
        <v>#N/A</v>
      </c>
      <c r="E213" s="73">
        <f>'Cadastro de Produtos'!P191</f>
        <v>0</v>
      </c>
    </row>
    <row r="214" spans="1:5" x14ac:dyDescent="0.3">
      <c r="A214" s="62">
        <f>'Cadastro de Produtos'!O192</f>
        <v>0</v>
      </c>
      <c r="B214" s="63">
        <f>'Cadastro de Produtos'!K192</f>
        <v>0</v>
      </c>
      <c r="C214" s="63">
        <f>'Cadastro de Produtos'!L192</f>
        <v>0</v>
      </c>
      <c r="D214" s="72" t="e">
        <f>VLOOKUP(B214,'Cadastro de Produtos'!K:Q,7,0)</f>
        <v>#N/A</v>
      </c>
      <c r="E214" s="73">
        <f>'Cadastro de Produtos'!P192</f>
        <v>0</v>
      </c>
    </row>
    <row r="215" spans="1:5" x14ac:dyDescent="0.3">
      <c r="A215" s="62">
        <f>'Cadastro de Produtos'!O193</f>
        <v>0</v>
      </c>
      <c r="B215" s="63">
        <f>'Cadastro de Produtos'!K193</f>
        <v>0</v>
      </c>
      <c r="C215" s="63">
        <f>'Cadastro de Produtos'!L193</f>
        <v>0</v>
      </c>
      <c r="D215" s="72" t="e">
        <f>VLOOKUP(B215,'Cadastro de Produtos'!K:Q,7,0)</f>
        <v>#N/A</v>
      </c>
      <c r="E215" s="73">
        <f>'Cadastro de Produtos'!P193</f>
        <v>0</v>
      </c>
    </row>
    <row r="216" spans="1:5" x14ac:dyDescent="0.3">
      <c r="A216" s="62">
        <f>'Cadastro de Produtos'!O194</f>
        <v>0</v>
      </c>
      <c r="B216" s="63">
        <f>'Cadastro de Produtos'!K194</f>
        <v>0</v>
      </c>
      <c r="C216" s="63">
        <f>'Cadastro de Produtos'!L194</f>
        <v>0</v>
      </c>
      <c r="D216" s="72" t="e">
        <f>VLOOKUP(B216,'Cadastro de Produtos'!K:Q,7,0)</f>
        <v>#N/A</v>
      </c>
      <c r="E216" s="73">
        <f>'Cadastro de Produtos'!P194</f>
        <v>0</v>
      </c>
    </row>
    <row r="217" spans="1:5" x14ac:dyDescent="0.3">
      <c r="A217" s="62">
        <f>'Cadastro de Produtos'!O195</f>
        <v>0</v>
      </c>
      <c r="B217" s="63">
        <f>'Cadastro de Produtos'!K195</f>
        <v>0</v>
      </c>
      <c r="C217" s="63">
        <f>'Cadastro de Produtos'!L195</f>
        <v>0</v>
      </c>
      <c r="D217" s="72" t="e">
        <f>VLOOKUP(B217,'Cadastro de Produtos'!K:Q,7,0)</f>
        <v>#N/A</v>
      </c>
      <c r="E217" s="73">
        <f>'Cadastro de Produtos'!P195</f>
        <v>0</v>
      </c>
    </row>
    <row r="218" spans="1:5" x14ac:dyDescent="0.3">
      <c r="A218" s="62">
        <f>'Cadastro de Produtos'!O196</f>
        <v>0</v>
      </c>
      <c r="B218" s="63">
        <f>'Cadastro de Produtos'!K196</f>
        <v>0</v>
      </c>
      <c r="C218" s="63">
        <f>'Cadastro de Produtos'!L196</f>
        <v>0</v>
      </c>
      <c r="D218" s="72" t="e">
        <f>VLOOKUP(B218,'Cadastro de Produtos'!K:Q,7,0)</f>
        <v>#N/A</v>
      </c>
      <c r="E218" s="73">
        <f>'Cadastro de Produtos'!P196</f>
        <v>0</v>
      </c>
    </row>
    <row r="219" spans="1:5" x14ac:dyDescent="0.3">
      <c r="A219" s="62">
        <f>'Cadastro de Produtos'!O197</f>
        <v>0</v>
      </c>
      <c r="B219" s="63">
        <f>'Cadastro de Produtos'!K197</f>
        <v>0</v>
      </c>
      <c r="C219" s="63">
        <f>'Cadastro de Produtos'!L197</f>
        <v>0</v>
      </c>
      <c r="D219" s="72" t="e">
        <f>VLOOKUP(B219,'Cadastro de Produtos'!K:Q,7,0)</f>
        <v>#N/A</v>
      </c>
      <c r="E219" s="73">
        <f>'Cadastro de Produtos'!P197</f>
        <v>0</v>
      </c>
    </row>
    <row r="220" spans="1:5" x14ac:dyDescent="0.3">
      <c r="A220" s="62">
        <f>'Cadastro de Produtos'!O198</f>
        <v>0</v>
      </c>
      <c r="B220" s="63">
        <f>'Cadastro de Produtos'!K198</f>
        <v>0</v>
      </c>
      <c r="C220" s="63">
        <f>'Cadastro de Produtos'!L198</f>
        <v>0</v>
      </c>
      <c r="D220" s="72" t="e">
        <f>VLOOKUP(B220,'Cadastro de Produtos'!K:Q,7,0)</f>
        <v>#N/A</v>
      </c>
      <c r="E220" s="73">
        <f>'Cadastro de Produtos'!P198</f>
        <v>0</v>
      </c>
    </row>
    <row r="221" spans="1:5" x14ac:dyDescent="0.3">
      <c r="A221" s="62">
        <f>'Cadastro de Produtos'!O199</f>
        <v>0</v>
      </c>
      <c r="B221" s="63">
        <f>'Cadastro de Produtos'!K199</f>
        <v>0</v>
      </c>
      <c r="C221" s="63">
        <f>'Cadastro de Produtos'!L199</f>
        <v>0</v>
      </c>
      <c r="D221" s="72" t="e">
        <f>VLOOKUP(B221,'Cadastro de Produtos'!K:Q,7,0)</f>
        <v>#N/A</v>
      </c>
      <c r="E221" s="73">
        <f>'Cadastro de Produtos'!P199</f>
        <v>0</v>
      </c>
    </row>
    <row r="222" spans="1:5" x14ac:dyDescent="0.3">
      <c r="A222" s="62">
        <f>'Cadastro de Produtos'!O200</f>
        <v>0</v>
      </c>
      <c r="B222" s="63">
        <f>'Cadastro de Produtos'!K200</f>
        <v>0</v>
      </c>
      <c r="C222" s="63">
        <f>'Cadastro de Produtos'!L200</f>
        <v>0</v>
      </c>
      <c r="D222" s="72" t="e">
        <f>VLOOKUP(B222,'Cadastro de Produtos'!K:Q,7,0)</f>
        <v>#N/A</v>
      </c>
      <c r="E222" s="73">
        <f>'Cadastro de Produtos'!P200</f>
        <v>0</v>
      </c>
    </row>
    <row r="223" spans="1:5" x14ac:dyDescent="0.3">
      <c r="A223" s="62">
        <f>'Cadastro de Produtos'!O201</f>
        <v>0</v>
      </c>
      <c r="B223" s="63">
        <f>'Cadastro de Produtos'!K201</f>
        <v>0</v>
      </c>
      <c r="C223" s="63">
        <f>'Cadastro de Produtos'!L201</f>
        <v>0</v>
      </c>
      <c r="D223" s="72" t="e">
        <f>VLOOKUP(B223,'Cadastro de Produtos'!K:Q,7,0)</f>
        <v>#N/A</v>
      </c>
      <c r="E223" s="73">
        <f>'Cadastro de Produtos'!P201</f>
        <v>0</v>
      </c>
    </row>
    <row r="224" spans="1:5" x14ac:dyDescent="0.3">
      <c r="A224" s="62">
        <f>'Cadastro de Produtos'!O202</f>
        <v>0</v>
      </c>
      <c r="B224" s="63">
        <f>'Cadastro de Produtos'!K202</f>
        <v>0</v>
      </c>
      <c r="C224" s="63">
        <f>'Cadastro de Produtos'!L202</f>
        <v>0</v>
      </c>
      <c r="D224" s="72" t="e">
        <f>VLOOKUP(B224,'Cadastro de Produtos'!K:Q,7,0)</f>
        <v>#N/A</v>
      </c>
      <c r="E224" s="73">
        <f>'Cadastro de Produtos'!P202</f>
        <v>0</v>
      </c>
    </row>
    <row r="225" spans="1:5" x14ac:dyDescent="0.3">
      <c r="A225" s="62">
        <f>'Cadastro de Produtos'!O203</f>
        <v>0</v>
      </c>
      <c r="B225" s="63">
        <f>'Cadastro de Produtos'!K203</f>
        <v>0</v>
      </c>
      <c r="C225" s="63">
        <f>'Cadastro de Produtos'!L203</f>
        <v>0</v>
      </c>
      <c r="D225" s="72" t="e">
        <f>VLOOKUP(B225,'Cadastro de Produtos'!K:Q,7,0)</f>
        <v>#N/A</v>
      </c>
      <c r="E225" s="73">
        <f>'Cadastro de Produtos'!P203</f>
        <v>0</v>
      </c>
    </row>
    <row r="226" spans="1:5" x14ac:dyDescent="0.3">
      <c r="A226" s="62">
        <f>'Cadastro de Produtos'!O204</f>
        <v>0</v>
      </c>
      <c r="B226" s="63">
        <f>'Cadastro de Produtos'!K204</f>
        <v>0</v>
      </c>
      <c r="C226" s="63">
        <f>'Cadastro de Produtos'!L204</f>
        <v>0</v>
      </c>
      <c r="D226" s="72" t="e">
        <f>VLOOKUP(B226,'Cadastro de Produtos'!K:Q,7,0)</f>
        <v>#N/A</v>
      </c>
      <c r="E226" s="73">
        <f>'Cadastro de Produtos'!P204</f>
        <v>0</v>
      </c>
    </row>
    <row r="227" spans="1:5" x14ac:dyDescent="0.3">
      <c r="A227" s="62">
        <f>'Cadastro de Produtos'!O205</f>
        <v>0</v>
      </c>
      <c r="B227" s="63">
        <f>'Cadastro de Produtos'!K205</f>
        <v>0</v>
      </c>
      <c r="C227" s="63">
        <f>'Cadastro de Produtos'!L205</f>
        <v>0</v>
      </c>
      <c r="D227" s="72" t="e">
        <f>VLOOKUP(B227,'Cadastro de Produtos'!K:Q,7,0)</f>
        <v>#N/A</v>
      </c>
      <c r="E227" s="73">
        <f>'Cadastro de Produtos'!P205</f>
        <v>0</v>
      </c>
    </row>
    <row r="228" spans="1:5" x14ac:dyDescent="0.3">
      <c r="A228" s="62">
        <f>'Cadastro de Produtos'!O206</f>
        <v>0</v>
      </c>
      <c r="B228" s="63">
        <f>'Cadastro de Produtos'!K206</f>
        <v>0</v>
      </c>
      <c r="C228" s="63">
        <f>'Cadastro de Produtos'!L206</f>
        <v>0</v>
      </c>
      <c r="D228" s="72" t="e">
        <f>VLOOKUP(B228,'Cadastro de Produtos'!K:Q,7,0)</f>
        <v>#N/A</v>
      </c>
      <c r="E228" s="73">
        <f>'Cadastro de Produtos'!P206</f>
        <v>0</v>
      </c>
    </row>
    <row r="229" spans="1:5" x14ac:dyDescent="0.3">
      <c r="A229" s="62">
        <f>'Cadastro de Produtos'!O207</f>
        <v>0</v>
      </c>
      <c r="B229" s="63">
        <f>'Cadastro de Produtos'!K207</f>
        <v>0</v>
      </c>
      <c r="C229" s="63">
        <f>'Cadastro de Produtos'!L207</f>
        <v>0</v>
      </c>
      <c r="D229" s="72" t="e">
        <f>VLOOKUP(B229,'Cadastro de Produtos'!K:Q,7,0)</f>
        <v>#N/A</v>
      </c>
      <c r="E229" s="73">
        <f>'Cadastro de Produtos'!P207</f>
        <v>0</v>
      </c>
    </row>
    <row r="230" spans="1:5" x14ac:dyDescent="0.3">
      <c r="A230" s="62">
        <f>'Cadastro de Produtos'!O208</f>
        <v>0</v>
      </c>
      <c r="B230" s="63">
        <f>'Cadastro de Produtos'!K208</f>
        <v>0</v>
      </c>
      <c r="C230" s="63">
        <f>'Cadastro de Produtos'!L208</f>
        <v>0</v>
      </c>
      <c r="D230" s="72" t="e">
        <f>VLOOKUP(B230,'Cadastro de Produtos'!K:Q,7,0)</f>
        <v>#N/A</v>
      </c>
      <c r="E230" s="73">
        <f>'Cadastro de Produtos'!P208</f>
        <v>0</v>
      </c>
    </row>
    <row r="231" spans="1:5" x14ac:dyDescent="0.3">
      <c r="A231" s="62">
        <f>'Cadastro de Produtos'!O209</f>
        <v>0</v>
      </c>
      <c r="B231" s="63">
        <f>'Cadastro de Produtos'!K209</f>
        <v>0</v>
      </c>
      <c r="C231" s="63">
        <f>'Cadastro de Produtos'!L209</f>
        <v>0</v>
      </c>
      <c r="D231" s="72" t="e">
        <f>VLOOKUP(B231,'Cadastro de Produtos'!K:Q,7,0)</f>
        <v>#N/A</v>
      </c>
      <c r="E231" s="73">
        <f>'Cadastro de Produtos'!P209</f>
        <v>0</v>
      </c>
    </row>
    <row r="232" spans="1:5" x14ac:dyDescent="0.3">
      <c r="A232" s="62">
        <f>'Cadastro de Produtos'!O210</f>
        <v>0</v>
      </c>
      <c r="B232" s="63">
        <f>'Cadastro de Produtos'!K210</f>
        <v>0</v>
      </c>
      <c r="C232" s="63">
        <f>'Cadastro de Produtos'!L210</f>
        <v>0</v>
      </c>
      <c r="D232" s="72" t="e">
        <f>VLOOKUP(B232,'Cadastro de Produtos'!K:Q,7,0)</f>
        <v>#N/A</v>
      </c>
      <c r="E232" s="73">
        <f>'Cadastro de Produtos'!P210</f>
        <v>0</v>
      </c>
    </row>
    <row r="233" spans="1:5" x14ac:dyDescent="0.3">
      <c r="A233" s="62">
        <f>'Cadastro de Produtos'!O211</f>
        <v>0</v>
      </c>
      <c r="B233" s="63">
        <f>'Cadastro de Produtos'!K211</f>
        <v>0</v>
      </c>
      <c r="C233" s="63">
        <f>'Cadastro de Produtos'!L211</f>
        <v>0</v>
      </c>
      <c r="D233" s="72" t="e">
        <f>VLOOKUP(B233,'Cadastro de Produtos'!K:Q,7,0)</f>
        <v>#N/A</v>
      </c>
      <c r="E233" s="73">
        <f>'Cadastro de Produtos'!P211</f>
        <v>0</v>
      </c>
    </row>
    <row r="234" spans="1:5" x14ac:dyDescent="0.3">
      <c r="A234" s="62">
        <f>'Cadastro de Produtos'!O212</f>
        <v>0</v>
      </c>
      <c r="B234" s="63">
        <f>'Cadastro de Produtos'!K212</f>
        <v>0</v>
      </c>
      <c r="C234" s="63">
        <f>'Cadastro de Produtos'!L212</f>
        <v>0</v>
      </c>
      <c r="D234" s="72" t="e">
        <f>VLOOKUP(B234,'Cadastro de Produtos'!K:Q,7,0)</f>
        <v>#N/A</v>
      </c>
      <c r="E234" s="73">
        <f>'Cadastro de Produtos'!P212</f>
        <v>0</v>
      </c>
    </row>
    <row r="235" spans="1:5" x14ac:dyDescent="0.3">
      <c r="A235" s="62">
        <f>'Cadastro de Produtos'!O213</f>
        <v>0</v>
      </c>
      <c r="B235" s="63">
        <f>'Cadastro de Produtos'!K213</f>
        <v>0</v>
      </c>
      <c r="C235" s="63">
        <f>'Cadastro de Produtos'!L213</f>
        <v>0</v>
      </c>
      <c r="D235" s="72" t="e">
        <f>VLOOKUP(B235,'Cadastro de Produtos'!K:Q,7,0)</f>
        <v>#N/A</v>
      </c>
      <c r="E235" s="73">
        <f>'Cadastro de Produtos'!P213</f>
        <v>0</v>
      </c>
    </row>
    <row r="236" spans="1:5" x14ac:dyDescent="0.3">
      <c r="A236" s="62">
        <f>'Cadastro de Produtos'!O214</f>
        <v>0</v>
      </c>
      <c r="B236" s="63">
        <f>'Cadastro de Produtos'!K214</f>
        <v>0</v>
      </c>
      <c r="C236" s="63">
        <f>'Cadastro de Produtos'!L214</f>
        <v>0</v>
      </c>
      <c r="D236" s="72" t="e">
        <f>VLOOKUP(B236,'Cadastro de Produtos'!K:Q,7,0)</f>
        <v>#N/A</v>
      </c>
      <c r="E236" s="73">
        <f>'Cadastro de Produtos'!P214</f>
        <v>0</v>
      </c>
    </row>
    <row r="237" spans="1:5" x14ac:dyDescent="0.3">
      <c r="A237" s="62">
        <f>'Cadastro de Produtos'!O215</f>
        <v>0</v>
      </c>
      <c r="B237" s="63">
        <f>'Cadastro de Produtos'!K215</f>
        <v>0</v>
      </c>
      <c r="C237" s="63">
        <f>'Cadastro de Produtos'!L215</f>
        <v>0</v>
      </c>
      <c r="D237" s="72" t="e">
        <f>VLOOKUP(B237,'Cadastro de Produtos'!K:Q,7,0)</f>
        <v>#N/A</v>
      </c>
      <c r="E237" s="73">
        <f>'Cadastro de Produtos'!P215</f>
        <v>0</v>
      </c>
    </row>
    <row r="238" spans="1:5" x14ac:dyDescent="0.3">
      <c r="A238" s="62">
        <f>'Cadastro de Produtos'!O216</f>
        <v>0</v>
      </c>
      <c r="B238" s="63">
        <f>'Cadastro de Produtos'!K216</f>
        <v>0</v>
      </c>
      <c r="C238" s="63">
        <f>'Cadastro de Produtos'!L216</f>
        <v>0</v>
      </c>
      <c r="D238" s="72" t="e">
        <f>VLOOKUP(B238,'Cadastro de Produtos'!K:Q,7,0)</f>
        <v>#N/A</v>
      </c>
      <c r="E238" s="73">
        <f>'Cadastro de Produtos'!P216</f>
        <v>0</v>
      </c>
    </row>
    <row r="239" spans="1:5" x14ac:dyDescent="0.3">
      <c r="A239" s="62">
        <f>'Cadastro de Produtos'!O217</f>
        <v>0</v>
      </c>
      <c r="B239" s="63">
        <f>'Cadastro de Produtos'!K217</f>
        <v>0</v>
      </c>
      <c r="C239" s="63">
        <f>'Cadastro de Produtos'!L217</f>
        <v>0</v>
      </c>
      <c r="D239" s="72" t="e">
        <f>VLOOKUP(B239,'Cadastro de Produtos'!K:Q,7,0)</f>
        <v>#N/A</v>
      </c>
      <c r="E239" s="73">
        <f>'Cadastro de Produtos'!P217</f>
        <v>0</v>
      </c>
    </row>
    <row r="240" spans="1:5" x14ac:dyDescent="0.3">
      <c r="A240" s="62">
        <f>'Cadastro de Produtos'!O218</f>
        <v>0</v>
      </c>
      <c r="B240" s="63">
        <f>'Cadastro de Produtos'!K218</f>
        <v>0</v>
      </c>
      <c r="C240" s="63">
        <f>'Cadastro de Produtos'!L218</f>
        <v>0</v>
      </c>
      <c r="D240" s="72" t="e">
        <f>VLOOKUP(B240,'Cadastro de Produtos'!K:Q,7,0)</f>
        <v>#N/A</v>
      </c>
      <c r="E240" s="73">
        <f>'Cadastro de Produtos'!P218</f>
        <v>0</v>
      </c>
    </row>
    <row r="241" spans="1:5" x14ac:dyDescent="0.3">
      <c r="A241" s="62">
        <f>'Cadastro de Produtos'!O219</f>
        <v>0</v>
      </c>
      <c r="B241" s="63">
        <f>'Cadastro de Produtos'!K219</f>
        <v>0</v>
      </c>
      <c r="C241" s="63">
        <f>'Cadastro de Produtos'!L219</f>
        <v>0</v>
      </c>
      <c r="D241" s="72" t="e">
        <f>VLOOKUP(B241,'Cadastro de Produtos'!K:Q,7,0)</f>
        <v>#N/A</v>
      </c>
      <c r="E241" s="73">
        <f>'Cadastro de Produtos'!P219</f>
        <v>0</v>
      </c>
    </row>
    <row r="242" spans="1:5" x14ac:dyDescent="0.3">
      <c r="A242" s="62">
        <f>'Cadastro de Produtos'!O220</f>
        <v>0</v>
      </c>
      <c r="B242" s="63">
        <f>'Cadastro de Produtos'!K220</f>
        <v>0</v>
      </c>
      <c r="C242" s="63">
        <f>'Cadastro de Produtos'!L220</f>
        <v>0</v>
      </c>
      <c r="D242" s="72" t="e">
        <f>VLOOKUP(B242,'Cadastro de Produtos'!K:Q,7,0)</f>
        <v>#N/A</v>
      </c>
      <c r="E242" s="73">
        <f>'Cadastro de Produtos'!P220</f>
        <v>0</v>
      </c>
    </row>
    <row r="243" spans="1:5" x14ac:dyDescent="0.3">
      <c r="A243" s="62">
        <f>'Cadastro de Produtos'!O221</f>
        <v>0</v>
      </c>
      <c r="B243" s="63">
        <f>'Cadastro de Produtos'!K221</f>
        <v>0</v>
      </c>
      <c r="C243" s="63">
        <f>'Cadastro de Produtos'!L221</f>
        <v>0</v>
      </c>
      <c r="D243" s="72" t="e">
        <f>VLOOKUP(B243,'Cadastro de Produtos'!K:Q,7,0)</f>
        <v>#N/A</v>
      </c>
      <c r="E243" s="73">
        <f>'Cadastro de Produtos'!P221</f>
        <v>0</v>
      </c>
    </row>
    <row r="244" spans="1:5" x14ac:dyDescent="0.3">
      <c r="A244" s="62">
        <f>'Cadastro de Produtos'!O222</f>
        <v>0</v>
      </c>
      <c r="B244" s="63">
        <f>'Cadastro de Produtos'!K222</f>
        <v>0</v>
      </c>
      <c r="C244" s="63">
        <f>'Cadastro de Produtos'!L222</f>
        <v>0</v>
      </c>
      <c r="D244" s="72" t="e">
        <f>VLOOKUP(B244,'Cadastro de Produtos'!K:Q,7,0)</f>
        <v>#N/A</v>
      </c>
      <c r="E244" s="73">
        <f>'Cadastro de Produtos'!P222</f>
        <v>0</v>
      </c>
    </row>
    <row r="245" spans="1:5" x14ac:dyDescent="0.3">
      <c r="A245" s="62">
        <f>'Cadastro de Produtos'!O223</f>
        <v>0</v>
      </c>
      <c r="B245" s="63">
        <f>'Cadastro de Produtos'!K223</f>
        <v>0</v>
      </c>
      <c r="C245" s="63">
        <f>'Cadastro de Produtos'!L223</f>
        <v>0</v>
      </c>
      <c r="D245" s="72" t="e">
        <f>VLOOKUP(B245,'Cadastro de Produtos'!K:Q,7,0)</f>
        <v>#N/A</v>
      </c>
      <c r="E245" s="73">
        <f>'Cadastro de Produtos'!P223</f>
        <v>0</v>
      </c>
    </row>
    <row r="246" spans="1:5" x14ac:dyDescent="0.3">
      <c r="A246" s="62">
        <f>'Cadastro de Produtos'!O224</f>
        <v>0</v>
      </c>
      <c r="B246" s="63">
        <f>'Cadastro de Produtos'!K224</f>
        <v>0</v>
      </c>
      <c r="C246" s="63">
        <f>'Cadastro de Produtos'!L224</f>
        <v>0</v>
      </c>
      <c r="D246" s="72" t="e">
        <f>VLOOKUP(B246,'Cadastro de Produtos'!K:Q,7,0)</f>
        <v>#N/A</v>
      </c>
      <c r="E246" s="73">
        <f>'Cadastro de Produtos'!P224</f>
        <v>0</v>
      </c>
    </row>
    <row r="247" spans="1:5" x14ac:dyDescent="0.3">
      <c r="A247" s="62">
        <f>'Cadastro de Produtos'!O225</f>
        <v>0</v>
      </c>
      <c r="B247" s="63">
        <f>'Cadastro de Produtos'!K225</f>
        <v>0</v>
      </c>
      <c r="C247" s="63">
        <f>'Cadastro de Produtos'!L225</f>
        <v>0</v>
      </c>
      <c r="D247" s="72" t="e">
        <f>VLOOKUP(B247,'Cadastro de Produtos'!K:Q,7,0)</f>
        <v>#N/A</v>
      </c>
      <c r="E247" s="73">
        <f>'Cadastro de Produtos'!P225</f>
        <v>0</v>
      </c>
    </row>
    <row r="248" spans="1:5" x14ac:dyDescent="0.3">
      <c r="A248" s="62">
        <f>'Cadastro de Produtos'!O226</f>
        <v>0</v>
      </c>
      <c r="B248" s="63">
        <f>'Cadastro de Produtos'!K226</f>
        <v>0</v>
      </c>
      <c r="C248" s="63">
        <f>'Cadastro de Produtos'!L226</f>
        <v>0</v>
      </c>
      <c r="D248" s="72" t="e">
        <f>VLOOKUP(B248,'Cadastro de Produtos'!K:Q,7,0)</f>
        <v>#N/A</v>
      </c>
      <c r="E248" s="73">
        <f>'Cadastro de Produtos'!P226</f>
        <v>0</v>
      </c>
    </row>
    <row r="249" spans="1:5" x14ac:dyDescent="0.3">
      <c r="A249" s="62">
        <f>'Cadastro de Produtos'!O227</f>
        <v>0</v>
      </c>
      <c r="B249" s="63">
        <f>'Cadastro de Produtos'!K227</f>
        <v>0</v>
      </c>
      <c r="C249" s="63">
        <f>'Cadastro de Produtos'!L227</f>
        <v>0</v>
      </c>
      <c r="D249" s="72" t="e">
        <f>VLOOKUP(B249,'Cadastro de Produtos'!K:Q,7,0)</f>
        <v>#N/A</v>
      </c>
      <c r="E249" s="73">
        <f>'Cadastro de Produtos'!P227</f>
        <v>0</v>
      </c>
    </row>
    <row r="250" spans="1:5" x14ac:dyDescent="0.3">
      <c r="A250" s="62">
        <f>'Cadastro de Produtos'!O228</f>
        <v>0</v>
      </c>
      <c r="B250" s="63">
        <f>'Cadastro de Produtos'!K228</f>
        <v>0</v>
      </c>
      <c r="C250" s="63">
        <f>'Cadastro de Produtos'!L228</f>
        <v>0</v>
      </c>
      <c r="D250" s="72" t="e">
        <f>VLOOKUP(B250,'Cadastro de Produtos'!K:Q,7,0)</f>
        <v>#N/A</v>
      </c>
      <c r="E250" s="73">
        <f>'Cadastro de Produtos'!P228</f>
        <v>0</v>
      </c>
    </row>
    <row r="251" spans="1:5" x14ac:dyDescent="0.3">
      <c r="A251" s="62">
        <f>'Cadastro de Produtos'!O229</f>
        <v>0</v>
      </c>
      <c r="B251" s="63">
        <f>'Cadastro de Produtos'!K229</f>
        <v>0</v>
      </c>
      <c r="C251" s="63">
        <f>'Cadastro de Produtos'!L229</f>
        <v>0</v>
      </c>
      <c r="D251" s="72" t="e">
        <f>VLOOKUP(B251,'Cadastro de Produtos'!K:Q,7,0)</f>
        <v>#N/A</v>
      </c>
      <c r="E251" s="73">
        <f>'Cadastro de Produtos'!P229</f>
        <v>0</v>
      </c>
    </row>
    <row r="252" spans="1:5" x14ac:dyDescent="0.3">
      <c r="A252" s="62">
        <f>'Cadastro de Produtos'!O230</f>
        <v>0</v>
      </c>
      <c r="B252" s="63">
        <f>'Cadastro de Produtos'!K230</f>
        <v>0</v>
      </c>
      <c r="C252" s="63">
        <f>'Cadastro de Produtos'!L230</f>
        <v>0</v>
      </c>
      <c r="D252" s="72" t="e">
        <f>VLOOKUP(B252,'Cadastro de Produtos'!K:Q,7,0)</f>
        <v>#N/A</v>
      </c>
      <c r="E252" s="73">
        <f>'Cadastro de Produtos'!P230</f>
        <v>0</v>
      </c>
    </row>
    <row r="253" spans="1:5" x14ac:dyDescent="0.3">
      <c r="A253" s="62">
        <f>'Cadastro de Produtos'!O231</f>
        <v>0</v>
      </c>
      <c r="B253" s="63">
        <f>'Cadastro de Produtos'!K231</f>
        <v>0</v>
      </c>
      <c r="C253" s="63">
        <f>'Cadastro de Produtos'!L231</f>
        <v>0</v>
      </c>
      <c r="D253" s="72" t="e">
        <f>VLOOKUP(B253,'Cadastro de Produtos'!K:Q,7,0)</f>
        <v>#N/A</v>
      </c>
      <c r="E253" s="73">
        <f>'Cadastro de Produtos'!P231</f>
        <v>0</v>
      </c>
    </row>
    <row r="254" spans="1:5" x14ac:dyDescent="0.3">
      <c r="A254" s="62">
        <f>'Cadastro de Produtos'!O232</f>
        <v>0</v>
      </c>
      <c r="B254" s="63">
        <f>'Cadastro de Produtos'!K232</f>
        <v>0</v>
      </c>
      <c r="C254" s="63">
        <f>'Cadastro de Produtos'!L232</f>
        <v>0</v>
      </c>
      <c r="D254" s="72" t="e">
        <f>VLOOKUP(B254,'Cadastro de Produtos'!K:Q,7,0)</f>
        <v>#N/A</v>
      </c>
      <c r="E254" s="73">
        <f>'Cadastro de Produtos'!P232</f>
        <v>0</v>
      </c>
    </row>
    <row r="255" spans="1:5" x14ac:dyDescent="0.3">
      <c r="A255" s="62">
        <f>'Cadastro de Produtos'!O233</f>
        <v>0</v>
      </c>
      <c r="B255" s="63">
        <f>'Cadastro de Produtos'!K233</f>
        <v>0</v>
      </c>
      <c r="C255" s="63">
        <f>'Cadastro de Produtos'!L233</f>
        <v>0</v>
      </c>
      <c r="D255" s="72" t="e">
        <f>VLOOKUP(B255,'Cadastro de Produtos'!K:Q,7,0)</f>
        <v>#N/A</v>
      </c>
      <c r="E255" s="73">
        <f>'Cadastro de Produtos'!P233</f>
        <v>0</v>
      </c>
    </row>
    <row r="256" spans="1:5" x14ac:dyDescent="0.3">
      <c r="A256" s="62">
        <f>'Cadastro de Produtos'!O234</f>
        <v>0</v>
      </c>
      <c r="B256" s="63">
        <f>'Cadastro de Produtos'!K234</f>
        <v>0</v>
      </c>
      <c r="C256" s="63">
        <f>'Cadastro de Produtos'!L234</f>
        <v>0</v>
      </c>
      <c r="D256" s="72" t="e">
        <f>VLOOKUP(B256,'Cadastro de Produtos'!K:Q,7,0)</f>
        <v>#N/A</v>
      </c>
      <c r="E256" s="73">
        <f>'Cadastro de Produtos'!P234</f>
        <v>0</v>
      </c>
    </row>
    <row r="257" spans="1:5" x14ac:dyDescent="0.3">
      <c r="A257" s="62">
        <f>'Cadastro de Produtos'!O235</f>
        <v>0</v>
      </c>
      <c r="B257" s="63">
        <f>'Cadastro de Produtos'!K235</f>
        <v>0</v>
      </c>
      <c r="C257" s="63">
        <f>'Cadastro de Produtos'!L235</f>
        <v>0</v>
      </c>
      <c r="D257" s="72" t="e">
        <f>VLOOKUP(B257,'Cadastro de Produtos'!K:Q,7,0)</f>
        <v>#N/A</v>
      </c>
      <c r="E257" s="73">
        <f>'Cadastro de Produtos'!P235</f>
        <v>0</v>
      </c>
    </row>
    <row r="258" spans="1:5" x14ac:dyDescent="0.3">
      <c r="A258" s="62">
        <f>'Cadastro de Produtos'!O236</f>
        <v>0</v>
      </c>
      <c r="B258" s="63">
        <f>'Cadastro de Produtos'!K236</f>
        <v>0</v>
      </c>
      <c r="C258" s="63">
        <f>'Cadastro de Produtos'!L236</f>
        <v>0</v>
      </c>
      <c r="D258" s="72" t="e">
        <f>VLOOKUP(B258,'Cadastro de Produtos'!K:Q,7,0)</f>
        <v>#N/A</v>
      </c>
      <c r="E258" s="73">
        <f>'Cadastro de Produtos'!P236</f>
        <v>0</v>
      </c>
    </row>
    <row r="259" spans="1:5" x14ac:dyDescent="0.3">
      <c r="A259" s="62">
        <f>'Cadastro de Produtos'!O237</f>
        <v>0</v>
      </c>
      <c r="B259" s="63">
        <f>'Cadastro de Produtos'!K237</f>
        <v>0</v>
      </c>
      <c r="C259" s="63">
        <f>'Cadastro de Produtos'!L237</f>
        <v>0</v>
      </c>
      <c r="D259" s="72" t="e">
        <f>VLOOKUP(B259,'Cadastro de Produtos'!K:Q,7,0)</f>
        <v>#N/A</v>
      </c>
      <c r="E259" s="73">
        <f>'Cadastro de Produtos'!P237</f>
        <v>0</v>
      </c>
    </row>
    <row r="260" spans="1:5" x14ac:dyDescent="0.3">
      <c r="A260" s="62">
        <f>'Cadastro de Produtos'!O238</f>
        <v>0</v>
      </c>
      <c r="B260" s="63">
        <f>'Cadastro de Produtos'!K238</f>
        <v>0</v>
      </c>
      <c r="C260" s="63">
        <f>'Cadastro de Produtos'!L238</f>
        <v>0</v>
      </c>
      <c r="D260" s="72" t="e">
        <f>VLOOKUP(B260,'Cadastro de Produtos'!K:Q,7,0)</f>
        <v>#N/A</v>
      </c>
      <c r="E260" s="73">
        <f>'Cadastro de Produtos'!P238</f>
        <v>0</v>
      </c>
    </row>
    <row r="261" spans="1:5" x14ac:dyDescent="0.3">
      <c r="A261" s="62">
        <f>'Cadastro de Produtos'!O239</f>
        <v>0</v>
      </c>
      <c r="B261" s="63">
        <f>'Cadastro de Produtos'!K239</f>
        <v>0</v>
      </c>
      <c r="C261" s="63">
        <f>'Cadastro de Produtos'!L239</f>
        <v>0</v>
      </c>
      <c r="D261" s="72" t="e">
        <f>VLOOKUP(B261,'Cadastro de Produtos'!K:Q,7,0)</f>
        <v>#N/A</v>
      </c>
      <c r="E261" s="73">
        <f>'Cadastro de Produtos'!P239</f>
        <v>0</v>
      </c>
    </row>
    <row r="262" spans="1:5" x14ac:dyDescent="0.3">
      <c r="A262" s="62">
        <f>'Cadastro de Produtos'!O240</f>
        <v>0</v>
      </c>
      <c r="B262" s="63">
        <f>'Cadastro de Produtos'!K240</f>
        <v>0</v>
      </c>
      <c r="C262" s="63">
        <f>'Cadastro de Produtos'!L240</f>
        <v>0</v>
      </c>
      <c r="D262" s="72" t="e">
        <f>VLOOKUP(B262,'Cadastro de Produtos'!K:Q,7,0)</f>
        <v>#N/A</v>
      </c>
      <c r="E262" s="73">
        <f>'Cadastro de Produtos'!P240</f>
        <v>0</v>
      </c>
    </row>
    <row r="263" spans="1:5" x14ac:dyDescent="0.3">
      <c r="A263" s="62">
        <f>'Cadastro de Produtos'!O241</f>
        <v>0</v>
      </c>
      <c r="B263" s="63">
        <f>'Cadastro de Produtos'!K241</f>
        <v>0</v>
      </c>
      <c r="C263" s="63">
        <f>'Cadastro de Produtos'!L241</f>
        <v>0</v>
      </c>
      <c r="D263" s="72" t="e">
        <f>VLOOKUP(B263,'Cadastro de Produtos'!K:Q,7,0)</f>
        <v>#N/A</v>
      </c>
      <c r="E263" s="73">
        <f>'Cadastro de Produtos'!P241</f>
        <v>0</v>
      </c>
    </row>
    <row r="264" spans="1:5" x14ac:dyDescent="0.3">
      <c r="A264" s="62">
        <f>'Cadastro de Produtos'!O242</f>
        <v>0</v>
      </c>
      <c r="B264" s="63">
        <f>'Cadastro de Produtos'!K242</f>
        <v>0</v>
      </c>
      <c r="C264" s="63">
        <f>'Cadastro de Produtos'!L242</f>
        <v>0</v>
      </c>
      <c r="D264" s="72" t="e">
        <f>VLOOKUP(B264,'Cadastro de Produtos'!K:Q,7,0)</f>
        <v>#N/A</v>
      </c>
      <c r="E264" s="73">
        <f>'Cadastro de Produtos'!P242</f>
        <v>0</v>
      </c>
    </row>
    <row r="265" spans="1:5" x14ac:dyDescent="0.3">
      <c r="A265" s="62">
        <f>'Cadastro de Produtos'!O243</f>
        <v>0</v>
      </c>
      <c r="B265" s="63">
        <f>'Cadastro de Produtos'!K243</f>
        <v>0</v>
      </c>
      <c r="C265" s="63">
        <f>'Cadastro de Produtos'!L243</f>
        <v>0</v>
      </c>
      <c r="D265" s="72" t="e">
        <f>VLOOKUP(B265,'Cadastro de Produtos'!K:Q,7,0)</f>
        <v>#N/A</v>
      </c>
      <c r="E265" s="73">
        <f>'Cadastro de Produtos'!P243</f>
        <v>0</v>
      </c>
    </row>
    <row r="266" spans="1:5" x14ac:dyDescent="0.3">
      <c r="A266" s="62">
        <f>'Cadastro de Produtos'!O244</f>
        <v>0</v>
      </c>
      <c r="B266" s="63">
        <f>'Cadastro de Produtos'!K244</f>
        <v>0</v>
      </c>
      <c r="C266" s="63">
        <f>'Cadastro de Produtos'!L244</f>
        <v>0</v>
      </c>
      <c r="D266" s="72" t="e">
        <f>VLOOKUP(B266,'Cadastro de Produtos'!K:Q,7,0)</f>
        <v>#N/A</v>
      </c>
      <c r="E266" s="73">
        <f>'Cadastro de Produtos'!P244</f>
        <v>0</v>
      </c>
    </row>
    <row r="267" spans="1:5" x14ac:dyDescent="0.3">
      <c r="A267" s="62">
        <f>'Cadastro de Produtos'!O245</f>
        <v>0</v>
      </c>
      <c r="B267" s="63">
        <f>'Cadastro de Produtos'!K245</f>
        <v>0</v>
      </c>
      <c r="C267" s="63">
        <f>'Cadastro de Produtos'!L245</f>
        <v>0</v>
      </c>
      <c r="D267" s="72" t="e">
        <f>VLOOKUP(B267,'Cadastro de Produtos'!K:Q,7,0)</f>
        <v>#N/A</v>
      </c>
      <c r="E267" s="73">
        <f>'Cadastro de Produtos'!P245</f>
        <v>0</v>
      </c>
    </row>
    <row r="268" spans="1:5" x14ac:dyDescent="0.3">
      <c r="A268" s="62">
        <f>'Cadastro de Produtos'!O246</f>
        <v>0</v>
      </c>
      <c r="B268" s="63">
        <f>'Cadastro de Produtos'!K246</f>
        <v>0</v>
      </c>
      <c r="C268" s="63">
        <f>'Cadastro de Produtos'!L246</f>
        <v>0</v>
      </c>
      <c r="D268" s="72" t="e">
        <f>VLOOKUP(B268,'Cadastro de Produtos'!K:Q,7,0)</f>
        <v>#N/A</v>
      </c>
      <c r="E268" s="73">
        <f>'Cadastro de Produtos'!P246</f>
        <v>0</v>
      </c>
    </row>
    <row r="269" spans="1:5" x14ac:dyDescent="0.3">
      <c r="A269" s="62">
        <f>'Cadastro de Produtos'!O247</f>
        <v>0</v>
      </c>
      <c r="B269" s="63">
        <f>'Cadastro de Produtos'!K247</f>
        <v>0</v>
      </c>
      <c r="C269" s="63">
        <f>'Cadastro de Produtos'!L247</f>
        <v>0</v>
      </c>
      <c r="D269" s="72" t="e">
        <f>VLOOKUP(B269,'Cadastro de Produtos'!K:Q,7,0)</f>
        <v>#N/A</v>
      </c>
      <c r="E269" s="73">
        <f>'Cadastro de Produtos'!P247</f>
        <v>0</v>
      </c>
    </row>
    <row r="270" spans="1:5" x14ac:dyDescent="0.3">
      <c r="A270" s="62">
        <f>'Cadastro de Produtos'!O248</f>
        <v>0</v>
      </c>
      <c r="B270" s="63">
        <f>'Cadastro de Produtos'!K248</f>
        <v>0</v>
      </c>
      <c r="C270" s="63">
        <f>'Cadastro de Produtos'!L248</f>
        <v>0</v>
      </c>
      <c r="D270" s="72" t="e">
        <f>VLOOKUP(B270,'Cadastro de Produtos'!K:Q,7,0)</f>
        <v>#N/A</v>
      </c>
      <c r="E270" s="73">
        <f>'Cadastro de Produtos'!P248</f>
        <v>0</v>
      </c>
    </row>
    <row r="271" spans="1:5" x14ac:dyDescent="0.3">
      <c r="A271" s="62">
        <f>'Cadastro de Produtos'!O249</f>
        <v>0</v>
      </c>
      <c r="B271" s="63">
        <f>'Cadastro de Produtos'!K249</f>
        <v>0</v>
      </c>
      <c r="C271" s="63">
        <f>'Cadastro de Produtos'!L249</f>
        <v>0</v>
      </c>
      <c r="D271" s="72" t="e">
        <f>VLOOKUP(B271,'Cadastro de Produtos'!K:Q,7,0)</f>
        <v>#N/A</v>
      </c>
      <c r="E271" s="73">
        <f>'Cadastro de Produtos'!P249</f>
        <v>0</v>
      </c>
    </row>
    <row r="272" spans="1:5" x14ac:dyDescent="0.3">
      <c r="A272" s="62">
        <f>'Cadastro de Produtos'!O250</f>
        <v>0</v>
      </c>
      <c r="B272" s="63">
        <f>'Cadastro de Produtos'!K250</f>
        <v>0</v>
      </c>
      <c r="C272" s="63">
        <f>'Cadastro de Produtos'!L250</f>
        <v>0</v>
      </c>
      <c r="D272" s="72" t="e">
        <f>VLOOKUP(B272,'Cadastro de Produtos'!K:Q,7,0)</f>
        <v>#N/A</v>
      </c>
      <c r="E272" s="73">
        <f>'Cadastro de Produtos'!P250</f>
        <v>0</v>
      </c>
    </row>
    <row r="273" spans="1:5" x14ac:dyDescent="0.3">
      <c r="A273" s="62">
        <f>'Cadastro de Produtos'!O251</f>
        <v>0</v>
      </c>
      <c r="B273" s="63">
        <f>'Cadastro de Produtos'!K251</f>
        <v>0</v>
      </c>
      <c r="C273" s="63">
        <f>'Cadastro de Produtos'!L251</f>
        <v>0</v>
      </c>
      <c r="D273" s="72" t="e">
        <f>VLOOKUP(B273,'Cadastro de Produtos'!K:Q,7,0)</f>
        <v>#N/A</v>
      </c>
      <c r="E273" s="73">
        <f>'Cadastro de Produtos'!P251</f>
        <v>0</v>
      </c>
    </row>
    <row r="274" spans="1:5" x14ac:dyDescent="0.3">
      <c r="A274" s="62">
        <f>'Cadastro de Produtos'!O252</f>
        <v>0</v>
      </c>
      <c r="B274" s="63">
        <f>'Cadastro de Produtos'!K252</f>
        <v>0</v>
      </c>
      <c r="C274" s="63">
        <f>'Cadastro de Produtos'!L252</f>
        <v>0</v>
      </c>
      <c r="D274" s="72" t="e">
        <f>VLOOKUP(B274,'Cadastro de Produtos'!K:Q,7,0)</f>
        <v>#N/A</v>
      </c>
      <c r="E274" s="73">
        <f>'Cadastro de Produtos'!P252</f>
        <v>0</v>
      </c>
    </row>
    <row r="275" spans="1:5" x14ac:dyDescent="0.3">
      <c r="A275" s="62">
        <f>'Cadastro de Produtos'!O253</f>
        <v>0</v>
      </c>
      <c r="B275" s="63">
        <f>'Cadastro de Produtos'!K253</f>
        <v>0</v>
      </c>
      <c r="C275" s="63">
        <f>'Cadastro de Produtos'!L253</f>
        <v>0</v>
      </c>
      <c r="D275" s="72" t="e">
        <f>VLOOKUP(B275,'Cadastro de Produtos'!K:Q,7,0)</f>
        <v>#N/A</v>
      </c>
      <c r="E275" s="73">
        <f>'Cadastro de Produtos'!P253</f>
        <v>0</v>
      </c>
    </row>
    <row r="276" spans="1:5" x14ac:dyDescent="0.3">
      <c r="A276" s="62">
        <f>'Cadastro de Produtos'!O254</f>
        <v>0</v>
      </c>
      <c r="B276" s="63">
        <f>'Cadastro de Produtos'!K254</f>
        <v>0</v>
      </c>
      <c r="C276" s="63">
        <f>'Cadastro de Produtos'!L254</f>
        <v>0</v>
      </c>
      <c r="D276" s="72" t="e">
        <f>VLOOKUP(B276,'Cadastro de Produtos'!K:Q,7,0)</f>
        <v>#N/A</v>
      </c>
      <c r="E276" s="73">
        <f>'Cadastro de Produtos'!P254</f>
        <v>0</v>
      </c>
    </row>
    <row r="277" spans="1:5" x14ac:dyDescent="0.3">
      <c r="A277" s="62">
        <f>'Cadastro de Produtos'!O255</f>
        <v>0</v>
      </c>
      <c r="B277" s="63">
        <f>'Cadastro de Produtos'!K255</f>
        <v>0</v>
      </c>
      <c r="C277" s="63">
        <f>'Cadastro de Produtos'!L255</f>
        <v>0</v>
      </c>
      <c r="D277" s="72" t="e">
        <f>VLOOKUP(B277,'Cadastro de Produtos'!K:Q,7,0)</f>
        <v>#N/A</v>
      </c>
      <c r="E277" s="73">
        <f>'Cadastro de Produtos'!P255</f>
        <v>0</v>
      </c>
    </row>
    <row r="278" spans="1:5" x14ac:dyDescent="0.3">
      <c r="A278" s="62">
        <f>'Cadastro de Produtos'!O256</f>
        <v>0</v>
      </c>
      <c r="B278" s="63">
        <f>'Cadastro de Produtos'!K256</f>
        <v>0</v>
      </c>
      <c r="C278" s="63">
        <f>'Cadastro de Produtos'!L256</f>
        <v>0</v>
      </c>
      <c r="D278" s="72" t="e">
        <f>VLOOKUP(B278,'Cadastro de Produtos'!K:Q,7,0)</f>
        <v>#N/A</v>
      </c>
      <c r="E278" s="73">
        <f>'Cadastro de Produtos'!P256</f>
        <v>0</v>
      </c>
    </row>
    <row r="279" spans="1:5" x14ac:dyDescent="0.3">
      <c r="A279" s="62">
        <f>'Cadastro de Produtos'!O257</f>
        <v>0</v>
      </c>
      <c r="B279" s="63">
        <f>'Cadastro de Produtos'!K257</f>
        <v>0</v>
      </c>
      <c r="C279" s="63">
        <f>'Cadastro de Produtos'!L257</f>
        <v>0</v>
      </c>
      <c r="D279" s="72" t="e">
        <f>VLOOKUP(B279,'Cadastro de Produtos'!K:Q,7,0)</f>
        <v>#N/A</v>
      </c>
      <c r="E279" s="73">
        <f>'Cadastro de Produtos'!P257</f>
        <v>0</v>
      </c>
    </row>
    <row r="280" spans="1:5" x14ac:dyDescent="0.3">
      <c r="A280" s="62">
        <f>'Cadastro de Produtos'!O258</f>
        <v>0</v>
      </c>
      <c r="B280" s="63">
        <f>'Cadastro de Produtos'!K258</f>
        <v>0</v>
      </c>
      <c r="C280" s="63">
        <f>'Cadastro de Produtos'!L258</f>
        <v>0</v>
      </c>
      <c r="D280" s="72" t="e">
        <f>VLOOKUP(B280,'Cadastro de Produtos'!K:Q,7,0)</f>
        <v>#N/A</v>
      </c>
      <c r="E280" s="73">
        <f>'Cadastro de Produtos'!P258</f>
        <v>0</v>
      </c>
    </row>
    <row r="281" spans="1:5" x14ac:dyDescent="0.3">
      <c r="A281" s="62">
        <f>'Cadastro de Produtos'!O259</f>
        <v>0</v>
      </c>
      <c r="B281" s="63">
        <f>'Cadastro de Produtos'!K259</f>
        <v>0</v>
      </c>
      <c r="C281" s="63">
        <f>'Cadastro de Produtos'!L259</f>
        <v>0</v>
      </c>
      <c r="D281" s="72" t="e">
        <f>VLOOKUP(B281,'Cadastro de Produtos'!K:Q,7,0)</f>
        <v>#N/A</v>
      </c>
      <c r="E281" s="73">
        <f>'Cadastro de Produtos'!P259</f>
        <v>0</v>
      </c>
    </row>
    <row r="282" spans="1:5" x14ac:dyDescent="0.3">
      <c r="A282" s="62">
        <f>'Cadastro de Produtos'!O260</f>
        <v>0</v>
      </c>
      <c r="B282" s="63">
        <f>'Cadastro de Produtos'!K260</f>
        <v>0</v>
      </c>
      <c r="C282" s="63">
        <f>'Cadastro de Produtos'!L260</f>
        <v>0</v>
      </c>
      <c r="D282" s="72" t="e">
        <f>VLOOKUP(B282,'Cadastro de Produtos'!K:Q,7,0)</f>
        <v>#N/A</v>
      </c>
      <c r="E282" s="73">
        <f>'Cadastro de Produtos'!P260</f>
        <v>0</v>
      </c>
    </row>
    <row r="283" spans="1:5" x14ac:dyDescent="0.3">
      <c r="A283" s="62">
        <f>'Cadastro de Produtos'!O261</f>
        <v>0</v>
      </c>
      <c r="B283" s="63">
        <f>'Cadastro de Produtos'!K261</f>
        <v>0</v>
      </c>
      <c r="C283" s="63">
        <f>'Cadastro de Produtos'!L261</f>
        <v>0</v>
      </c>
      <c r="D283" s="72" t="e">
        <f>VLOOKUP(B283,'Cadastro de Produtos'!K:Q,7,0)</f>
        <v>#N/A</v>
      </c>
      <c r="E283" s="73">
        <f>'Cadastro de Produtos'!P261</f>
        <v>0</v>
      </c>
    </row>
    <row r="284" spans="1:5" x14ac:dyDescent="0.3">
      <c r="A284" s="62">
        <f>'Cadastro de Produtos'!O262</f>
        <v>0</v>
      </c>
      <c r="B284" s="63">
        <f>'Cadastro de Produtos'!K262</f>
        <v>0</v>
      </c>
      <c r="C284" s="63">
        <f>'Cadastro de Produtos'!L262</f>
        <v>0</v>
      </c>
      <c r="D284" s="72" t="e">
        <f>VLOOKUP(B284,'Cadastro de Produtos'!K:Q,7,0)</f>
        <v>#N/A</v>
      </c>
      <c r="E284" s="73">
        <f>'Cadastro de Produtos'!P262</f>
        <v>0</v>
      </c>
    </row>
    <row r="285" spans="1:5" x14ac:dyDescent="0.3">
      <c r="A285" s="62">
        <f>'Cadastro de Produtos'!O263</f>
        <v>0</v>
      </c>
      <c r="B285" s="63">
        <f>'Cadastro de Produtos'!K263</f>
        <v>0</v>
      </c>
      <c r="C285" s="63">
        <f>'Cadastro de Produtos'!L263</f>
        <v>0</v>
      </c>
      <c r="D285" s="72" t="e">
        <f>VLOOKUP(B285,'Cadastro de Produtos'!K:Q,7,0)</f>
        <v>#N/A</v>
      </c>
      <c r="E285" s="73">
        <f>'Cadastro de Produtos'!P263</f>
        <v>0</v>
      </c>
    </row>
    <row r="286" spans="1:5" x14ac:dyDescent="0.3">
      <c r="A286" s="62">
        <f>'Cadastro de Produtos'!O264</f>
        <v>0</v>
      </c>
      <c r="B286" s="63">
        <f>'Cadastro de Produtos'!K264</f>
        <v>0</v>
      </c>
      <c r="C286" s="63">
        <f>'Cadastro de Produtos'!L264</f>
        <v>0</v>
      </c>
      <c r="D286" s="72" t="e">
        <f>VLOOKUP(B286,'Cadastro de Produtos'!K:Q,7,0)</f>
        <v>#N/A</v>
      </c>
      <c r="E286" s="73">
        <f>'Cadastro de Produtos'!P264</f>
        <v>0</v>
      </c>
    </row>
    <row r="287" spans="1:5" x14ac:dyDescent="0.3">
      <c r="A287" s="62">
        <f>'Cadastro de Produtos'!O265</f>
        <v>0</v>
      </c>
      <c r="B287" s="63">
        <f>'Cadastro de Produtos'!K265</f>
        <v>0</v>
      </c>
      <c r="C287" s="63">
        <f>'Cadastro de Produtos'!L265</f>
        <v>0</v>
      </c>
      <c r="D287" s="72" t="e">
        <f>VLOOKUP(B287,'Cadastro de Produtos'!K:Q,7,0)</f>
        <v>#N/A</v>
      </c>
      <c r="E287" s="73">
        <f>'Cadastro de Produtos'!P265</f>
        <v>0</v>
      </c>
    </row>
    <row r="288" spans="1:5" x14ac:dyDescent="0.3">
      <c r="A288" s="62">
        <f>'Cadastro de Produtos'!O266</f>
        <v>0</v>
      </c>
      <c r="B288" s="63">
        <f>'Cadastro de Produtos'!K266</f>
        <v>0</v>
      </c>
      <c r="C288" s="63">
        <f>'Cadastro de Produtos'!L266</f>
        <v>0</v>
      </c>
      <c r="D288" s="72" t="e">
        <f>VLOOKUP(B288,'Cadastro de Produtos'!K:Q,7,0)</f>
        <v>#N/A</v>
      </c>
      <c r="E288" s="73">
        <f>'Cadastro de Produtos'!P266</f>
        <v>0</v>
      </c>
    </row>
    <row r="289" spans="1:5" x14ac:dyDescent="0.3">
      <c r="A289" s="62">
        <f>'Cadastro de Produtos'!O267</f>
        <v>0</v>
      </c>
      <c r="B289" s="63">
        <f>'Cadastro de Produtos'!K267</f>
        <v>0</v>
      </c>
      <c r="C289" s="63">
        <f>'Cadastro de Produtos'!L267</f>
        <v>0</v>
      </c>
      <c r="D289" s="72" t="e">
        <f>VLOOKUP(B289,'Cadastro de Produtos'!K:Q,7,0)</f>
        <v>#N/A</v>
      </c>
      <c r="E289" s="73">
        <f>'Cadastro de Produtos'!P267</f>
        <v>0</v>
      </c>
    </row>
    <row r="290" spans="1:5" x14ac:dyDescent="0.3">
      <c r="A290" s="62">
        <f>'Cadastro de Produtos'!O268</f>
        <v>0</v>
      </c>
      <c r="B290" s="63">
        <f>'Cadastro de Produtos'!K268</f>
        <v>0</v>
      </c>
      <c r="C290" s="63">
        <f>'Cadastro de Produtos'!L268</f>
        <v>0</v>
      </c>
      <c r="D290" s="72" t="e">
        <f>VLOOKUP(B290,'Cadastro de Produtos'!K:Q,7,0)</f>
        <v>#N/A</v>
      </c>
      <c r="E290" s="73">
        <f>'Cadastro de Produtos'!P268</f>
        <v>0</v>
      </c>
    </row>
    <row r="291" spans="1:5" x14ac:dyDescent="0.3">
      <c r="A291" s="62">
        <f>'Cadastro de Produtos'!O269</f>
        <v>0</v>
      </c>
      <c r="B291" s="63">
        <f>'Cadastro de Produtos'!K269</f>
        <v>0</v>
      </c>
      <c r="C291" s="63">
        <f>'Cadastro de Produtos'!L269</f>
        <v>0</v>
      </c>
      <c r="D291" s="72" t="e">
        <f>VLOOKUP(B291,'Cadastro de Produtos'!K:Q,7,0)</f>
        <v>#N/A</v>
      </c>
      <c r="E291" s="73">
        <f>'Cadastro de Produtos'!P269</f>
        <v>0</v>
      </c>
    </row>
    <row r="292" spans="1:5" x14ac:dyDescent="0.3">
      <c r="A292" s="62">
        <f>'Cadastro de Produtos'!O270</f>
        <v>0</v>
      </c>
      <c r="B292" s="63">
        <f>'Cadastro de Produtos'!K270</f>
        <v>0</v>
      </c>
      <c r="C292" s="63">
        <f>'Cadastro de Produtos'!L270</f>
        <v>0</v>
      </c>
      <c r="D292" s="72" t="e">
        <f>VLOOKUP(B292,'Cadastro de Produtos'!K:Q,7,0)</f>
        <v>#N/A</v>
      </c>
      <c r="E292" s="73">
        <f>'Cadastro de Produtos'!P270</f>
        <v>0</v>
      </c>
    </row>
    <row r="293" spans="1:5" x14ac:dyDescent="0.3">
      <c r="A293" s="62">
        <f>'Cadastro de Produtos'!O271</f>
        <v>0</v>
      </c>
      <c r="B293" s="63">
        <f>'Cadastro de Produtos'!K271</f>
        <v>0</v>
      </c>
      <c r="C293" s="63">
        <f>'Cadastro de Produtos'!L271</f>
        <v>0</v>
      </c>
      <c r="D293" s="72" t="e">
        <f>VLOOKUP(B293,'Cadastro de Produtos'!K:Q,7,0)</f>
        <v>#N/A</v>
      </c>
      <c r="E293" s="73">
        <f>'Cadastro de Produtos'!P271</f>
        <v>0</v>
      </c>
    </row>
    <row r="294" spans="1:5" x14ac:dyDescent="0.3">
      <c r="A294" s="62">
        <f>'Cadastro de Produtos'!O272</f>
        <v>0</v>
      </c>
      <c r="B294" s="63">
        <f>'Cadastro de Produtos'!K272</f>
        <v>0</v>
      </c>
      <c r="C294" s="63">
        <f>'Cadastro de Produtos'!L272</f>
        <v>0</v>
      </c>
      <c r="D294" s="72" t="e">
        <f>VLOOKUP(B294,'Cadastro de Produtos'!K:Q,7,0)</f>
        <v>#N/A</v>
      </c>
      <c r="E294" s="73">
        <f>'Cadastro de Produtos'!P272</f>
        <v>0</v>
      </c>
    </row>
    <row r="295" spans="1:5" x14ac:dyDescent="0.3">
      <c r="A295" s="62">
        <f>'Cadastro de Produtos'!O273</f>
        <v>0</v>
      </c>
      <c r="B295" s="63">
        <f>'Cadastro de Produtos'!K273</f>
        <v>0</v>
      </c>
      <c r="C295" s="63">
        <f>'Cadastro de Produtos'!L273</f>
        <v>0</v>
      </c>
      <c r="D295" s="72" t="e">
        <f>VLOOKUP(B295,'Cadastro de Produtos'!K:Q,7,0)</f>
        <v>#N/A</v>
      </c>
      <c r="E295" s="73">
        <f>'Cadastro de Produtos'!P273</f>
        <v>0</v>
      </c>
    </row>
    <row r="296" spans="1:5" x14ac:dyDescent="0.3">
      <c r="A296" s="62">
        <f>'Cadastro de Produtos'!O274</f>
        <v>0</v>
      </c>
      <c r="B296" s="63">
        <f>'Cadastro de Produtos'!K274</f>
        <v>0</v>
      </c>
      <c r="C296" s="63">
        <f>'Cadastro de Produtos'!L274</f>
        <v>0</v>
      </c>
      <c r="D296" s="72" t="e">
        <f>VLOOKUP(B296,'Cadastro de Produtos'!K:Q,7,0)</f>
        <v>#N/A</v>
      </c>
      <c r="E296" s="73">
        <f>'Cadastro de Produtos'!P274</f>
        <v>0</v>
      </c>
    </row>
    <row r="297" spans="1:5" x14ac:dyDescent="0.3">
      <c r="A297" s="62">
        <f>'Cadastro de Produtos'!O275</f>
        <v>0</v>
      </c>
      <c r="B297" s="63">
        <f>'Cadastro de Produtos'!K275</f>
        <v>0</v>
      </c>
      <c r="C297" s="63">
        <f>'Cadastro de Produtos'!L275</f>
        <v>0</v>
      </c>
      <c r="D297" s="72" t="e">
        <f>VLOOKUP(B297,'Cadastro de Produtos'!K:Q,7,0)</f>
        <v>#N/A</v>
      </c>
      <c r="E297" s="73">
        <f>'Cadastro de Produtos'!P275</f>
        <v>0</v>
      </c>
    </row>
    <row r="298" spans="1:5" x14ac:dyDescent="0.3">
      <c r="A298" s="62">
        <f>'Cadastro de Produtos'!O276</f>
        <v>0</v>
      </c>
      <c r="B298" s="63">
        <f>'Cadastro de Produtos'!K276</f>
        <v>0</v>
      </c>
      <c r="C298" s="63">
        <f>'Cadastro de Produtos'!L276</f>
        <v>0</v>
      </c>
      <c r="D298" s="72" t="e">
        <f>VLOOKUP(B298,'Cadastro de Produtos'!K:Q,7,0)</f>
        <v>#N/A</v>
      </c>
      <c r="E298" s="73">
        <f>'Cadastro de Produtos'!P276</f>
        <v>0</v>
      </c>
    </row>
    <row r="299" spans="1:5" x14ac:dyDescent="0.3">
      <c r="A299" s="62">
        <f>'Cadastro de Produtos'!O277</f>
        <v>0</v>
      </c>
      <c r="B299" s="63">
        <f>'Cadastro de Produtos'!K277</f>
        <v>0</v>
      </c>
      <c r="C299" s="63">
        <f>'Cadastro de Produtos'!L277</f>
        <v>0</v>
      </c>
      <c r="D299" s="72" t="e">
        <f>VLOOKUP(B299,'Cadastro de Produtos'!K:Q,7,0)</f>
        <v>#N/A</v>
      </c>
      <c r="E299" s="73">
        <f>'Cadastro de Produtos'!P277</f>
        <v>0</v>
      </c>
    </row>
    <row r="300" spans="1:5" x14ac:dyDescent="0.3">
      <c r="A300" s="62">
        <f>'Cadastro de Produtos'!O278</f>
        <v>0</v>
      </c>
      <c r="B300" s="63">
        <f>'Cadastro de Produtos'!K278</f>
        <v>0</v>
      </c>
      <c r="C300" s="63">
        <f>'Cadastro de Produtos'!L278</f>
        <v>0</v>
      </c>
      <c r="D300" s="72" t="e">
        <f>VLOOKUP(B300,'Cadastro de Produtos'!K:Q,7,0)</f>
        <v>#N/A</v>
      </c>
      <c r="E300" s="73">
        <f>'Cadastro de Produtos'!P278</f>
        <v>0</v>
      </c>
    </row>
    <row r="301" spans="1:5" x14ac:dyDescent="0.3">
      <c r="A301" s="62">
        <f>'Cadastro de Produtos'!O279</f>
        <v>0</v>
      </c>
      <c r="B301" s="63">
        <f>'Cadastro de Produtos'!K279</f>
        <v>0</v>
      </c>
      <c r="C301" s="63">
        <f>'Cadastro de Produtos'!L279</f>
        <v>0</v>
      </c>
      <c r="D301" s="72" t="e">
        <f>VLOOKUP(B301,'Cadastro de Produtos'!K:Q,7,0)</f>
        <v>#N/A</v>
      </c>
      <c r="E301" s="73">
        <f>'Cadastro de Produtos'!P279</f>
        <v>0</v>
      </c>
    </row>
    <row r="302" spans="1:5" x14ac:dyDescent="0.3">
      <c r="A302" s="62">
        <f>'Cadastro de Produtos'!O280</f>
        <v>0</v>
      </c>
      <c r="B302" s="63">
        <f>'Cadastro de Produtos'!K280</f>
        <v>0</v>
      </c>
      <c r="C302" s="63">
        <f>'Cadastro de Produtos'!L280</f>
        <v>0</v>
      </c>
      <c r="D302" s="72" t="e">
        <f>VLOOKUP(B302,'Cadastro de Produtos'!K:Q,7,0)</f>
        <v>#N/A</v>
      </c>
      <c r="E302" s="73">
        <f>'Cadastro de Produtos'!P280</f>
        <v>0</v>
      </c>
    </row>
    <row r="303" spans="1:5" x14ac:dyDescent="0.3">
      <c r="A303" s="62">
        <f>'Cadastro de Produtos'!O281</f>
        <v>0</v>
      </c>
      <c r="B303" s="63">
        <f>'Cadastro de Produtos'!K281</f>
        <v>0</v>
      </c>
      <c r="C303" s="63">
        <f>'Cadastro de Produtos'!L281</f>
        <v>0</v>
      </c>
      <c r="D303" s="72" t="e">
        <f>VLOOKUP(B303,'Cadastro de Produtos'!K:Q,7,0)</f>
        <v>#N/A</v>
      </c>
      <c r="E303" s="73">
        <f>'Cadastro de Produtos'!P281</f>
        <v>0</v>
      </c>
    </row>
    <row r="304" spans="1:5" x14ac:dyDescent="0.3">
      <c r="A304" s="62">
        <f>'Cadastro de Produtos'!O282</f>
        <v>0</v>
      </c>
      <c r="B304" s="63">
        <f>'Cadastro de Produtos'!K282</f>
        <v>0</v>
      </c>
      <c r="C304" s="63">
        <f>'Cadastro de Produtos'!L282</f>
        <v>0</v>
      </c>
      <c r="D304" s="72" t="e">
        <f>VLOOKUP(B304,'Cadastro de Produtos'!K:Q,7,0)</f>
        <v>#N/A</v>
      </c>
      <c r="E304" s="73">
        <f>'Cadastro de Produtos'!P282</f>
        <v>0</v>
      </c>
    </row>
    <row r="305" spans="1:5" x14ac:dyDescent="0.3">
      <c r="A305" s="62">
        <f>'Cadastro de Produtos'!O283</f>
        <v>0</v>
      </c>
      <c r="B305" s="63">
        <f>'Cadastro de Produtos'!K283</f>
        <v>0</v>
      </c>
      <c r="C305" s="63">
        <f>'Cadastro de Produtos'!L283</f>
        <v>0</v>
      </c>
      <c r="D305" s="72" t="e">
        <f>VLOOKUP(B305,'Cadastro de Produtos'!K:Q,7,0)</f>
        <v>#N/A</v>
      </c>
      <c r="E305" s="73">
        <f>'Cadastro de Produtos'!P283</f>
        <v>0</v>
      </c>
    </row>
    <row r="306" spans="1:5" x14ac:dyDescent="0.3">
      <c r="A306" s="62">
        <f>'Cadastro de Produtos'!O284</f>
        <v>0</v>
      </c>
      <c r="B306" s="63">
        <f>'Cadastro de Produtos'!K284</f>
        <v>0</v>
      </c>
      <c r="C306" s="63">
        <f>'Cadastro de Produtos'!L284</f>
        <v>0</v>
      </c>
      <c r="D306" s="72" t="e">
        <f>VLOOKUP(B306,'Cadastro de Produtos'!K:Q,7,0)</f>
        <v>#N/A</v>
      </c>
      <c r="E306" s="73">
        <f>'Cadastro de Produtos'!P284</f>
        <v>0</v>
      </c>
    </row>
    <row r="307" spans="1:5" x14ac:dyDescent="0.3">
      <c r="A307" s="62">
        <f>'Cadastro de Produtos'!O285</f>
        <v>0</v>
      </c>
      <c r="B307" s="63">
        <f>'Cadastro de Produtos'!K285</f>
        <v>0</v>
      </c>
      <c r="C307" s="63">
        <f>'Cadastro de Produtos'!L285</f>
        <v>0</v>
      </c>
      <c r="D307" s="72" t="e">
        <f>VLOOKUP(B307,'Cadastro de Produtos'!K:Q,7,0)</f>
        <v>#N/A</v>
      </c>
      <c r="E307" s="73">
        <f>'Cadastro de Produtos'!P285</f>
        <v>0</v>
      </c>
    </row>
    <row r="308" spans="1:5" x14ac:dyDescent="0.3">
      <c r="A308" s="62">
        <f>'Cadastro de Produtos'!O286</f>
        <v>0</v>
      </c>
      <c r="B308" s="63">
        <f>'Cadastro de Produtos'!K286</f>
        <v>0</v>
      </c>
      <c r="C308" s="63">
        <f>'Cadastro de Produtos'!L286</f>
        <v>0</v>
      </c>
      <c r="D308" s="72" t="e">
        <f>VLOOKUP(B308,'Cadastro de Produtos'!K:Q,7,0)</f>
        <v>#N/A</v>
      </c>
      <c r="E308" s="73">
        <f>'Cadastro de Produtos'!P286</f>
        <v>0</v>
      </c>
    </row>
    <row r="309" spans="1:5" x14ac:dyDescent="0.3">
      <c r="A309" s="62">
        <f>'Cadastro de Produtos'!O287</f>
        <v>0</v>
      </c>
      <c r="B309" s="63">
        <f>'Cadastro de Produtos'!K287</f>
        <v>0</v>
      </c>
      <c r="C309" s="63">
        <f>'Cadastro de Produtos'!L287</f>
        <v>0</v>
      </c>
      <c r="D309" s="72" t="e">
        <f>VLOOKUP(B309,'Cadastro de Produtos'!K:Q,7,0)</f>
        <v>#N/A</v>
      </c>
      <c r="E309" s="73">
        <f>'Cadastro de Produtos'!P287</f>
        <v>0</v>
      </c>
    </row>
    <row r="310" spans="1:5" x14ac:dyDescent="0.3">
      <c r="A310" s="62">
        <f>'Cadastro de Produtos'!O288</f>
        <v>0</v>
      </c>
      <c r="B310" s="63">
        <f>'Cadastro de Produtos'!K288</f>
        <v>0</v>
      </c>
      <c r="C310" s="63">
        <f>'Cadastro de Produtos'!L288</f>
        <v>0</v>
      </c>
      <c r="D310" s="72" t="e">
        <f>VLOOKUP(B310,'Cadastro de Produtos'!K:Q,7,0)</f>
        <v>#N/A</v>
      </c>
      <c r="E310" s="73">
        <f>'Cadastro de Produtos'!P288</f>
        <v>0</v>
      </c>
    </row>
    <row r="311" spans="1:5" x14ac:dyDescent="0.3">
      <c r="A311" s="62">
        <f>'Cadastro de Produtos'!O289</f>
        <v>0</v>
      </c>
      <c r="B311" s="63">
        <f>'Cadastro de Produtos'!K289</f>
        <v>0</v>
      </c>
      <c r="C311" s="63">
        <f>'Cadastro de Produtos'!L289</f>
        <v>0</v>
      </c>
      <c r="D311" s="72" t="e">
        <f>VLOOKUP(B311,'Cadastro de Produtos'!K:Q,7,0)</f>
        <v>#N/A</v>
      </c>
      <c r="E311" s="73">
        <f>'Cadastro de Produtos'!P289</f>
        <v>0</v>
      </c>
    </row>
    <row r="312" spans="1:5" x14ac:dyDescent="0.3">
      <c r="A312" s="62">
        <f>'Cadastro de Produtos'!O290</f>
        <v>0</v>
      </c>
      <c r="B312" s="63">
        <f>'Cadastro de Produtos'!K290</f>
        <v>0</v>
      </c>
      <c r="C312" s="63">
        <f>'Cadastro de Produtos'!L290</f>
        <v>0</v>
      </c>
      <c r="D312" s="72" t="e">
        <f>VLOOKUP(B312,'Cadastro de Produtos'!K:Q,7,0)</f>
        <v>#N/A</v>
      </c>
      <c r="E312" s="73">
        <f>'Cadastro de Produtos'!P290</f>
        <v>0</v>
      </c>
    </row>
    <row r="313" spans="1:5" x14ac:dyDescent="0.3">
      <c r="A313" s="62">
        <f>'Cadastro de Produtos'!O291</f>
        <v>0</v>
      </c>
      <c r="B313" s="63">
        <f>'Cadastro de Produtos'!K291</f>
        <v>0</v>
      </c>
      <c r="C313" s="63">
        <f>'Cadastro de Produtos'!L291</f>
        <v>0</v>
      </c>
      <c r="D313" s="72" t="e">
        <f>VLOOKUP(B313,'Cadastro de Produtos'!K:Q,7,0)</f>
        <v>#N/A</v>
      </c>
      <c r="E313" s="73">
        <f>'Cadastro de Produtos'!P291</f>
        <v>0</v>
      </c>
    </row>
    <row r="314" spans="1:5" x14ac:dyDescent="0.3">
      <c r="A314" s="62">
        <f>'Cadastro de Produtos'!O292</f>
        <v>0</v>
      </c>
      <c r="B314" s="63">
        <f>'Cadastro de Produtos'!K292</f>
        <v>0</v>
      </c>
      <c r="C314" s="63">
        <f>'Cadastro de Produtos'!L292</f>
        <v>0</v>
      </c>
      <c r="D314" s="72" t="e">
        <f>VLOOKUP(B314,'Cadastro de Produtos'!K:Q,7,0)</f>
        <v>#N/A</v>
      </c>
      <c r="E314" s="73">
        <f>'Cadastro de Produtos'!P292</f>
        <v>0</v>
      </c>
    </row>
    <row r="315" spans="1:5" x14ac:dyDescent="0.3">
      <c r="A315" s="62">
        <f>'Cadastro de Produtos'!O293</f>
        <v>0</v>
      </c>
      <c r="B315" s="63">
        <f>'Cadastro de Produtos'!K293</f>
        <v>0</v>
      </c>
      <c r="C315" s="63">
        <f>'Cadastro de Produtos'!L293</f>
        <v>0</v>
      </c>
      <c r="D315" s="72" t="e">
        <f>VLOOKUP(B315,'Cadastro de Produtos'!K:Q,7,0)</f>
        <v>#N/A</v>
      </c>
      <c r="E315" s="73">
        <f>'Cadastro de Produtos'!P293</f>
        <v>0</v>
      </c>
    </row>
    <row r="316" spans="1:5" x14ac:dyDescent="0.3">
      <c r="A316" s="62">
        <f>'Cadastro de Produtos'!O294</f>
        <v>0</v>
      </c>
      <c r="B316" s="63">
        <f>'Cadastro de Produtos'!K294</f>
        <v>0</v>
      </c>
      <c r="C316" s="63">
        <f>'Cadastro de Produtos'!L294</f>
        <v>0</v>
      </c>
      <c r="D316" s="72" t="e">
        <f>VLOOKUP(B316,'Cadastro de Produtos'!K:Q,7,0)</f>
        <v>#N/A</v>
      </c>
      <c r="E316" s="73">
        <f>'Cadastro de Produtos'!P294</f>
        <v>0</v>
      </c>
    </row>
    <row r="317" spans="1:5" x14ac:dyDescent="0.3">
      <c r="A317" s="62">
        <f>'Cadastro de Produtos'!O295</f>
        <v>0</v>
      </c>
      <c r="B317" s="63">
        <f>'Cadastro de Produtos'!K295</f>
        <v>0</v>
      </c>
      <c r="C317" s="63">
        <f>'Cadastro de Produtos'!L295</f>
        <v>0</v>
      </c>
      <c r="D317" s="72" t="e">
        <f>VLOOKUP(B317,'Cadastro de Produtos'!K:Q,7,0)</f>
        <v>#N/A</v>
      </c>
      <c r="E317" s="73">
        <f>'Cadastro de Produtos'!P295</f>
        <v>0</v>
      </c>
    </row>
    <row r="318" spans="1:5" x14ac:dyDescent="0.3">
      <c r="A318" s="62">
        <f>'Cadastro de Produtos'!O296</f>
        <v>0</v>
      </c>
      <c r="B318" s="63">
        <f>'Cadastro de Produtos'!K296</f>
        <v>0</v>
      </c>
      <c r="C318" s="63">
        <f>'Cadastro de Produtos'!L296</f>
        <v>0</v>
      </c>
      <c r="D318" s="72" t="e">
        <f>VLOOKUP(B318,'Cadastro de Produtos'!K:Q,7,0)</f>
        <v>#N/A</v>
      </c>
      <c r="E318" s="73">
        <f>'Cadastro de Produtos'!P296</f>
        <v>0</v>
      </c>
    </row>
    <row r="319" spans="1:5" x14ac:dyDescent="0.3">
      <c r="A319" s="62">
        <f>'Cadastro de Produtos'!O297</f>
        <v>0</v>
      </c>
      <c r="B319" s="63">
        <f>'Cadastro de Produtos'!K297</f>
        <v>0</v>
      </c>
      <c r="C319" s="63">
        <f>'Cadastro de Produtos'!L297</f>
        <v>0</v>
      </c>
      <c r="D319" s="72" t="e">
        <f>VLOOKUP(B319,'Cadastro de Produtos'!K:Q,7,0)</f>
        <v>#N/A</v>
      </c>
      <c r="E319" s="73">
        <f>'Cadastro de Produtos'!P297</f>
        <v>0</v>
      </c>
    </row>
    <row r="320" spans="1:5" x14ac:dyDescent="0.3">
      <c r="A320" s="62">
        <f>'Cadastro de Produtos'!O298</f>
        <v>0</v>
      </c>
      <c r="B320" s="63">
        <f>'Cadastro de Produtos'!K298</f>
        <v>0</v>
      </c>
      <c r="C320" s="63">
        <f>'Cadastro de Produtos'!L298</f>
        <v>0</v>
      </c>
      <c r="D320" s="72" t="e">
        <f>VLOOKUP(B320,'Cadastro de Produtos'!K:Q,7,0)</f>
        <v>#N/A</v>
      </c>
      <c r="E320" s="73">
        <f>'Cadastro de Produtos'!P298</f>
        <v>0</v>
      </c>
    </row>
    <row r="321" spans="1:5" x14ac:dyDescent="0.3">
      <c r="A321" s="62">
        <f>'Cadastro de Produtos'!O299</f>
        <v>0</v>
      </c>
      <c r="B321" s="63">
        <f>'Cadastro de Produtos'!K299</f>
        <v>0</v>
      </c>
      <c r="C321" s="63">
        <f>'Cadastro de Produtos'!L299</f>
        <v>0</v>
      </c>
      <c r="D321" s="72" t="e">
        <f>VLOOKUP(B321,'Cadastro de Produtos'!K:Q,7,0)</f>
        <v>#N/A</v>
      </c>
      <c r="E321" s="73">
        <f>'Cadastro de Produtos'!P299</f>
        <v>0</v>
      </c>
    </row>
    <row r="322" spans="1:5" x14ac:dyDescent="0.3">
      <c r="A322" s="62">
        <f>'Cadastro de Produtos'!O300</f>
        <v>0</v>
      </c>
      <c r="B322" s="63">
        <f>'Cadastro de Produtos'!K300</f>
        <v>0</v>
      </c>
      <c r="C322" s="63">
        <f>'Cadastro de Produtos'!L300</f>
        <v>0</v>
      </c>
      <c r="D322" s="72" t="e">
        <f>VLOOKUP(B322,'Cadastro de Produtos'!K:Q,7,0)</f>
        <v>#N/A</v>
      </c>
      <c r="E322" s="73">
        <f>'Cadastro de Produtos'!P300</f>
        <v>0</v>
      </c>
    </row>
    <row r="323" spans="1:5" x14ac:dyDescent="0.3">
      <c r="A323" s="62">
        <f>'Cadastro de Produtos'!O301</f>
        <v>0</v>
      </c>
      <c r="B323" s="63">
        <f>'Cadastro de Produtos'!K301</f>
        <v>0</v>
      </c>
      <c r="C323" s="63">
        <f>'Cadastro de Produtos'!L301</f>
        <v>0</v>
      </c>
      <c r="D323" s="72" t="e">
        <f>VLOOKUP(B323,'Cadastro de Produtos'!K:Q,7,0)</f>
        <v>#N/A</v>
      </c>
      <c r="E323" s="73">
        <f>'Cadastro de Produtos'!P301</f>
        <v>0</v>
      </c>
    </row>
    <row r="324" spans="1:5" x14ac:dyDescent="0.3">
      <c r="A324" s="62">
        <f>'Cadastro de Produtos'!O302</f>
        <v>0</v>
      </c>
      <c r="B324" s="63">
        <f>'Cadastro de Produtos'!K302</f>
        <v>0</v>
      </c>
      <c r="C324" s="63">
        <f>'Cadastro de Produtos'!L302</f>
        <v>0</v>
      </c>
      <c r="D324" s="72" t="e">
        <f>VLOOKUP(B324,'Cadastro de Produtos'!K:Q,7,0)</f>
        <v>#N/A</v>
      </c>
      <c r="E324" s="73">
        <f>'Cadastro de Produtos'!P302</f>
        <v>0</v>
      </c>
    </row>
    <row r="325" spans="1:5" x14ac:dyDescent="0.3">
      <c r="A325" s="62">
        <f>'Cadastro de Produtos'!O303</f>
        <v>0</v>
      </c>
      <c r="B325" s="63">
        <f>'Cadastro de Produtos'!K303</f>
        <v>0</v>
      </c>
      <c r="C325" s="63">
        <f>'Cadastro de Produtos'!L303</f>
        <v>0</v>
      </c>
      <c r="D325" s="72" t="e">
        <f>VLOOKUP(B325,'Cadastro de Produtos'!K:Q,7,0)</f>
        <v>#N/A</v>
      </c>
      <c r="E325" s="73">
        <f>'Cadastro de Produtos'!P303</f>
        <v>0</v>
      </c>
    </row>
    <row r="326" spans="1:5" x14ac:dyDescent="0.3">
      <c r="A326" s="62">
        <f>'Cadastro de Produtos'!O304</f>
        <v>0</v>
      </c>
      <c r="B326" s="63">
        <f>'Cadastro de Produtos'!K304</f>
        <v>0</v>
      </c>
      <c r="C326" s="63">
        <f>'Cadastro de Produtos'!L304</f>
        <v>0</v>
      </c>
      <c r="D326" s="72" t="e">
        <f>VLOOKUP(B326,'Cadastro de Produtos'!K:Q,7,0)</f>
        <v>#N/A</v>
      </c>
      <c r="E326" s="73">
        <f>'Cadastro de Produtos'!P304</f>
        <v>0</v>
      </c>
    </row>
    <row r="327" spans="1:5" x14ac:dyDescent="0.3">
      <c r="A327" s="62">
        <f>'Cadastro de Produtos'!O305</f>
        <v>0</v>
      </c>
      <c r="B327" s="63">
        <f>'Cadastro de Produtos'!K305</f>
        <v>0</v>
      </c>
      <c r="C327" s="63">
        <f>'Cadastro de Produtos'!L305</f>
        <v>0</v>
      </c>
      <c r="D327" s="72" t="e">
        <f>VLOOKUP(B327,'Cadastro de Produtos'!K:Q,7,0)</f>
        <v>#N/A</v>
      </c>
      <c r="E327" s="73">
        <f>'Cadastro de Produtos'!P305</f>
        <v>0</v>
      </c>
    </row>
    <row r="328" spans="1:5" x14ac:dyDescent="0.3">
      <c r="A328" s="62">
        <f>'Cadastro de Produtos'!O306</f>
        <v>0</v>
      </c>
      <c r="B328" s="63">
        <f>'Cadastro de Produtos'!K306</f>
        <v>0</v>
      </c>
      <c r="C328" s="63">
        <f>'Cadastro de Produtos'!L306</f>
        <v>0</v>
      </c>
      <c r="D328" s="72" t="e">
        <f>VLOOKUP(B328,'Cadastro de Produtos'!K:Q,7,0)</f>
        <v>#N/A</v>
      </c>
      <c r="E328" s="73">
        <f>'Cadastro de Produtos'!P306</f>
        <v>0</v>
      </c>
    </row>
    <row r="329" spans="1:5" x14ac:dyDescent="0.3">
      <c r="A329" s="62">
        <f>'Cadastro de Produtos'!O307</f>
        <v>0</v>
      </c>
      <c r="B329" s="63">
        <f>'Cadastro de Produtos'!K307</f>
        <v>0</v>
      </c>
      <c r="C329" s="63">
        <f>'Cadastro de Produtos'!L307</f>
        <v>0</v>
      </c>
      <c r="D329" s="72" t="e">
        <f>VLOOKUP(B329,'Cadastro de Produtos'!K:Q,7,0)</f>
        <v>#N/A</v>
      </c>
      <c r="E329" s="73">
        <f>'Cadastro de Produtos'!P307</f>
        <v>0</v>
      </c>
    </row>
    <row r="330" spans="1:5" x14ac:dyDescent="0.3">
      <c r="A330" s="62">
        <f>'Cadastro de Produtos'!O308</f>
        <v>0</v>
      </c>
      <c r="B330" s="63">
        <f>'Cadastro de Produtos'!K308</f>
        <v>0</v>
      </c>
      <c r="C330" s="63">
        <f>'Cadastro de Produtos'!L308</f>
        <v>0</v>
      </c>
      <c r="D330" s="72" t="e">
        <f>VLOOKUP(B330,'Cadastro de Produtos'!K:Q,7,0)</f>
        <v>#N/A</v>
      </c>
      <c r="E330" s="73">
        <f>'Cadastro de Produtos'!P308</f>
        <v>0</v>
      </c>
    </row>
    <row r="331" spans="1:5" x14ac:dyDescent="0.3">
      <c r="A331" s="62">
        <f>'Cadastro de Produtos'!O309</f>
        <v>0</v>
      </c>
      <c r="B331" s="63">
        <f>'Cadastro de Produtos'!K309</f>
        <v>0</v>
      </c>
      <c r="C331" s="63">
        <f>'Cadastro de Produtos'!L309</f>
        <v>0</v>
      </c>
      <c r="D331" s="72" t="e">
        <f>VLOOKUP(B331,'Cadastro de Produtos'!K:Q,7,0)</f>
        <v>#N/A</v>
      </c>
      <c r="E331" s="73">
        <f>'Cadastro de Produtos'!P309</f>
        <v>0</v>
      </c>
    </row>
    <row r="332" spans="1:5" x14ac:dyDescent="0.3">
      <c r="A332" s="62">
        <f>'Cadastro de Produtos'!O310</f>
        <v>0</v>
      </c>
      <c r="B332" s="63">
        <f>'Cadastro de Produtos'!K310</f>
        <v>0</v>
      </c>
      <c r="C332" s="63">
        <f>'Cadastro de Produtos'!L310</f>
        <v>0</v>
      </c>
      <c r="D332" s="72" t="e">
        <f>VLOOKUP(B332,'Cadastro de Produtos'!K:Q,7,0)</f>
        <v>#N/A</v>
      </c>
      <c r="E332" s="73">
        <f>'Cadastro de Produtos'!P310</f>
        <v>0</v>
      </c>
    </row>
    <row r="333" spans="1:5" x14ac:dyDescent="0.3">
      <c r="A333" s="62">
        <f>'Cadastro de Produtos'!O311</f>
        <v>0</v>
      </c>
      <c r="B333" s="63">
        <f>'Cadastro de Produtos'!K311</f>
        <v>0</v>
      </c>
      <c r="C333" s="63">
        <f>'Cadastro de Produtos'!L311</f>
        <v>0</v>
      </c>
      <c r="D333" s="72" t="e">
        <f>VLOOKUP(B333,'Cadastro de Produtos'!K:Q,7,0)</f>
        <v>#N/A</v>
      </c>
      <c r="E333" s="73">
        <f>'Cadastro de Produtos'!P311</f>
        <v>0</v>
      </c>
    </row>
    <row r="334" spans="1:5" x14ac:dyDescent="0.3">
      <c r="A334" s="62">
        <f>'Cadastro de Produtos'!O312</f>
        <v>0</v>
      </c>
      <c r="B334" s="63">
        <f>'Cadastro de Produtos'!K312</f>
        <v>0</v>
      </c>
      <c r="C334" s="63">
        <f>'Cadastro de Produtos'!L312</f>
        <v>0</v>
      </c>
      <c r="D334" s="72" t="e">
        <f>VLOOKUP(B334,'Cadastro de Produtos'!K:Q,7,0)</f>
        <v>#N/A</v>
      </c>
      <c r="E334" s="73">
        <f>'Cadastro de Produtos'!P312</f>
        <v>0</v>
      </c>
    </row>
    <row r="335" spans="1:5" x14ac:dyDescent="0.3">
      <c r="A335" s="62">
        <f>'Cadastro de Produtos'!O313</f>
        <v>0</v>
      </c>
      <c r="B335" s="63">
        <f>'Cadastro de Produtos'!K313</f>
        <v>0</v>
      </c>
      <c r="C335" s="63">
        <f>'Cadastro de Produtos'!L313</f>
        <v>0</v>
      </c>
      <c r="D335" s="72" t="e">
        <f>VLOOKUP(B335,'Cadastro de Produtos'!K:Q,7,0)</f>
        <v>#N/A</v>
      </c>
      <c r="E335" s="73">
        <f>'Cadastro de Produtos'!P313</f>
        <v>0</v>
      </c>
    </row>
    <row r="336" spans="1:5" x14ac:dyDescent="0.3">
      <c r="A336" s="62">
        <f>'Cadastro de Produtos'!O314</f>
        <v>0</v>
      </c>
      <c r="B336" s="63">
        <f>'Cadastro de Produtos'!K314</f>
        <v>0</v>
      </c>
      <c r="C336" s="63">
        <f>'Cadastro de Produtos'!L314</f>
        <v>0</v>
      </c>
      <c r="D336" s="72" t="e">
        <f>VLOOKUP(B336,'Cadastro de Produtos'!K:Q,7,0)</f>
        <v>#N/A</v>
      </c>
      <c r="E336" s="73">
        <f>'Cadastro de Produtos'!P314</f>
        <v>0</v>
      </c>
    </row>
    <row r="337" spans="1:5" x14ac:dyDescent="0.3">
      <c r="A337" s="62">
        <f>'Cadastro de Produtos'!O315</f>
        <v>0</v>
      </c>
      <c r="B337" s="63">
        <f>'Cadastro de Produtos'!K315</f>
        <v>0</v>
      </c>
      <c r="C337" s="63">
        <f>'Cadastro de Produtos'!L315</f>
        <v>0</v>
      </c>
      <c r="D337" s="72" t="e">
        <f>VLOOKUP(B337,'Cadastro de Produtos'!K:Q,7,0)</f>
        <v>#N/A</v>
      </c>
      <c r="E337" s="73">
        <f>'Cadastro de Produtos'!P315</f>
        <v>0</v>
      </c>
    </row>
    <row r="338" spans="1:5" x14ac:dyDescent="0.3">
      <c r="A338" s="62">
        <f>'Cadastro de Produtos'!O316</f>
        <v>0</v>
      </c>
      <c r="B338" s="63">
        <f>'Cadastro de Produtos'!K316</f>
        <v>0</v>
      </c>
      <c r="C338" s="63">
        <f>'Cadastro de Produtos'!L316</f>
        <v>0</v>
      </c>
      <c r="D338" s="72" t="e">
        <f>VLOOKUP(B338,'Cadastro de Produtos'!K:Q,7,0)</f>
        <v>#N/A</v>
      </c>
      <c r="E338" s="73">
        <f>'Cadastro de Produtos'!P316</f>
        <v>0</v>
      </c>
    </row>
    <row r="339" spans="1:5" x14ac:dyDescent="0.3">
      <c r="A339" s="62">
        <f>'Cadastro de Produtos'!O317</f>
        <v>0</v>
      </c>
      <c r="B339" s="63">
        <f>'Cadastro de Produtos'!K317</f>
        <v>0</v>
      </c>
      <c r="C339" s="63">
        <f>'Cadastro de Produtos'!L317</f>
        <v>0</v>
      </c>
      <c r="D339" s="72" t="e">
        <f>VLOOKUP(B339,'Cadastro de Produtos'!K:Q,7,0)</f>
        <v>#N/A</v>
      </c>
      <c r="E339" s="73">
        <f>'Cadastro de Produtos'!P317</f>
        <v>0</v>
      </c>
    </row>
    <row r="340" spans="1:5" x14ac:dyDescent="0.3">
      <c r="A340" s="62">
        <f>'Cadastro de Produtos'!O318</f>
        <v>0</v>
      </c>
      <c r="B340" s="63">
        <f>'Cadastro de Produtos'!K318</f>
        <v>0</v>
      </c>
      <c r="C340" s="63">
        <f>'Cadastro de Produtos'!L318</f>
        <v>0</v>
      </c>
      <c r="D340" s="72" t="e">
        <f>VLOOKUP(B340,'Cadastro de Produtos'!K:Q,7,0)</f>
        <v>#N/A</v>
      </c>
      <c r="E340" s="73">
        <f>'Cadastro de Produtos'!P318</f>
        <v>0</v>
      </c>
    </row>
    <row r="341" spans="1:5" x14ac:dyDescent="0.3">
      <c r="A341" s="62">
        <f>'Cadastro de Produtos'!O319</f>
        <v>0</v>
      </c>
      <c r="B341" s="63">
        <f>'Cadastro de Produtos'!K319</f>
        <v>0</v>
      </c>
      <c r="C341" s="63">
        <f>'Cadastro de Produtos'!L319</f>
        <v>0</v>
      </c>
      <c r="D341" s="72" t="e">
        <f>VLOOKUP(B341,'Cadastro de Produtos'!K:Q,7,0)</f>
        <v>#N/A</v>
      </c>
      <c r="E341" s="73">
        <f>'Cadastro de Produtos'!P319</f>
        <v>0</v>
      </c>
    </row>
    <row r="342" spans="1:5" x14ac:dyDescent="0.3">
      <c r="A342" s="62">
        <f>'Cadastro de Produtos'!O320</f>
        <v>0</v>
      </c>
      <c r="B342" s="63">
        <f>'Cadastro de Produtos'!K320</f>
        <v>0</v>
      </c>
      <c r="C342" s="63">
        <f>'Cadastro de Produtos'!L320</f>
        <v>0</v>
      </c>
      <c r="D342" s="72" t="e">
        <f>VLOOKUP(B342,'Cadastro de Produtos'!K:Q,7,0)</f>
        <v>#N/A</v>
      </c>
      <c r="E342" s="73">
        <f>'Cadastro de Produtos'!P320</f>
        <v>0</v>
      </c>
    </row>
    <row r="343" spans="1:5" x14ac:dyDescent="0.3">
      <c r="A343" s="62">
        <f>'Cadastro de Produtos'!O321</f>
        <v>0</v>
      </c>
      <c r="B343" s="63">
        <f>'Cadastro de Produtos'!K321</f>
        <v>0</v>
      </c>
      <c r="C343" s="63">
        <f>'Cadastro de Produtos'!L321</f>
        <v>0</v>
      </c>
      <c r="D343" s="72" t="e">
        <f>VLOOKUP(B343,'Cadastro de Produtos'!K:Q,7,0)</f>
        <v>#N/A</v>
      </c>
      <c r="E343" s="73">
        <f>'Cadastro de Produtos'!P321</f>
        <v>0</v>
      </c>
    </row>
    <row r="344" spans="1:5" x14ac:dyDescent="0.3">
      <c r="A344" s="62">
        <f>'Cadastro de Produtos'!O322</f>
        <v>0</v>
      </c>
      <c r="B344" s="63">
        <f>'Cadastro de Produtos'!K322</f>
        <v>0</v>
      </c>
      <c r="C344" s="63">
        <f>'Cadastro de Produtos'!L322</f>
        <v>0</v>
      </c>
      <c r="D344" s="72" t="e">
        <f>VLOOKUP(B344,'Cadastro de Produtos'!K:Q,7,0)</f>
        <v>#N/A</v>
      </c>
      <c r="E344" s="73">
        <f>'Cadastro de Produtos'!P322</f>
        <v>0</v>
      </c>
    </row>
    <row r="345" spans="1:5" x14ac:dyDescent="0.3">
      <c r="A345" s="62">
        <f>'Cadastro de Produtos'!O323</f>
        <v>0</v>
      </c>
      <c r="B345" s="63">
        <f>'Cadastro de Produtos'!K323</f>
        <v>0</v>
      </c>
      <c r="C345" s="63">
        <f>'Cadastro de Produtos'!L323</f>
        <v>0</v>
      </c>
      <c r="D345" s="72" t="e">
        <f>VLOOKUP(B345,'Cadastro de Produtos'!K:Q,7,0)</f>
        <v>#N/A</v>
      </c>
      <c r="E345" s="73">
        <f>'Cadastro de Produtos'!P323</f>
        <v>0</v>
      </c>
    </row>
    <row r="346" spans="1:5" x14ac:dyDescent="0.3">
      <c r="A346" s="62">
        <f>'Cadastro de Produtos'!O324</f>
        <v>0</v>
      </c>
      <c r="B346" s="63">
        <f>'Cadastro de Produtos'!K324</f>
        <v>0</v>
      </c>
      <c r="C346" s="63">
        <f>'Cadastro de Produtos'!L324</f>
        <v>0</v>
      </c>
      <c r="D346" s="72" t="e">
        <f>VLOOKUP(B346,'Cadastro de Produtos'!K:Q,7,0)</f>
        <v>#N/A</v>
      </c>
      <c r="E346" s="73">
        <f>'Cadastro de Produtos'!P324</f>
        <v>0</v>
      </c>
    </row>
    <row r="347" spans="1:5" x14ac:dyDescent="0.3">
      <c r="A347" s="62">
        <f>'Cadastro de Produtos'!O325</f>
        <v>0</v>
      </c>
      <c r="B347" s="63">
        <f>'Cadastro de Produtos'!K325</f>
        <v>0</v>
      </c>
      <c r="C347" s="63">
        <f>'Cadastro de Produtos'!L325</f>
        <v>0</v>
      </c>
      <c r="D347" s="72" t="e">
        <f>VLOOKUP(B347,'Cadastro de Produtos'!K:Q,7,0)</f>
        <v>#N/A</v>
      </c>
      <c r="E347" s="73">
        <f>'Cadastro de Produtos'!P325</f>
        <v>0</v>
      </c>
    </row>
    <row r="348" spans="1:5" x14ac:dyDescent="0.3">
      <c r="A348" s="62">
        <f>'Cadastro de Produtos'!O326</f>
        <v>0</v>
      </c>
      <c r="B348" s="63">
        <f>'Cadastro de Produtos'!K326</f>
        <v>0</v>
      </c>
      <c r="C348" s="63">
        <f>'Cadastro de Produtos'!L326</f>
        <v>0</v>
      </c>
      <c r="D348" s="72" t="e">
        <f>VLOOKUP(B348,'Cadastro de Produtos'!K:Q,7,0)</f>
        <v>#N/A</v>
      </c>
      <c r="E348" s="73">
        <f>'Cadastro de Produtos'!P326</f>
        <v>0</v>
      </c>
    </row>
    <row r="349" spans="1:5" x14ac:dyDescent="0.3">
      <c r="A349" s="62">
        <f>'Cadastro de Produtos'!O327</f>
        <v>0</v>
      </c>
      <c r="B349" s="63">
        <f>'Cadastro de Produtos'!K327</f>
        <v>0</v>
      </c>
      <c r="C349" s="63">
        <f>'Cadastro de Produtos'!L327</f>
        <v>0</v>
      </c>
      <c r="D349" s="72" t="e">
        <f>VLOOKUP(B349,'Cadastro de Produtos'!K:Q,7,0)</f>
        <v>#N/A</v>
      </c>
      <c r="E349" s="73">
        <f>'Cadastro de Produtos'!P327</f>
        <v>0</v>
      </c>
    </row>
    <row r="350" spans="1:5" x14ac:dyDescent="0.3">
      <c r="A350" s="62">
        <f>'Cadastro de Produtos'!O328</f>
        <v>0</v>
      </c>
      <c r="B350" s="63">
        <f>'Cadastro de Produtos'!K328</f>
        <v>0</v>
      </c>
      <c r="C350" s="63">
        <f>'Cadastro de Produtos'!L328</f>
        <v>0</v>
      </c>
      <c r="D350" s="72" t="e">
        <f>VLOOKUP(B350,'Cadastro de Produtos'!K:Q,7,0)</f>
        <v>#N/A</v>
      </c>
      <c r="E350" s="73">
        <f>'Cadastro de Produtos'!P328</f>
        <v>0</v>
      </c>
    </row>
    <row r="351" spans="1:5" x14ac:dyDescent="0.3">
      <c r="A351" s="62">
        <f>'Cadastro de Produtos'!O329</f>
        <v>0</v>
      </c>
      <c r="B351" s="63">
        <f>'Cadastro de Produtos'!K329</f>
        <v>0</v>
      </c>
      <c r="C351" s="63">
        <f>'Cadastro de Produtos'!L329</f>
        <v>0</v>
      </c>
      <c r="D351" s="72" t="e">
        <f>VLOOKUP(B351,'Cadastro de Produtos'!K:Q,7,0)</f>
        <v>#N/A</v>
      </c>
      <c r="E351" s="73">
        <f>'Cadastro de Produtos'!P329</f>
        <v>0</v>
      </c>
    </row>
    <row r="352" spans="1:5" x14ac:dyDescent="0.3">
      <c r="A352" s="62">
        <f>'Cadastro de Produtos'!O330</f>
        <v>0</v>
      </c>
      <c r="B352" s="63">
        <f>'Cadastro de Produtos'!K330</f>
        <v>0</v>
      </c>
      <c r="C352" s="63">
        <f>'Cadastro de Produtos'!L330</f>
        <v>0</v>
      </c>
      <c r="D352" s="72" t="e">
        <f>VLOOKUP(B352,'Cadastro de Produtos'!K:Q,7,0)</f>
        <v>#N/A</v>
      </c>
      <c r="E352" s="73">
        <f>'Cadastro de Produtos'!P330</f>
        <v>0</v>
      </c>
    </row>
    <row r="353" spans="1:5" x14ac:dyDescent="0.3">
      <c r="A353" s="62">
        <f>'Cadastro de Produtos'!O331</f>
        <v>0</v>
      </c>
      <c r="B353" s="63">
        <f>'Cadastro de Produtos'!K331</f>
        <v>0</v>
      </c>
      <c r="C353" s="63">
        <f>'Cadastro de Produtos'!L331</f>
        <v>0</v>
      </c>
      <c r="D353" s="72" t="e">
        <f>VLOOKUP(B353,'Cadastro de Produtos'!K:Q,7,0)</f>
        <v>#N/A</v>
      </c>
      <c r="E353" s="73">
        <f>'Cadastro de Produtos'!P331</f>
        <v>0</v>
      </c>
    </row>
    <row r="354" spans="1:5" x14ac:dyDescent="0.3">
      <c r="A354" s="62">
        <f>'Cadastro de Produtos'!O332</f>
        <v>0</v>
      </c>
      <c r="B354" s="63">
        <f>'Cadastro de Produtos'!K332</f>
        <v>0</v>
      </c>
      <c r="C354" s="63">
        <f>'Cadastro de Produtos'!L332</f>
        <v>0</v>
      </c>
      <c r="D354" s="72" t="e">
        <f>VLOOKUP(B354,'Cadastro de Produtos'!K:Q,7,0)</f>
        <v>#N/A</v>
      </c>
      <c r="E354" s="73">
        <f>'Cadastro de Produtos'!P332</f>
        <v>0</v>
      </c>
    </row>
    <row r="355" spans="1:5" x14ac:dyDescent="0.3">
      <c r="A355" s="62">
        <f>'Cadastro de Produtos'!O333</f>
        <v>0</v>
      </c>
      <c r="B355" s="63">
        <f>'Cadastro de Produtos'!K333</f>
        <v>0</v>
      </c>
      <c r="C355" s="63">
        <f>'Cadastro de Produtos'!L333</f>
        <v>0</v>
      </c>
      <c r="D355" s="72" t="e">
        <f>VLOOKUP(B355,'Cadastro de Produtos'!K:Q,7,0)</f>
        <v>#N/A</v>
      </c>
      <c r="E355" s="73">
        <f>'Cadastro de Produtos'!P333</f>
        <v>0</v>
      </c>
    </row>
    <row r="356" spans="1:5" x14ac:dyDescent="0.3">
      <c r="A356" s="62">
        <f>'Cadastro de Produtos'!O334</f>
        <v>0</v>
      </c>
      <c r="B356" s="63">
        <f>'Cadastro de Produtos'!K334</f>
        <v>0</v>
      </c>
      <c r="C356" s="63">
        <f>'Cadastro de Produtos'!L334</f>
        <v>0</v>
      </c>
      <c r="D356" s="72" t="e">
        <f>VLOOKUP(B356,'Cadastro de Produtos'!K:Q,7,0)</f>
        <v>#N/A</v>
      </c>
      <c r="E356" s="73">
        <f>'Cadastro de Produtos'!P334</f>
        <v>0</v>
      </c>
    </row>
    <row r="357" spans="1:5" x14ac:dyDescent="0.3">
      <c r="A357" s="62">
        <f>'Cadastro de Produtos'!O335</f>
        <v>0</v>
      </c>
      <c r="B357" s="63">
        <f>'Cadastro de Produtos'!K335</f>
        <v>0</v>
      </c>
      <c r="C357" s="63">
        <f>'Cadastro de Produtos'!L335</f>
        <v>0</v>
      </c>
      <c r="D357" s="72" t="e">
        <f>VLOOKUP(B357,'Cadastro de Produtos'!K:Q,7,0)</f>
        <v>#N/A</v>
      </c>
      <c r="E357" s="73">
        <f>'Cadastro de Produtos'!P335</f>
        <v>0</v>
      </c>
    </row>
    <row r="358" spans="1:5" x14ac:dyDescent="0.3">
      <c r="A358" s="62">
        <f>'Cadastro de Produtos'!O336</f>
        <v>0</v>
      </c>
      <c r="B358" s="63">
        <f>'Cadastro de Produtos'!K336</f>
        <v>0</v>
      </c>
      <c r="C358" s="63">
        <f>'Cadastro de Produtos'!L336</f>
        <v>0</v>
      </c>
      <c r="D358" s="72" t="e">
        <f>VLOOKUP(B358,'Cadastro de Produtos'!K:Q,7,0)</f>
        <v>#N/A</v>
      </c>
      <c r="E358" s="73">
        <f>'Cadastro de Produtos'!P336</f>
        <v>0</v>
      </c>
    </row>
    <row r="359" spans="1:5" x14ac:dyDescent="0.3">
      <c r="A359" s="62">
        <f>'Cadastro de Produtos'!O337</f>
        <v>0</v>
      </c>
      <c r="B359" s="63">
        <f>'Cadastro de Produtos'!K337</f>
        <v>0</v>
      </c>
      <c r="C359" s="63">
        <f>'Cadastro de Produtos'!L337</f>
        <v>0</v>
      </c>
      <c r="D359" s="72" t="e">
        <f>VLOOKUP(B359,'Cadastro de Produtos'!K:Q,7,0)</f>
        <v>#N/A</v>
      </c>
      <c r="E359" s="73">
        <f>'Cadastro de Produtos'!P337</f>
        <v>0</v>
      </c>
    </row>
    <row r="360" spans="1:5" x14ac:dyDescent="0.3">
      <c r="A360" s="62">
        <f>'Cadastro de Produtos'!O338</f>
        <v>0</v>
      </c>
      <c r="B360" s="63">
        <f>'Cadastro de Produtos'!K338</f>
        <v>0</v>
      </c>
      <c r="C360" s="63">
        <f>'Cadastro de Produtos'!L338</f>
        <v>0</v>
      </c>
      <c r="D360" s="72" t="e">
        <f>VLOOKUP(B360,'Cadastro de Produtos'!K:Q,7,0)</f>
        <v>#N/A</v>
      </c>
      <c r="E360" s="73">
        <f>'Cadastro de Produtos'!P338</f>
        <v>0</v>
      </c>
    </row>
    <row r="361" spans="1:5" x14ac:dyDescent="0.3">
      <c r="A361" s="62">
        <f>'Cadastro de Produtos'!O339</f>
        <v>0</v>
      </c>
      <c r="B361" s="63">
        <f>'Cadastro de Produtos'!K339</f>
        <v>0</v>
      </c>
      <c r="C361" s="63">
        <f>'Cadastro de Produtos'!L339</f>
        <v>0</v>
      </c>
      <c r="D361" s="72" t="e">
        <f>VLOOKUP(B361,'Cadastro de Produtos'!K:Q,7,0)</f>
        <v>#N/A</v>
      </c>
      <c r="E361" s="73">
        <f>'Cadastro de Produtos'!P339</f>
        <v>0</v>
      </c>
    </row>
    <row r="362" spans="1:5" x14ac:dyDescent="0.3">
      <c r="A362" s="62">
        <f>'Cadastro de Produtos'!O340</f>
        <v>0</v>
      </c>
      <c r="B362" s="63">
        <f>'Cadastro de Produtos'!K340</f>
        <v>0</v>
      </c>
      <c r="C362" s="63">
        <f>'Cadastro de Produtos'!L340</f>
        <v>0</v>
      </c>
      <c r="D362" s="72" t="e">
        <f>VLOOKUP(B362,'Cadastro de Produtos'!K:Q,7,0)</f>
        <v>#N/A</v>
      </c>
      <c r="E362" s="73">
        <f>'Cadastro de Produtos'!P340</f>
        <v>0</v>
      </c>
    </row>
    <row r="363" spans="1:5" x14ac:dyDescent="0.3">
      <c r="A363" s="62">
        <f>'Cadastro de Produtos'!O341</f>
        <v>0</v>
      </c>
      <c r="B363" s="63">
        <f>'Cadastro de Produtos'!K341</f>
        <v>0</v>
      </c>
      <c r="C363" s="63">
        <f>'Cadastro de Produtos'!L341</f>
        <v>0</v>
      </c>
      <c r="D363" s="72" t="e">
        <f>VLOOKUP(B363,'Cadastro de Produtos'!K:Q,7,0)</f>
        <v>#N/A</v>
      </c>
      <c r="E363" s="73">
        <f>'Cadastro de Produtos'!P341</f>
        <v>0</v>
      </c>
    </row>
    <row r="364" spans="1:5" x14ac:dyDescent="0.3">
      <c r="A364" s="62">
        <f>'Cadastro de Produtos'!O342</f>
        <v>0</v>
      </c>
      <c r="B364" s="63">
        <f>'Cadastro de Produtos'!K342</f>
        <v>0</v>
      </c>
      <c r="C364" s="63">
        <f>'Cadastro de Produtos'!L342</f>
        <v>0</v>
      </c>
      <c r="D364" s="72" t="e">
        <f>VLOOKUP(B364,'Cadastro de Produtos'!K:Q,7,0)</f>
        <v>#N/A</v>
      </c>
      <c r="E364" s="73">
        <f>'Cadastro de Produtos'!P342</f>
        <v>0</v>
      </c>
    </row>
    <row r="365" spans="1:5" x14ac:dyDescent="0.3">
      <c r="A365" s="62">
        <f>'Cadastro de Produtos'!O343</f>
        <v>0</v>
      </c>
      <c r="B365" s="63">
        <f>'Cadastro de Produtos'!K343</f>
        <v>0</v>
      </c>
      <c r="C365" s="63">
        <f>'Cadastro de Produtos'!L343</f>
        <v>0</v>
      </c>
      <c r="D365" s="72" t="e">
        <f>VLOOKUP(B365,'Cadastro de Produtos'!K:Q,7,0)</f>
        <v>#N/A</v>
      </c>
      <c r="E365" s="73">
        <f>'Cadastro de Produtos'!P343</f>
        <v>0</v>
      </c>
    </row>
    <row r="366" spans="1:5" x14ac:dyDescent="0.3">
      <c r="A366" s="62">
        <f>'Cadastro de Produtos'!O344</f>
        <v>0</v>
      </c>
      <c r="B366" s="63">
        <f>'Cadastro de Produtos'!K344</f>
        <v>0</v>
      </c>
      <c r="C366" s="63">
        <f>'Cadastro de Produtos'!L344</f>
        <v>0</v>
      </c>
      <c r="D366" s="72" t="e">
        <f>VLOOKUP(B366,'Cadastro de Produtos'!K:Q,7,0)</f>
        <v>#N/A</v>
      </c>
      <c r="E366" s="73">
        <f>'Cadastro de Produtos'!P344</f>
        <v>0</v>
      </c>
    </row>
    <row r="367" spans="1:5" x14ac:dyDescent="0.3">
      <c r="A367" s="62">
        <f>'Cadastro de Produtos'!O345</f>
        <v>0</v>
      </c>
      <c r="B367" s="63">
        <f>'Cadastro de Produtos'!K345</f>
        <v>0</v>
      </c>
      <c r="C367" s="63">
        <f>'Cadastro de Produtos'!L345</f>
        <v>0</v>
      </c>
      <c r="D367" s="72" t="e">
        <f>VLOOKUP(B367,'Cadastro de Produtos'!K:Q,7,0)</f>
        <v>#N/A</v>
      </c>
      <c r="E367" s="73">
        <f>'Cadastro de Produtos'!P345</f>
        <v>0</v>
      </c>
    </row>
    <row r="368" spans="1:5" x14ac:dyDescent="0.3">
      <c r="A368" s="62">
        <f>'Cadastro de Produtos'!O346</f>
        <v>0</v>
      </c>
      <c r="B368" s="63">
        <f>'Cadastro de Produtos'!K346</f>
        <v>0</v>
      </c>
      <c r="C368" s="63">
        <f>'Cadastro de Produtos'!L346</f>
        <v>0</v>
      </c>
      <c r="D368" s="72" t="e">
        <f>VLOOKUP(B368,'Cadastro de Produtos'!K:Q,7,0)</f>
        <v>#N/A</v>
      </c>
      <c r="E368" s="73">
        <f>'Cadastro de Produtos'!P346</f>
        <v>0</v>
      </c>
    </row>
    <row r="369" spans="1:5" x14ac:dyDescent="0.3">
      <c r="A369" s="62">
        <f>'Cadastro de Produtos'!O347</f>
        <v>0</v>
      </c>
      <c r="B369" s="63">
        <f>'Cadastro de Produtos'!K347</f>
        <v>0</v>
      </c>
      <c r="C369" s="63">
        <f>'Cadastro de Produtos'!L347</f>
        <v>0</v>
      </c>
      <c r="D369" s="72" t="e">
        <f>VLOOKUP(B369,'Cadastro de Produtos'!K:Q,7,0)</f>
        <v>#N/A</v>
      </c>
      <c r="E369" s="73">
        <f>'Cadastro de Produtos'!P347</f>
        <v>0</v>
      </c>
    </row>
    <row r="370" spans="1:5" x14ac:dyDescent="0.3">
      <c r="A370" s="62">
        <f>'Cadastro de Produtos'!O348</f>
        <v>0</v>
      </c>
      <c r="B370" s="63">
        <f>'Cadastro de Produtos'!K348</f>
        <v>0</v>
      </c>
      <c r="C370" s="63">
        <f>'Cadastro de Produtos'!L348</f>
        <v>0</v>
      </c>
      <c r="D370" s="72" t="e">
        <f>VLOOKUP(B370,'Cadastro de Produtos'!K:Q,7,0)</f>
        <v>#N/A</v>
      </c>
      <c r="E370" s="73">
        <f>'Cadastro de Produtos'!P348</f>
        <v>0</v>
      </c>
    </row>
    <row r="371" spans="1:5" x14ac:dyDescent="0.3">
      <c r="A371" s="62">
        <f>'Cadastro de Produtos'!O349</f>
        <v>0</v>
      </c>
      <c r="B371" s="63">
        <f>'Cadastro de Produtos'!K349</f>
        <v>0</v>
      </c>
      <c r="C371" s="63">
        <f>'Cadastro de Produtos'!L349</f>
        <v>0</v>
      </c>
      <c r="D371" s="72" t="e">
        <f>VLOOKUP(B371,'Cadastro de Produtos'!K:Q,7,0)</f>
        <v>#N/A</v>
      </c>
      <c r="E371" s="73">
        <f>'Cadastro de Produtos'!P349</f>
        <v>0</v>
      </c>
    </row>
    <row r="372" spans="1:5" x14ac:dyDescent="0.3">
      <c r="A372" s="62">
        <f>'Cadastro de Produtos'!O350</f>
        <v>0</v>
      </c>
      <c r="B372" s="63">
        <f>'Cadastro de Produtos'!K350</f>
        <v>0</v>
      </c>
      <c r="C372" s="63">
        <f>'Cadastro de Produtos'!L350</f>
        <v>0</v>
      </c>
      <c r="D372" s="72" t="e">
        <f>VLOOKUP(B372,'Cadastro de Produtos'!K:Q,7,0)</f>
        <v>#N/A</v>
      </c>
      <c r="E372" s="73">
        <f>'Cadastro de Produtos'!P350</f>
        <v>0</v>
      </c>
    </row>
    <row r="373" spans="1:5" x14ac:dyDescent="0.3">
      <c r="A373" s="62">
        <f>'Cadastro de Produtos'!O351</f>
        <v>0</v>
      </c>
      <c r="B373" s="63">
        <f>'Cadastro de Produtos'!K351</f>
        <v>0</v>
      </c>
      <c r="C373" s="63">
        <f>'Cadastro de Produtos'!L351</f>
        <v>0</v>
      </c>
      <c r="D373" s="72" t="e">
        <f>VLOOKUP(B373,'Cadastro de Produtos'!K:Q,7,0)</f>
        <v>#N/A</v>
      </c>
      <c r="E373" s="73">
        <f>'Cadastro de Produtos'!P351</f>
        <v>0</v>
      </c>
    </row>
    <row r="374" spans="1:5" x14ac:dyDescent="0.3">
      <c r="A374" s="62">
        <f>'Cadastro de Produtos'!O352</f>
        <v>0</v>
      </c>
      <c r="B374" s="63">
        <f>'Cadastro de Produtos'!K352</f>
        <v>0</v>
      </c>
      <c r="C374" s="63">
        <f>'Cadastro de Produtos'!L352</f>
        <v>0</v>
      </c>
      <c r="D374" s="72" t="e">
        <f>VLOOKUP(B374,'Cadastro de Produtos'!K:Q,7,0)</f>
        <v>#N/A</v>
      </c>
      <c r="E374" s="73">
        <f>'Cadastro de Produtos'!P352</f>
        <v>0</v>
      </c>
    </row>
    <row r="375" spans="1:5" x14ac:dyDescent="0.3">
      <c r="A375" s="62">
        <f>'Cadastro de Produtos'!O353</f>
        <v>0</v>
      </c>
      <c r="B375" s="63">
        <f>'Cadastro de Produtos'!K353</f>
        <v>0</v>
      </c>
      <c r="C375" s="63">
        <f>'Cadastro de Produtos'!L353</f>
        <v>0</v>
      </c>
      <c r="D375" s="72" t="e">
        <f>VLOOKUP(B375,'Cadastro de Produtos'!K:Q,7,0)</f>
        <v>#N/A</v>
      </c>
      <c r="E375" s="73">
        <f>'Cadastro de Produtos'!P353</f>
        <v>0</v>
      </c>
    </row>
    <row r="376" spans="1:5" x14ac:dyDescent="0.3">
      <c r="A376" s="62">
        <f>'Cadastro de Produtos'!O354</f>
        <v>0</v>
      </c>
      <c r="B376" s="63">
        <f>'Cadastro de Produtos'!K354</f>
        <v>0</v>
      </c>
      <c r="C376" s="63">
        <f>'Cadastro de Produtos'!L354</f>
        <v>0</v>
      </c>
      <c r="D376" s="72" t="e">
        <f>VLOOKUP(B376,'Cadastro de Produtos'!K:Q,7,0)</f>
        <v>#N/A</v>
      </c>
      <c r="E376" s="73">
        <f>'Cadastro de Produtos'!P354</f>
        <v>0</v>
      </c>
    </row>
    <row r="377" spans="1:5" x14ac:dyDescent="0.3">
      <c r="A377" s="62">
        <f>'Cadastro de Produtos'!O355</f>
        <v>0</v>
      </c>
      <c r="B377" s="63">
        <f>'Cadastro de Produtos'!K355</f>
        <v>0</v>
      </c>
      <c r="C377" s="63">
        <f>'Cadastro de Produtos'!L355</f>
        <v>0</v>
      </c>
      <c r="D377" s="72" t="e">
        <f>VLOOKUP(B377,'Cadastro de Produtos'!K:Q,7,0)</f>
        <v>#N/A</v>
      </c>
      <c r="E377" s="73">
        <f>'Cadastro de Produtos'!P355</f>
        <v>0</v>
      </c>
    </row>
    <row r="378" spans="1:5" x14ac:dyDescent="0.3">
      <c r="A378" s="62">
        <f>'Cadastro de Produtos'!O356</f>
        <v>0</v>
      </c>
      <c r="B378" s="63">
        <f>'Cadastro de Produtos'!K356</f>
        <v>0</v>
      </c>
      <c r="C378" s="63">
        <f>'Cadastro de Produtos'!L356</f>
        <v>0</v>
      </c>
      <c r="D378" s="72" t="e">
        <f>VLOOKUP(B378,'Cadastro de Produtos'!K:Q,7,0)</f>
        <v>#N/A</v>
      </c>
      <c r="E378" s="73">
        <f>'Cadastro de Produtos'!P356</f>
        <v>0</v>
      </c>
    </row>
    <row r="379" spans="1:5" x14ac:dyDescent="0.3">
      <c r="A379" s="62">
        <f>'Cadastro de Produtos'!O357</f>
        <v>0</v>
      </c>
      <c r="B379" s="63">
        <f>'Cadastro de Produtos'!K357</f>
        <v>0</v>
      </c>
      <c r="C379" s="63">
        <f>'Cadastro de Produtos'!L357</f>
        <v>0</v>
      </c>
      <c r="D379" s="72" t="e">
        <f>VLOOKUP(B379,'Cadastro de Produtos'!K:Q,7,0)</f>
        <v>#N/A</v>
      </c>
      <c r="E379" s="73">
        <f>'Cadastro de Produtos'!P357</f>
        <v>0</v>
      </c>
    </row>
    <row r="380" spans="1:5" x14ac:dyDescent="0.3">
      <c r="A380" s="62">
        <f>'Cadastro de Produtos'!O358</f>
        <v>0</v>
      </c>
      <c r="B380" s="63">
        <f>'Cadastro de Produtos'!K358</f>
        <v>0</v>
      </c>
      <c r="C380" s="63">
        <f>'Cadastro de Produtos'!L358</f>
        <v>0</v>
      </c>
      <c r="D380" s="72" t="e">
        <f>VLOOKUP(B380,'Cadastro de Produtos'!K:Q,7,0)</f>
        <v>#N/A</v>
      </c>
      <c r="E380" s="73">
        <f>'Cadastro de Produtos'!P358</f>
        <v>0</v>
      </c>
    </row>
    <row r="381" spans="1:5" x14ac:dyDescent="0.3">
      <c r="A381" s="62">
        <f>'Cadastro de Produtos'!O359</f>
        <v>0</v>
      </c>
      <c r="B381" s="63">
        <f>'Cadastro de Produtos'!K359</f>
        <v>0</v>
      </c>
      <c r="C381" s="63">
        <f>'Cadastro de Produtos'!L359</f>
        <v>0</v>
      </c>
      <c r="D381" s="72" t="e">
        <f>VLOOKUP(B381,'Cadastro de Produtos'!K:Q,7,0)</f>
        <v>#N/A</v>
      </c>
      <c r="E381" s="73">
        <f>'Cadastro de Produtos'!P359</f>
        <v>0</v>
      </c>
    </row>
    <row r="382" spans="1:5" x14ac:dyDescent="0.3">
      <c r="A382" s="62">
        <f>'Cadastro de Produtos'!O360</f>
        <v>0</v>
      </c>
      <c r="B382" s="63">
        <f>'Cadastro de Produtos'!K360</f>
        <v>0</v>
      </c>
      <c r="C382" s="63">
        <f>'Cadastro de Produtos'!L360</f>
        <v>0</v>
      </c>
      <c r="D382" s="72" t="e">
        <f>VLOOKUP(B382,'Cadastro de Produtos'!K:Q,7,0)</f>
        <v>#N/A</v>
      </c>
      <c r="E382" s="73">
        <f>'Cadastro de Produtos'!P360</f>
        <v>0</v>
      </c>
    </row>
    <row r="383" spans="1:5" x14ac:dyDescent="0.3">
      <c r="A383" s="62">
        <f>'Cadastro de Produtos'!O361</f>
        <v>0</v>
      </c>
      <c r="B383" s="63">
        <f>'Cadastro de Produtos'!K361</f>
        <v>0</v>
      </c>
      <c r="C383" s="63">
        <f>'Cadastro de Produtos'!L361</f>
        <v>0</v>
      </c>
      <c r="D383" s="72" t="e">
        <f>VLOOKUP(B383,'Cadastro de Produtos'!K:Q,7,0)</f>
        <v>#N/A</v>
      </c>
      <c r="E383" s="73">
        <f>'Cadastro de Produtos'!P361</f>
        <v>0</v>
      </c>
    </row>
    <row r="384" spans="1:5" x14ac:dyDescent="0.3">
      <c r="A384" s="62">
        <f>'Cadastro de Produtos'!O362</f>
        <v>0</v>
      </c>
      <c r="B384" s="63">
        <f>'Cadastro de Produtos'!K362</f>
        <v>0</v>
      </c>
      <c r="C384" s="63">
        <f>'Cadastro de Produtos'!L362</f>
        <v>0</v>
      </c>
      <c r="D384" s="72" t="e">
        <f>VLOOKUP(B384,'Cadastro de Produtos'!K:Q,7,0)</f>
        <v>#N/A</v>
      </c>
      <c r="E384" s="73">
        <f>'Cadastro de Produtos'!P362</f>
        <v>0</v>
      </c>
    </row>
    <row r="385" spans="1:5" x14ac:dyDescent="0.3">
      <c r="A385" s="62">
        <f>'Cadastro de Produtos'!O363</f>
        <v>0</v>
      </c>
      <c r="B385" s="63">
        <f>'Cadastro de Produtos'!K363</f>
        <v>0</v>
      </c>
      <c r="C385" s="63">
        <f>'Cadastro de Produtos'!L363</f>
        <v>0</v>
      </c>
      <c r="D385" s="72" t="e">
        <f>VLOOKUP(B385,'Cadastro de Produtos'!K:Q,7,0)</f>
        <v>#N/A</v>
      </c>
      <c r="E385" s="73">
        <f>'Cadastro de Produtos'!P363</f>
        <v>0</v>
      </c>
    </row>
    <row r="386" spans="1:5" x14ac:dyDescent="0.3">
      <c r="A386" s="62">
        <f>'Cadastro de Produtos'!O364</f>
        <v>0</v>
      </c>
      <c r="B386" s="63">
        <f>'Cadastro de Produtos'!K364</f>
        <v>0</v>
      </c>
      <c r="C386" s="63">
        <f>'Cadastro de Produtos'!L364</f>
        <v>0</v>
      </c>
      <c r="D386" s="72" t="e">
        <f>VLOOKUP(B386,'Cadastro de Produtos'!K:Q,7,0)</f>
        <v>#N/A</v>
      </c>
      <c r="E386" s="73">
        <f>'Cadastro de Produtos'!P364</f>
        <v>0</v>
      </c>
    </row>
    <row r="387" spans="1:5" x14ac:dyDescent="0.3">
      <c r="A387" s="62">
        <f>'Cadastro de Produtos'!O365</f>
        <v>0</v>
      </c>
      <c r="B387" s="63">
        <f>'Cadastro de Produtos'!K365</f>
        <v>0</v>
      </c>
      <c r="C387" s="63">
        <f>'Cadastro de Produtos'!L365</f>
        <v>0</v>
      </c>
      <c r="D387" s="72" t="e">
        <f>VLOOKUP(B387,'Cadastro de Produtos'!K:Q,7,0)</f>
        <v>#N/A</v>
      </c>
      <c r="E387" s="73">
        <f>'Cadastro de Produtos'!P365</f>
        <v>0</v>
      </c>
    </row>
    <row r="388" spans="1:5" x14ac:dyDescent="0.3">
      <c r="A388" s="62">
        <f>'Cadastro de Produtos'!O366</f>
        <v>0</v>
      </c>
      <c r="B388" s="63">
        <f>'Cadastro de Produtos'!K366</f>
        <v>0</v>
      </c>
      <c r="C388" s="63">
        <f>'Cadastro de Produtos'!L366</f>
        <v>0</v>
      </c>
      <c r="D388" s="72" t="e">
        <f>VLOOKUP(B388,'Cadastro de Produtos'!K:Q,7,0)</f>
        <v>#N/A</v>
      </c>
      <c r="E388" s="73">
        <f>'Cadastro de Produtos'!P366</f>
        <v>0</v>
      </c>
    </row>
    <row r="389" spans="1:5" x14ac:dyDescent="0.3">
      <c r="A389" s="62">
        <f>'Cadastro de Produtos'!O367</f>
        <v>0</v>
      </c>
      <c r="B389" s="63">
        <f>'Cadastro de Produtos'!K367</f>
        <v>0</v>
      </c>
      <c r="C389" s="63">
        <f>'Cadastro de Produtos'!L367</f>
        <v>0</v>
      </c>
      <c r="D389" s="72" t="e">
        <f>VLOOKUP(B389,'Cadastro de Produtos'!K:Q,7,0)</f>
        <v>#N/A</v>
      </c>
      <c r="E389" s="73">
        <f>'Cadastro de Produtos'!P367</f>
        <v>0</v>
      </c>
    </row>
    <row r="390" spans="1:5" x14ac:dyDescent="0.3">
      <c r="A390" s="62">
        <f>'Cadastro de Produtos'!O368</f>
        <v>0</v>
      </c>
      <c r="B390" s="63">
        <f>'Cadastro de Produtos'!K368</f>
        <v>0</v>
      </c>
      <c r="C390" s="63">
        <f>'Cadastro de Produtos'!L368</f>
        <v>0</v>
      </c>
      <c r="D390" s="72" t="e">
        <f>VLOOKUP(B390,'Cadastro de Produtos'!K:Q,7,0)</f>
        <v>#N/A</v>
      </c>
      <c r="E390" s="73">
        <f>'Cadastro de Produtos'!P368</f>
        <v>0</v>
      </c>
    </row>
    <row r="391" spans="1:5" x14ac:dyDescent="0.3">
      <c r="A391" s="62">
        <f>'Cadastro de Produtos'!O369</f>
        <v>0</v>
      </c>
      <c r="B391" s="63">
        <f>'Cadastro de Produtos'!K369</f>
        <v>0</v>
      </c>
      <c r="C391" s="63">
        <f>'Cadastro de Produtos'!L369</f>
        <v>0</v>
      </c>
      <c r="D391" s="72" t="e">
        <f>VLOOKUP(B391,'Cadastro de Produtos'!K:Q,7,0)</f>
        <v>#N/A</v>
      </c>
      <c r="E391" s="73">
        <f>'Cadastro de Produtos'!P369</f>
        <v>0</v>
      </c>
    </row>
    <row r="392" spans="1:5" x14ac:dyDescent="0.3">
      <c r="A392" s="62">
        <f>'Cadastro de Produtos'!O370</f>
        <v>0</v>
      </c>
      <c r="B392" s="63">
        <f>'Cadastro de Produtos'!K370</f>
        <v>0</v>
      </c>
      <c r="C392" s="63">
        <f>'Cadastro de Produtos'!L370</f>
        <v>0</v>
      </c>
      <c r="D392" s="72" t="e">
        <f>VLOOKUP(B392,'Cadastro de Produtos'!K:Q,7,0)</f>
        <v>#N/A</v>
      </c>
      <c r="E392" s="73">
        <f>'Cadastro de Produtos'!P370</f>
        <v>0</v>
      </c>
    </row>
    <row r="393" spans="1:5" x14ac:dyDescent="0.3">
      <c r="A393" s="62">
        <f>'Cadastro de Produtos'!O371</f>
        <v>0</v>
      </c>
      <c r="B393" s="63">
        <f>'Cadastro de Produtos'!K371</f>
        <v>0</v>
      </c>
      <c r="C393" s="63">
        <f>'Cadastro de Produtos'!L371</f>
        <v>0</v>
      </c>
      <c r="D393" s="72" t="e">
        <f>VLOOKUP(B393,'Cadastro de Produtos'!K:Q,7,0)</f>
        <v>#N/A</v>
      </c>
      <c r="E393" s="73">
        <f>'Cadastro de Produtos'!P371</f>
        <v>0</v>
      </c>
    </row>
    <row r="394" spans="1:5" x14ac:dyDescent="0.3">
      <c r="A394" s="62">
        <f>'Cadastro de Produtos'!O372</f>
        <v>0</v>
      </c>
      <c r="B394" s="63">
        <f>'Cadastro de Produtos'!K372</f>
        <v>0</v>
      </c>
      <c r="C394" s="63">
        <f>'Cadastro de Produtos'!L372</f>
        <v>0</v>
      </c>
      <c r="D394" s="72" t="e">
        <f>VLOOKUP(B394,'Cadastro de Produtos'!K:Q,7,0)</f>
        <v>#N/A</v>
      </c>
      <c r="E394" s="73">
        <f>'Cadastro de Produtos'!P372</f>
        <v>0</v>
      </c>
    </row>
    <row r="395" spans="1:5" x14ac:dyDescent="0.3">
      <c r="A395" s="62">
        <f>'Cadastro de Produtos'!O373</f>
        <v>0</v>
      </c>
      <c r="B395" s="63">
        <f>'Cadastro de Produtos'!K373</f>
        <v>0</v>
      </c>
      <c r="C395" s="63">
        <f>'Cadastro de Produtos'!L373</f>
        <v>0</v>
      </c>
      <c r="D395" s="72" t="e">
        <f>VLOOKUP(B395,'Cadastro de Produtos'!K:Q,7,0)</f>
        <v>#N/A</v>
      </c>
      <c r="E395" s="73">
        <f>'Cadastro de Produtos'!P373</f>
        <v>0</v>
      </c>
    </row>
    <row r="396" spans="1:5" x14ac:dyDescent="0.3">
      <c r="A396" s="62">
        <f>'Cadastro de Produtos'!O374</f>
        <v>0</v>
      </c>
      <c r="B396" s="63">
        <f>'Cadastro de Produtos'!K374</f>
        <v>0</v>
      </c>
      <c r="C396" s="63">
        <f>'Cadastro de Produtos'!L374</f>
        <v>0</v>
      </c>
      <c r="D396" s="72" t="e">
        <f>VLOOKUP(B396,'Cadastro de Produtos'!K:Q,7,0)</f>
        <v>#N/A</v>
      </c>
      <c r="E396" s="73">
        <f>'Cadastro de Produtos'!P374</f>
        <v>0</v>
      </c>
    </row>
    <row r="397" spans="1:5" x14ac:dyDescent="0.3">
      <c r="A397" s="62">
        <f>'Cadastro de Produtos'!O375</f>
        <v>0</v>
      </c>
      <c r="B397" s="63">
        <f>'Cadastro de Produtos'!K375</f>
        <v>0</v>
      </c>
      <c r="C397" s="63">
        <f>'Cadastro de Produtos'!L375</f>
        <v>0</v>
      </c>
      <c r="D397" s="72" t="e">
        <f>VLOOKUP(B397,'Cadastro de Produtos'!K:Q,7,0)</f>
        <v>#N/A</v>
      </c>
      <c r="E397" s="73">
        <f>'Cadastro de Produtos'!P375</f>
        <v>0</v>
      </c>
    </row>
    <row r="398" spans="1:5" x14ac:dyDescent="0.3">
      <c r="A398" s="62">
        <f>'Cadastro de Produtos'!O376</f>
        <v>0</v>
      </c>
      <c r="B398" s="63">
        <f>'Cadastro de Produtos'!K376</f>
        <v>0</v>
      </c>
      <c r="C398" s="63">
        <f>'Cadastro de Produtos'!L376</f>
        <v>0</v>
      </c>
      <c r="D398" s="72" t="e">
        <f>VLOOKUP(B398,'Cadastro de Produtos'!K:Q,7,0)</f>
        <v>#N/A</v>
      </c>
      <c r="E398" s="73">
        <f>'Cadastro de Produtos'!P376</f>
        <v>0</v>
      </c>
    </row>
    <row r="399" spans="1:5" x14ac:dyDescent="0.3">
      <c r="A399" s="62">
        <f>'Cadastro de Produtos'!O377</f>
        <v>0</v>
      </c>
      <c r="B399" s="63">
        <f>'Cadastro de Produtos'!K377</f>
        <v>0</v>
      </c>
      <c r="C399" s="63">
        <f>'Cadastro de Produtos'!L377</f>
        <v>0</v>
      </c>
      <c r="D399" s="72" t="e">
        <f>VLOOKUP(B399,'Cadastro de Produtos'!K:Q,7,0)</f>
        <v>#N/A</v>
      </c>
      <c r="E399" s="73">
        <f>'Cadastro de Produtos'!P377</f>
        <v>0</v>
      </c>
    </row>
    <row r="400" spans="1:5" x14ac:dyDescent="0.3">
      <c r="A400" s="62">
        <f>'Cadastro de Produtos'!O378</f>
        <v>0</v>
      </c>
      <c r="B400" s="63">
        <f>'Cadastro de Produtos'!K378</f>
        <v>0</v>
      </c>
      <c r="C400" s="63">
        <f>'Cadastro de Produtos'!L378</f>
        <v>0</v>
      </c>
      <c r="D400" s="72" t="e">
        <f>VLOOKUP(B400,'Cadastro de Produtos'!K:Q,7,0)</f>
        <v>#N/A</v>
      </c>
      <c r="E400" s="73">
        <f>'Cadastro de Produtos'!P378</f>
        <v>0</v>
      </c>
    </row>
    <row r="401" spans="1:5" x14ac:dyDescent="0.3">
      <c r="A401" s="62">
        <f>'Cadastro de Produtos'!O379</f>
        <v>0</v>
      </c>
      <c r="B401" s="63">
        <f>'Cadastro de Produtos'!K379</f>
        <v>0</v>
      </c>
      <c r="C401" s="63">
        <f>'Cadastro de Produtos'!L379</f>
        <v>0</v>
      </c>
      <c r="D401" s="72" t="e">
        <f>VLOOKUP(B401,'Cadastro de Produtos'!K:Q,7,0)</f>
        <v>#N/A</v>
      </c>
      <c r="E401" s="73">
        <f>'Cadastro de Produtos'!P379</f>
        <v>0</v>
      </c>
    </row>
    <row r="402" spans="1:5" x14ac:dyDescent="0.3">
      <c r="A402" s="62">
        <f>'Cadastro de Produtos'!O380</f>
        <v>0</v>
      </c>
      <c r="B402" s="63">
        <f>'Cadastro de Produtos'!K380</f>
        <v>0</v>
      </c>
      <c r="C402" s="63">
        <f>'Cadastro de Produtos'!L380</f>
        <v>0</v>
      </c>
      <c r="D402" s="72" t="e">
        <f>VLOOKUP(B402,'Cadastro de Produtos'!K:Q,7,0)</f>
        <v>#N/A</v>
      </c>
      <c r="E402" s="73">
        <f>'Cadastro de Produtos'!P380</f>
        <v>0</v>
      </c>
    </row>
    <row r="403" spans="1:5" x14ac:dyDescent="0.3">
      <c r="A403" s="62">
        <f>'Cadastro de Produtos'!O381</f>
        <v>0</v>
      </c>
      <c r="B403" s="63">
        <f>'Cadastro de Produtos'!K381</f>
        <v>0</v>
      </c>
      <c r="C403" s="63">
        <f>'Cadastro de Produtos'!L381</f>
        <v>0</v>
      </c>
      <c r="D403" s="72" t="e">
        <f>VLOOKUP(B403,'Cadastro de Produtos'!K:Q,7,0)</f>
        <v>#N/A</v>
      </c>
      <c r="E403" s="73">
        <f>'Cadastro de Produtos'!P381</f>
        <v>0</v>
      </c>
    </row>
    <row r="404" spans="1:5" x14ac:dyDescent="0.3">
      <c r="A404" s="62">
        <f>'Cadastro de Produtos'!O382</f>
        <v>0</v>
      </c>
      <c r="B404" s="63">
        <f>'Cadastro de Produtos'!K382</f>
        <v>0</v>
      </c>
      <c r="C404" s="63">
        <f>'Cadastro de Produtos'!L382</f>
        <v>0</v>
      </c>
      <c r="D404" s="72" t="e">
        <f>VLOOKUP(B404,'Cadastro de Produtos'!K:Q,7,0)</f>
        <v>#N/A</v>
      </c>
      <c r="E404" s="73">
        <f>'Cadastro de Produtos'!P382</f>
        <v>0</v>
      </c>
    </row>
    <row r="405" spans="1:5" x14ac:dyDescent="0.3">
      <c r="A405" s="62">
        <f>'Cadastro de Produtos'!O383</f>
        <v>0</v>
      </c>
      <c r="B405" s="63">
        <f>'Cadastro de Produtos'!K383</f>
        <v>0</v>
      </c>
      <c r="C405" s="63">
        <f>'Cadastro de Produtos'!L383</f>
        <v>0</v>
      </c>
      <c r="D405" s="72" t="e">
        <f>VLOOKUP(B405,'Cadastro de Produtos'!K:Q,7,0)</f>
        <v>#N/A</v>
      </c>
      <c r="E405" s="73">
        <f>'Cadastro de Produtos'!P383</f>
        <v>0</v>
      </c>
    </row>
    <row r="406" spans="1:5" x14ac:dyDescent="0.3">
      <c r="A406" s="62">
        <f>'Cadastro de Produtos'!O384</f>
        <v>0</v>
      </c>
      <c r="B406" s="63">
        <f>'Cadastro de Produtos'!K384</f>
        <v>0</v>
      </c>
      <c r="C406" s="63">
        <f>'Cadastro de Produtos'!L384</f>
        <v>0</v>
      </c>
      <c r="D406" s="72" t="e">
        <f>VLOOKUP(B406,'Cadastro de Produtos'!K:Q,7,0)</f>
        <v>#N/A</v>
      </c>
      <c r="E406" s="73">
        <f>'Cadastro de Produtos'!P384</f>
        <v>0</v>
      </c>
    </row>
    <row r="407" spans="1:5" x14ac:dyDescent="0.3">
      <c r="A407" s="62">
        <f>'Cadastro de Produtos'!O385</f>
        <v>0</v>
      </c>
      <c r="B407" s="63">
        <f>'Cadastro de Produtos'!K385</f>
        <v>0</v>
      </c>
      <c r="C407" s="63">
        <f>'Cadastro de Produtos'!L385</f>
        <v>0</v>
      </c>
      <c r="D407" s="72" t="e">
        <f>VLOOKUP(B407,'Cadastro de Produtos'!K:Q,7,0)</f>
        <v>#N/A</v>
      </c>
      <c r="E407" s="73">
        <f>'Cadastro de Produtos'!P385</f>
        <v>0</v>
      </c>
    </row>
    <row r="408" spans="1:5" x14ac:dyDescent="0.3">
      <c r="A408" s="62">
        <f>'Cadastro de Produtos'!O386</f>
        <v>0</v>
      </c>
      <c r="B408" s="63">
        <f>'Cadastro de Produtos'!K386</f>
        <v>0</v>
      </c>
      <c r="C408" s="63">
        <f>'Cadastro de Produtos'!L386</f>
        <v>0</v>
      </c>
      <c r="D408" s="72" t="e">
        <f>VLOOKUP(B408,'Cadastro de Produtos'!K:Q,7,0)</f>
        <v>#N/A</v>
      </c>
      <c r="E408" s="73">
        <f>'Cadastro de Produtos'!P386</f>
        <v>0</v>
      </c>
    </row>
    <row r="409" spans="1:5" x14ac:dyDescent="0.3">
      <c r="A409" s="62">
        <f>'Cadastro de Produtos'!O387</f>
        <v>0</v>
      </c>
      <c r="B409" s="63">
        <f>'Cadastro de Produtos'!K387</f>
        <v>0</v>
      </c>
      <c r="C409" s="63">
        <f>'Cadastro de Produtos'!L387</f>
        <v>0</v>
      </c>
      <c r="D409" s="72" t="e">
        <f>VLOOKUP(B409,'Cadastro de Produtos'!K:Q,7,0)</f>
        <v>#N/A</v>
      </c>
      <c r="E409" s="73">
        <f>'Cadastro de Produtos'!P387</f>
        <v>0</v>
      </c>
    </row>
    <row r="410" spans="1:5" x14ac:dyDescent="0.3">
      <c r="A410" s="62">
        <f>'Cadastro de Produtos'!O388</f>
        <v>0</v>
      </c>
      <c r="B410" s="63">
        <f>'Cadastro de Produtos'!K388</f>
        <v>0</v>
      </c>
      <c r="C410" s="63">
        <f>'Cadastro de Produtos'!L388</f>
        <v>0</v>
      </c>
      <c r="D410" s="72" t="e">
        <f>VLOOKUP(B410,'Cadastro de Produtos'!K:Q,7,0)</f>
        <v>#N/A</v>
      </c>
      <c r="E410" s="73">
        <f>'Cadastro de Produtos'!P388</f>
        <v>0</v>
      </c>
    </row>
    <row r="411" spans="1:5" x14ac:dyDescent="0.3">
      <c r="A411" s="62">
        <f>'Cadastro de Produtos'!O389</f>
        <v>0</v>
      </c>
      <c r="B411" s="63">
        <f>'Cadastro de Produtos'!K389</f>
        <v>0</v>
      </c>
      <c r="C411" s="63">
        <f>'Cadastro de Produtos'!L389</f>
        <v>0</v>
      </c>
      <c r="D411" s="72" t="e">
        <f>VLOOKUP(B411,'Cadastro de Produtos'!K:Q,7,0)</f>
        <v>#N/A</v>
      </c>
      <c r="E411" s="73">
        <f>'Cadastro de Produtos'!P389</f>
        <v>0</v>
      </c>
    </row>
    <row r="412" spans="1:5" x14ac:dyDescent="0.3">
      <c r="A412" s="62">
        <f>'Cadastro de Produtos'!O390</f>
        <v>0</v>
      </c>
      <c r="B412" s="63">
        <f>'Cadastro de Produtos'!K390</f>
        <v>0</v>
      </c>
      <c r="C412" s="63">
        <f>'Cadastro de Produtos'!L390</f>
        <v>0</v>
      </c>
      <c r="D412" s="72" t="e">
        <f>VLOOKUP(B412,'Cadastro de Produtos'!K:Q,7,0)</f>
        <v>#N/A</v>
      </c>
      <c r="E412" s="73">
        <f>'Cadastro de Produtos'!P390</f>
        <v>0</v>
      </c>
    </row>
    <row r="413" spans="1:5" x14ac:dyDescent="0.3">
      <c r="A413" s="62">
        <f>'Cadastro de Produtos'!O391</f>
        <v>0</v>
      </c>
      <c r="B413" s="63">
        <f>'Cadastro de Produtos'!K391</f>
        <v>0</v>
      </c>
      <c r="C413" s="63">
        <f>'Cadastro de Produtos'!L391</f>
        <v>0</v>
      </c>
      <c r="D413" s="72" t="e">
        <f>VLOOKUP(B413,'Cadastro de Produtos'!K:Q,7,0)</f>
        <v>#N/A</v>
      </c>
      <c r="E413" s="73">
        <f>'Cadastro de Produtos'!P391</f>
        <v>0</v>
      </c>
    </row>
    <row r="414" spans="1:5" x14ac:dyDescent="0.3">
      <c r="A414" s="62">
        <f>'Cadastro de Produtos'!O392</f>
        <v>0</v>
      </c>
      <c r="B414" s="63">
        <f>'Cadastro de Produtos'!K392</f>
        <v>0</v>
      </c>
      <c r="C414" s="63">
        <f>'Cadastro de Produtos'!L392</f>
        <v>0</v>
      </c>
      <c r="D414" s="72" t="e">
        <f>VLOOKUP(B414,'Cadastro de Produtos'!K:Q,7,0)</f>
        <v>#N/A</v>
      </c>
      <c r="E414" s="73">
        <f>'Cadastro de Produtos'!P392</f>
        <v>0</v>
      </c>
    </row>
    <row r="415" spans="1:5" x14ac:dyDescent="0.3">
      <c r="A415" s="62">
        <f>'Cadastro de Produtos'!O393</f>
        <v>0</v>
      </c>
      <c r="B415" s="63">
        <f>'Cadastro de Produtos'!K393</f>
        <v>0</v>
      </c>
      <c r="C415" s="63">
        <f>'Cadastro de Produtos'!L393</f>
        <v>0</v>
      </c>
      <c r="D415" s="72" t="e">
        <f>VLOOKUP(B415,'Cadastro de Produtos'!K:Q,7,0)</f>
        <v>#N/A</v>
      </c>
      <c r="E415" s="73">
        <f>'Cadastro de Produtos'!P393</f>
        <v>0</v>
      </c>
    </row>
    <row r="416" spans="1:5" x14ac:dyDescent="0.3">
      <c r="A416" s="62">
        <f>'Cadastro de Produtos'!O394</f>
        <v>0</v>
      </c>
      <c r="B416" s="63">
        <f>'Cadastro de Produtos'!K394</f>
        <v>0</v>
      </c>
      <c r="C416" s="63">
        <f>'Cadastro de Produtos'!L394</f>
        <v>0</v>
      </c>
      <c r="D416" s="72" t="e">
        <f>VLOOKUP(B416,'Cadastro de Produtos'!K:Q,7,0)</f>
        <v>#N/A</v>
      </c>
      <c r="E416" s="73">
        <f>'Cadastro de Produtos'!P394</f>
        <v>0</v>
      </c>
    </row>
    <row r="417" spans="1:5" x14ac:dyDescent="0.3">
      <c r="A417" s="62">
        <f>'Cadastro de Produtos'!O395</f>
        <v>0</v>
      </c>
      <c r="B417" s="63">
        <f>'Cadastro de Produtos'!K395</f>
        <v>0</v>
      </c>
      <c r="C417" s="63">
        <f>'Cadastro de Produtos'!L395</f>
        <v>0</v>
      </c>
      <c r="D417" s="72" t="e">
        <f>VLOOKUP(B417,'Cadastro de Produtos'!K:Q,7,0)</f>
        <v>#N/A</v>
      </c>
      <c r="E417" s="73">
        <f>'Cadastro de Produtos'!P395</f>
        <v>0</v>
      </c>
    </row>
    <row r="418" spans="1:5" x14ac:dyDescent="0.3">
      <c r="A418" s="62">
        <f>'Cadastro de Produtos'!O396</f>
        <v>0</v>
      </c>
      <c r="B418" s="63">
        <f>'Cadastro de Produtos'!K396</f>
        <v>0</v>
      </c>
      <c r="C418" s="63">
        <f>'Cadastro de Produtos'!L396</f>
        <v>0</v>
      </c>
      <c r="D418" s="72" t="e">
        <f>VLOOKUP(B418,'Cadastro de Produtos'!K:Q,7,0)</f>
        <v>#N/A</v>
      </c>
      <c r="E418" s="73">
        <f>'Cadastro de Produtos'!P396</f>
        <v>0</v>
      </c>
    </row>
    <row r="419" spans="1:5" x14ac:dyDescent="0.3">
      <c r="A419" s="62">
        <f>'Cadastro de Produtos'!O397</f>
        <v>0</v>
      </c>
      <c r="B419" s="63">
        <f>'Cadastro de Produtos'!K397</f>
        <v>0</v>
      </c>
      <c r="C419" s="63">
        <f>'Cadastro de Produtos'!L397</f>
        <v>0</v>
      </c>
      <c r="D419" s="72" t="e">
        <f>VLOOKUP(B419,'Cadastro de Produtos'!K:Q,7,0)</f>
        <v>#N/A</v>
      </c>
      <c r="E419" s="73">
        <f>'Cadastro de Produtos'!P397</f>
        <v>0</v>
      </c>
    </row>
    <row r="420" spans="1:5" x14ac:dyDescent="0.3">
      <c r="A420" s="62">
        <f>'Cadastro de Produtos'!O398</f>
        <v>0</v>
      </c>
      <c r="B420" s="63">
        <f>'Cadastro de Produtos'!K398</f>
        <v>0</v>
      </c>
      <c r="C420" s="63">
        <f>'Cadastro de Produtos'!L398</f>
        <v>0</v>
      </c>
      <c r="D420" s="72" t="e">
        <f>VLOOKUP(B420,'Cadastro de Produtos'!K:Q,7,0)</f>
        <v>#N/A</v>
      </c>
      <c r="E420" s="73">
        <f>'Cadastro de Produtos'!P398</f>
        <v>0</v>
      </c>
    </row>
    <row r="421" spans="1:5" x14ac:dyDescent="0.3">
      <c r="A421" s="62">
        <f>'Cadastro de Produtos'!O399</f>
        <v>0</v>
      </c>
      <c r="B421" s="63">
        <f>'Cadastro de Produtos'!K399</f>
        <v>0</v>
      </c>
      <c r="C421" s="63">
        <f>'Cadastro de Produtos'!L399</f>
        <v>0</v>
      </c>
      <c r="D421" s="72" t="e">
        <f>VLOOKUP(B421,'Cadastro de Produtos'!K:Q,7,0)</f>
        <v>#N/A</v>
      </c>
      <c r="E421" s="73">
        <f>'Cadastro de Produtos'!P399</f>
        <v>0</v>
      </c>
    </row>
    <row r="422" spans="1:5" x14ac:dyDescent="0.3">
      <c r="A422" s="62">
        <f>'Cadastro de Produtos'!O400</f>
        <v>0</v>
      </c>
      <c r="B422" s="63">
        <f>'Cadastro de Produtos'!K400</f>
        <v>0</v>
      </c>
      <c r="C422" s="63">
        <f>'Cadastro de Produtos'!L400</f>
        <v>0</v>
      </c>
      <c r="D422" s="72" t="e">
        <f>VLOOKUP(B422,'Cadastro de Produtos'!K:Q,7,0)</f>
        <v>#N/A</v>
      </c>
      <c r="E422" s="73">
        <f>'Cadastro de Produtos'!P400</f>
        <v>0</v>
      </c>
    </row>
    <row r="423" spans="1:5" x14ac:dyDescent="0.3">
      <c r="A423" s="62">
        <f>'Cadastro de Produtos'!O401</f>
        <v>0</v>
      </c>
      <c r="B423" s="63">
        <f>'Cadastro de Produtos'!K401</f>
        <v>0</v>
      </c>
      <c r="C423" s="63">
        <f>'Cadastro de Produtos'!L401</f>
        <v>0</v>
      </c>
      <c r="D423" s="72" t="e">
        <f>VLOOKUP(B423,'Cadastro de Produtos'!K:Q,7,0)</f>
        <v>#N/A</v>
      </c>
      <c r="E423" s="73">
        <f>'Cadastro de Produtos'!P401</f>
        <v>0</v>
      </c>
    </row>
    <row r="424" spans="1:5" x14ac:dyDescent="0.3">
      <c r="A424" s="62">
        <f>'Cadastro de Produtos'!O402</f>
        <v>0</v>
      </c>
      <c r="B424" s="63">
        <f>'Cadastro de Produtos'!K402</f>
        <v>0</v>
      </c>
      <c r="C424" s="63">
        <f>'Cadastro de Produtos'!L402</f>
        <v>0</v>
      </c>
      <c r="D424" s="72" t="e">
        <f>VLOOKUP(B424,'Cadastro de Produtos'!K:Q,7,0)</f>
        <v>#N/A</v>
      </c>
      <c r="E424" s="73">
        <f>'Cadastro de Produtos'!P402</f>
        <v>0</v>
      </c>
    </row>
    <row r="425" spans="1:5" x14ac:dyDescent="0.3">
      <c r="A425" s="62">
        <f>'Cadastro de Produtos'!O403</f>
        <v>0</v>
      </c>
      <c r="B425" s="63">
        <f>'Cadastro de Produtos'!K403</f>
        <v>0</v>
      </c>
      <c r="C425" s="63">
        <f>'Cadastro de Produtos'!L403</f>
        <v>0</v>
      </c>
      <c r="D425" s="72" t="e">
        <f>VLOOKUP(B425,'Cadastro de Produtos'!K:Q,7,0)</f>
        <v>#N/A</v>
      </c>
      <c r="E425" s="73">
        <f>'Cadastro de Produtos'!P403</f>
        <v>0</v>
      </c>
    </row>
    <row r="426" spans="1:5" x14ac:dyDescent="0.3">
      <c r="A426" s="62">
        <f>'Cadastro de Produtos'!O404</f>
        <v>0</v>
      </c>
      <c r="B426" s="63">
        <f>'Cadastro de Produtos'!K404</f>
        <v>0</v>
      </c>
      <c r="C426" s="63">
        <f>'Cadastro de Produtos'!L404</f>
        <v>0</v>
      </c>
      <c r="D426" s="72" t="e">
        <f>VLOOKUP(B426,'Cadastro de Produtos'!K:Q,7,0)</f>
        <v>#N/A</v>
      </c>
      <c r="E426" s="73">
        <f>'Cadastro de Produtos'!P404</f>
        <v>0</v>
      </c>
    </row>
    <row r="427" spans="1:5" x14ac:dyDescent="0.3">
      <c r="A427" s="62">
        <f>'Cadastro de Produtos'!O405</f>
        <v>0</v>
      </c>
      <c r="B427" s="63">
        <f>'Cadastro de Produtos'!K405</f>
        <v>0</v>
      </c>
      <c r="C427" s="63">
        <f>'Cadastro de Produtos'!L405</f>
        <v>0</v>
      </c>
      <c r="D427" s="72" t="e">
        <f>VLOOKUP(B427,'Cadastro de Produtos'!K:Q,7,0)</f>
        <v>#N/A</v>
      </c>
      <c r="E427" s="73">
        <f>'Cadastro de Produtos'!P405</f>
        <v>0</v>
      </c>
    </row>
    <row r="428" spans="1:5" x14ac:dyDescent="0.3">
      <c r="A428" s="62">
        <f>'Cadastro de Produtos'!O406</f>
        <v>0</v>
      </c>
      <c r="B428" s="63">
        <f>'Cadastro de Produtos'!K406</f>
        <v>0</v>
      </c>
      <c r="C428" s="63">
        <f>'Cadastro de Produtos'!L406</f>
        <v>0</v>
      </c>
      <c r="D428" s="72" t="e">
        <f>VLOOKUP(B428,'Cadastro de Produtos'!K:Q,7,0)</f>
        <v>#N/A</v>
      </c>
      <c r="E428" s="73">
        <f>'Cadastro de Produtos'!P406</f>
        <v>0</v>
      </c>
    </row>
    <row r="429" spans="1:5" x14ac:dyDescent="0.3">
      <c r="A429" s="62">
        <f>'Cadastro de Produtos'!O407</f>
        <v>0</v>
      </c>
      <c r="B429" s="63">
        <f>'Cadastro de Produtos'!K407</f>
        <v>0</v>
      </c>
      <c r="C429" s="63">
        <f>'Cadastro de Produtos'!L407</f>
        <v>0</v>
      </c>
      <c r="D429" s="72" t="e">
        <f>VLOOKUP(B429,'Cadastro de Produtos'!K:Q,7,0)</f>
        <v>#N/A</v>
      </c>
      <c r="E429" s="73">
        <f>'Cadastro de Produtos'!P407</f>
        <v>0</v>
      </c>
    </row>
    <row r="430" spans="1:5" x14ac:dyDescent="0.3">
      <c r="A430" s="62">
        <f>'Cadastro de Produtos'!O408</f>
        <v>0</v>
      </c>
      <c r="B430" s="63">
        <f>'Cadastro de Produtos'!K408</f>
        <v>0</v>
      </c>
      <c r="C430" s="63">
        <f>'Cadastro de Produtos'!L408</f>
        <v>0</v>
      </c>
      <c r="D430" s="72" t="e">
        <f>VLOOKUP(B430,'Cadastro de Produtos'!K:Q,7,0)</f>
        <v>#N/A</v>
      </c>
      <c r="E430" s="73">
        <f>'Cadastro de Produtos'!P408</f>
        <v>0</v>
      </c>
    </row>
    <row r="431" spans="1:5" x14ac:dyDescent="0.3">
      <c r="A431" s="62">
        <f>'Cadastro de Produtos'!O409</f>
        <v>0</v>
      </c>
      <c r="B431" s="63">
        <f>'Cadastro de Produtos'!K409</f>
        <v>0</v>
      </c>
      <c r="C431" s="63">
        <f>'Cadastro de Produtos'!L409</f>
        <v>0</v>
      </c>
      <c r="D431" s="72" t="e">
        <f>VLOOKUP(B431,'Cadastro de Produtos'!K:Q,7,0)</f>
        <v>#N/A</v>
      </c>
      <c r="E431" s="73">
        <f>'Cadastro de Produtos'!P409</f>
        <v>0</v>
      </c>
    </row>
    <row r="432" spans="1:5" x14ac:dyDescent="0.3">
      <c r="A432" s="62">
        <f>'Cadastro de Produtos'!O410</f>
        <v>0</v>
      </c>
      <c r="B432" s="63">
        <f>'Cadastro de Produtos'!K410</f>
        <v>0</v>
      </c>
      <c r="C432" s="63">
        <f>'Cadastro de Produtos'!L410</f>
        <v>0</v>
      </c>
      <c r="D432" s="72" t="e">
        <f>VLOOKUP(B432,'Cadastro de Produtos'!K:Q,7,0)</f>
        <v>#N/A</v>
      </c>
      <c r="E432" s="73">
        <f>'Cadastro de Produtos'!P410</f>
        <v>0</v>
      </c>
    </row>
    <row r="433" spans="1:5" x14ac:dyDescent="0.3">
      <c r="A433" s="62">
        <f>'Cadastro de Produtos'!O411</f>
        <v>0</v>
      </c>
      <c r="B433" s="63">
        <f>'Cadastro de Produtos'!K411</f>
        <v>0</v>
      </c>
      <c r="C433" s="63">
        <f>'Cadastro de Produtos'!L411</f>
        <v>0</v>
      </c>
      <c r="D433" s="72" t="e">
        <f>VLOOKUP(B433,'Cadastro de Produtos'!K:Q,7,0)</f>
        <v>#N/A</v>
      </c>
      <c r="E433" s="73">
        <f>'Cadastro de Produtos'!P411</f>
        <v>0</v>
      </c>
    </row>
    <row r="434" spans="1:5" x14ac:dyDescent="0.3">
      <c r="A434" s="62">
        <f>'Cadastro de Produtos'!O412</f>
        <v>0</v>
      </c>
      <c r="B434" s="63">
        <f>'Cadastro de Produtos'!K412</f>
        <v>0</v>
      </c>
      <c r="C434" s="63">
        <f>'Cadastro de Produtos'!L412</f>
        <v>0</v>
      </c>
      <c r="D434" s="72" t="e">
        <f>VLOOKUP(B434,'Cadastro de Produtos'!K:Q,7,0)</f>
        <v>#N/A</v>
      </c>
      <c r="E434" s="73">
        <f>'Cadastro de Produtos'!P412</f>
        <v>0</v>
      </c>
    </row>
    <row r="435" spans="1:5" x14ac:dyDescent="0.3">
      <c r="A435" s="62">
        <f>'Cadastro de Produtos'!O413</f>
        <v>0</v>
      </c>
      <c r="B435" s="63">
        <f>'Cadastro de Produtos'!K413</f>
        <v>0</v>
      </c>
      <c r="C435" s="63">
        <f>'Cadastro de Produtos'!L413</f>
        <v>0</v>
      </c>
      <c r="D435" s="72" t="e">
        <f>VLOOKUP(B435,'Cadastro de Produtos'!K:Q,7,0)</f>
        <v>#N/A</v>
      </c>
      <c r="E435" s="73">
        <f>'Cadastro de Produtos'!P413</f>
        <v>0</v>
      </c>
    </row>
    <row r="436" spans="1:5" x14ac:dyDescent="0.3">
      <c r="A436" s="62">
        <f>'Cadastro de Produtos'!O414</f>
        <v>0</v>
      </c>
      <c r="B436" s="63">
        <f>'Cadastro de Produtos'!K414</f>
        <v>0</v>
      </c>
      <c r="C436" s="63">
        <f>'Cadastro de Produtos'!L414</f>
        <v>0</v>
      </c>
      <c r="D436" s="72" t="e">
        <f>VLOOKUP(B436,'Cadastro de Produtos'!K:Q,7,0)</f>
        <v>#N/A</v>
      </c>
      <c r="E436" s="73">
        <f>'Cadastro de Produtos'!P414</f>
        <v>0</v>
      </c>
    </row>
    <row r="437" spans="1:5" x14ac:dyDescent="0.3">
      <c r="A437" s="62">
        <f>'Cadastro de Produtos'!O415</f>
        <v>0</v>
      </c>
      <c r="B437" s="63">
        <f>'Cadastro de Produtos'!K415</f>
        <v>0</v>
      </c>
      <c r="C437" s="63">
        <f>'Cadastro de Produtos'!L415</f>
        <v>0</v>
      </c>
      <c r="D437" s="72" t="e">
        <f>VLOOKUP(B437,'Cadastro de Produtos'!K:Q,7,0)</f>
        <v>#N/A</v>
      </c>
      <c r="E437" s="73">
        <f>'Cadastro de Produtos'!P415</f>
        <v>0</v>
      </c>
    </row>
    <row r="438" spans="1:5" x14ac:dyDescent="0.3">
      <c r="A438" s="62">
        <f>'Cadastro de Produtos'!O416</f>
        <v>0</v>
      </c>
      <c r="B438" s="63">
        <f>'Cadastro de Produtos'!K416</f>
        <v>0</v>
      </c>
      <c r="C438" s="63">
        <f>'Cadastro de Produtos'!L416</f>
        <v>0</v>
      </c>
      <c r="D438" s="72" t="e">
        <f>VLOOKUP(B438,'Cadastro de Produtos'!K:Q,7,0)</f>
        <v>#N/A</v>
      </c>
      <c r="E438" s="73">
        <f>'Cadastro de Produtos'!P416</f>
        <v>0</v>
      </c>
    </row>
    <row r="439" spans="1:5" x14ac:dyDescent="0.3">
      <c r="A439" s="62">
        <f>'Cadastro de Produtos'!O417</f>
        <v>0</v>
      </c>
      <c r="B439" s="63">
        <f>'Cadastro de Produtos'!K417</f>
        <v>0</v>
      </c>
      <c r="C439" s="63">
        <f>'Cadastro de Produtos'!L417</f>
        <v>0</v>
      </c>
      <c r="D439" s="72" t="e">
        <f>VLOOKUP(B439,'Cadastro de Produtos'!K:Q,7,0)</f>
        <v>#N/A</v>
      </c>
      <c r="E439" s="73">
        <f>'Cadastro de Produtos'!P417</f>
        <v>0</v>
      </c>
    </row>
    <row r="440" spans="1:5" x14ac:dyDescent="0.3">
      <c r="A440" s="62">
        <f>'Cadastro de Produtos'!O418</f>
        <v>0</v>
      </c>
      <c r="B440" s="63">
        <f>'Cadastro de Produtos'!K418</f>
        <v>0</v>
      </c>
      <c r="C440" s="63">
        <f>'Cadastro de Produtos'!L418</f>
        <v>0</v>
      </c>
      <c r="D440" s="72" t="e">
        <f>VLOOKUP(B440,'Cadastro de Produtos'!K:Q,7,0)</f>
        <v>#N/A</v>
      </c>
      <c r="E440" s="73">
        <f>'Cadastro de Produtos'!P418</f>
        <v>0</v>
      </c>
    </row>
    <row r="441" spans="1:5" x14ac:dyDescent="0.3">
      <c r="A441" s="62">
        <f>'Cadastro de Produtos'!O419</f>
        <v>0</v>
      </c>
      <c r="B441" s="63">
        <f>'Cadastro de Produtos'!K419</f>
        <v>0</v>
      </c>
      <c r="C441" s="63">
        <f>'Cadastro de Produtos'!L419</f>
        <v>0</v>
      </c>
      <c r="D441" s="72" t="e">
        <f>VLOOKUP(B441,'Cadastro de Produtos'!K:Q,7,0)</f>
        <v>#N/A</v>
      </c>
      <c r="E441" s="73">
        <f>'Cadastro de Produtos'!P419</f>
        <v>0</v>
      </c>
    </row>
    <row r="442" spans="1:5" x14ac:dyDescent="0.3">
      <c r="A442" s="62">
        <f>'Cadastro de Produtos'!O420</f>
        <v>0</v>
      </c>
      <c r="B442" s="63">
        <f>'Cadastro de Produtos'!K420</f>
        <v>0</v>
      </c>
      <c r="C442" s="63">
        <f>'Cadastro de Produtos'!L420</f>
        <v>0</v>
      </c>
      <c r="D442" s="72" t="e">
        <f>VLOOKUP(B442,'Cadastro de Produtos'!K:Q,7,0)</f>
        <v>#N/A</v>
      </c>
      <c r="E442" s="73">
        <f>'Cadastro de Produtos'!P420</f>
        <v>0</v>
      </c>
    </row>
    <row r="443" spans="1:5" x14ac:dyDescent="0.3">
      <c r="A443" s="62">
        <f>'Cadastro de Produtos'!O421</f>
        <v>0</v>
      </c>
      <c r="B443" s="63">
        <f>'Cadastro de Produtos'!K421</f>
        <v>0</v>
      </c>
      <c r="C443" s="63">
        <f>'Cadastro de Produtos'!L421</f>
        <v>0</v>
      </c>
      <c r="D443" s="72" t="e">
        <f>VLOOKUP(B443,'Cadastro de Produtos'!K:Q,7,0)</f>
        <v>#N/A</v>
      </c>
      <c r="E443" s="73">
        <f>'Cadastro de Produtos'!P421</f>
        <v>0</v>
      </c>
    </row>
    <row r="444" spans="1:5" x14ac:dyDescent="0.3">
      <c r="A444" s="62">
        <f>'Cadastro de Produtos'!O422</f>
        <v>0</v>
      </c>
      <c r="B444" s="63">
        <f>'Cadastro de Produtos'!K422</f>
        <v>0</v>
      </c>
      <c r="C444" s="63">
        <f>'Cadastro de Produtos'!L422</f>
        <v>0</v>
      </c>
      <c r="D444" s="72" t="e">
        <f>VLOOKUP(B444,'Cadastro de Produtos'!K:Q,7,0)</f>
        <v>#N/A</v>
      </c>
      <c r="E444" s="73">
        <f>'Cadastro de Produtos'!P422</f>
        <v>0</v>
      </c>
    </row>
    <row r="445" spans="1:5" x14ac:dyDescent="0.3">
      <c r="A445" s="62">
        <f>'Cadastro de Produtos'!O423</f>
        <v>0</v>
      </c>
      <c r="B445" s="63">
        <f>'Cadastro de Produtos'!K423</f>
        <v>0</v>
      </c>
      <c r="C445" s="63">
        <f>'Cadastro de Produtos'!L423</f>
        <v>0</v>
      </c>
      <c r="D445" s="72" t="e">
        <f>VLOOKUP(B445,'Cadastro de Produtos'!K:Q,7,0)</f>
        <v>#N/A</v>
      </c>
      <c r="E445" s="73">
        <f>'Cadastro de Produtos'!P423</f>
        <v>0</v>
      </c>
    </row>
    <row r="446" spans="1:5" x14ac:dyDescent="0.3">
      <c r="A446" s="62">
        <f>'Cadastro de Produtos'!O424</f>
        <v>0</v>
      </c>
      <c r="B446" s="63">
        <f>'Cadastro de Produtos'!K424</f>
        <v>0</v>
      </c>
      <c r="C446" s="63">
        <f>'Cadastro de Produtos'!L424</f>
        <v>0</v>
      </c>
      <c r="D446" s="72" t="e">
        <f>VLOOKUP(B446,'Cadastro de Produtos'!K:Q,7,0)</f>
        <v>#N/A</v>
      </c>
      <c r="E446" s="73">
        <f>'Cadastro de Produtos'!P424</f>
        <v>0</v>
      </c>
    </row>
    <row r="447" spans="1:5" x14ac:dyDescent="0.3">
      <c r="A447" s="62">
        <f>'Cadastro de Produtos'!O425</f>
        <v>0</v>
      </c>
      <c r="B447" s="63">
        <f>'Cadastro de Produtos'!K425</f>
        <v>0</v>
      </c>
      <c r="C447" s="63">
        <f>'Cadastro de Produtos'!L425</f>
        <v>0</v>
      </c>
      <c r="D447" s="72" t="e">
        <f>VLOOKUP(B447,'Cadastro de Produtos'!K:Q,7,0)</f>
        <v>#N/A</v>
      </c>
      <c r="E447" s="73">
        <f>'Cadastro de Produtos'!P425</f>
        <v>0</v>
      </c>
    </row>
    <row r="448" spans="1:5" x14ac:dyDescent="0.3">
      <c r="A448" s="62">
        <f>'Cadastro de Produtos'!O426</f>
        <v>0</v>
      </c>
      <c r="B448" s="63">
        <f>'Cadastro de Produtos'!K426</f>
        <v>0</v>
      </c>
      <c r="C448" s="63">
        <f>'Cadastro de Produtos'!L426</f>
        <v>0</v>
      </c>
      <c r="D448" s="72" t="e">
        <f>VLOOKUP(B448,'Cadastro de Produtos'!K:Q,7,0)</f>
        <v>#N/A</v>
      </c>
      <c r="E448" s="73">
        <f>'Cadastro de Produtos'!P426</f>
        <v>0</v>
      </c>
    </row>
    <row r="449" spans="1:5" x14ac:dyDescent="0.3">
      <c r="A449" s="62">
        <f>'Cadastro de Produtos'!O427</f>
        <v>0</v>
      </c>
      <c r="B449" s="63">
        <f>'Cadastro de Produtos'!K427</f>
        <v>0</v>
      </c>
      <c r="C449" s="63">
        <f>'Cadastro de Produtos'!L427</f>
        <v>0</v>
      </c>
      <c r="D449" s="72" t="e">
        <f>VLOOKUP(B449,'Cadastro de Produtos'!K:Q,7,0)</f>
        <v>#N/A</v>
      </c>
      <c r="E449" s="73">
        <f>'Cadastro de Produtos'!P427</f>
        <v>0</v>
      </c>
    </row>
    <row r="450" spans="1:5" x14ac:dyDescent="0.3">
      <c r="A450" s="62">
        <f>'Cadastro de Produtos'!O428</f>
        <v>0</v>
      </c>
      <c r="B450" s="63">
        <f>'Cadastro de Produtos'!K428</f>
        <v>0</v>
      </c>
      <c r="C450" s="63">
        <f>'Cadastro de Produtos'!L428</f>
        <v>0</v>
      </c>
      <c r="D450" s="72" t="e">
        <f>VLOOKUP(B450,'Cadastro de Produtos'!K:Q,7,0)</f>
        <v>#N/A</v>
      </c>
      <c r="E450" s="73">
        <f>'Cadastro de Produtos'!P428</f>
        <v>0</v>
      </c>
    </row>
    <row r="451" spans="1:5" x14ac:dyDescent="0.3">
      <c r="A451" s="62">
        <f>'Cadastro de Produtos'!O429</f>
        <v>0</v>
      </c>
      <c r="B451" s="63">
        <f>'Cadastro de Produtos'!K429</f>
        <v>0</v>
      </c>
      <c r="C451" s="63">
        <f>'Cadastro de Produtos'!L429</f>
        <v>0</v>
      </c>
      <c r="D451" s="72" t="e">
        <f>VLOOKUP(B451,'Cadastro de Produtos'!K:Q,7,0)</f>
        <v>#N/A</v>
      </c>
      <c r="E451" s="73">
        <f>'Cadastro de Produtos'!P429</f>
        <v>0</v>
      </c>
    </row>
    <row r="452" spans="1:5" x14ac:dyDescent="0.3">
      <c r="A452" s="62">
        <f>'Cadastro de Produtos'!O430</f>
        <v>0</v>
      </c>
      <c r="B452" s="63">
        <f>'Cadastro de Produtos'!K430</f>
        <v>0</v>
      </c>
      <c r="C452" s="63">
        <f>'Cadastro de Produtos'!L430</f>
        <v>0</v>
      </c>
      <c r="D452" s="72" t="e">
        <f>VLOOKUP(B452,'Cadastro de Produtos'!K:Q,7,0)</f>
        <v>#N/A</v>
      </c>
      <c r="E452" s="73">
        <f>'Cadastro de Produtos'!P430</f>
        <v>0</v>
      </c>
    </row>
    <row r="453" spans="1:5" x14ac:dyDescent="0.3">
      <c r="A453" s="62">
        <f>'Cadastro de Produtos'!O431</f>
        <v>0</v>
      </c>
      <c r="B453" s="63">
        <f>'Cadastro de Produtos'!K431</f>
        <v>0</v>
      </c>
      <c r="C453" s="63">
        <f>'Cadastro de Produtos'!L431</f>
        <v>0</v>
      </c>
      <c r="D453" s="72" t="e">
        <f>VLOOKUP(B453,'Cadastro de Produtos'!K:Q,7,0)</f>
        <v>#N/A</v>
      </c>
      <c r="E453" s="73">
        <f>'Cadastro de Produtos'!P431</f>
        <v>0</v>
      </c>
    </row>
    <row r="454" spans="1:5" x14ac:dyDescent="0.3">
      <c r="A454" s="62">
        <f>'Cadastro de Produtos'!O432</f>
        <v>0</v>
      </c>
      <c r="B454" s="63">
        <f>'Cadastro de Produtos'!K432</f>
        <v>0</v>
      </c>
      <c r="C454" s="63">
        <f>'Cadastro de Produtos'!L432</f>
        <v>0</v>
      </c>
      <c r="D454" s="72" t="e">
        <f>VLOOKUP(B454,'Cadastro de Produtos'!K:Q,7,0)</f>
        <v>#N/A</v>
      </c>
      <c r="E454" s="73">
        <f>'Cadastro de Produtos'!P432</f>
        <v>0</v>
      </c>
    </row>
    <row r="455" spans="1:5" x14ac:dyDescent="0.3">
      <c r="A455" s="62">
        <f>'Cadastro de Produtos'!O433</f>
        <v>0</v>
      </c>
      <c r="B455" s="63">
        <f>'Cadastro de Produtos'!K433</f>
        <v>0</v>
      </c>
      <c r="C455" s="63">
        <f>'Cadastro de Produtos'!L433</f>
        <v>0</v>
      </c>
      <c r="D455" s="72" t="e">
        <f>VLOOKUP(B455,'Cadastro de Produtos'!K:Q,7,0)</f>
        <v>#N/A</v>
      </c>
      <c r="E455" s="73">
        <f>'Cadastro de Produtos'!P433</f>
        <v>0</v>
      </c>
    </row>
    <row r="456" spans="1:5" x14ac:dyDescent="0.3">
      <c r="A456" s="62">
        <f>'Cadastro de Produtos'!O434</f>
        <v>0</v>
      </c>
      <c r="B456" s="63">
        <f>'Cadastro de Produtos'!K434</f>
        <v>0</v>
      </c>
      <c r="C456" s="63">
        <f>'Cadastro de Produtos'!L434</f>
        <v>0</v>
      </c>
      <c r="D456" s="72" t="e">
        <f>VLOOKUP(B456,'Cadastro de Produtos'!K:Q,7,0)</f>
        <v>#N/A</v>
      </c>
      <c r="E456" s="73">
        <f>'Cadastro de Produtos'!P434</f>
        <v>0</v>
      </c>
    </row>
    <row r="457" spans="1:5" x14ac:dyDescent="0.3">
      <c r="A457" s="62">
        <f>'Cadastro de Produtos'!O435</f>
        <v>0</v>
      </c>
      <c r="B457" s="63">
        <f>'Cadastro de Produtos'!K435</f>
        <v>0</v>
      </c>
      <c r="C457" s="63">
        <f>'Cadastro de Produtos'!L435</f>
        <v>0</v>
      </c>
      <c r="D457" s="72" t="e">
        <f>VLOOKUP(B457,'Cadastro de Produtos'!K:Q,7,0)</f>
        <v>#N/A</v>
      </c>
      <c r="E457" s="73">
        <f>'Cadastro de Produtos'!P435</f>
        <v>0</v>
      </c>
    </row>
    <row r="458" spans="1:5" x14ac:dyDescent="0.3">
      <c r="A458" s="62">
        <f>'Cadastro de Produtos'!O436</f>
        <v>0</v>
      </c>
      <c r="B458" s="63">
        <f>'Cadastro de Produtos'!K436</f>
        <v>0</v>
      </c>
      <c r="C458" s="63">
        <f>'Cadastro de Produtos'!L436</f>
        <v>0</v>
      </c>
      <c r="D458" s="72" t="e">
        <f>VLOOKUP(B458,'Cadastro de Produtos'!K:Q,7,0)</f>
        <v>#N/A</v>
      </c>
      <c r="E458" s="73">
        <f>'Cadastro de Produtos'!P436</f>
        <v>0</v>
      </c>
    </row>
    <row r="459" spans="1:5" x14ac:dyDescent="0.3">
      <c r="A459" s="62">
        <f>'Cadastro de Produtos'!O437</f>
        <v>0</v>
      </c>
      <c r="B459" s="63">
        <f>'Cadastro de Produtos'!K437</f>
        <v>0</v>
      </c>
      <c r="C459" s="63">
        <f>'Cadastro de Produtos'!L437</f>
        <v>0</v>
      </c>
      <c r="D459" s="72" t="e">
        <f>VLOOKUP(B459,'Cadastro de Produtos'!K:Q,7,0)</f>
        <v>#N/A</v>
      </c>
      <c r="E459" s="73">
        <f>'Cadastro de Produtos'!P437</f>
        <v>0</v>
      </c>
    </row>
    <row r="460" spans="1:5" x14ac:dyDescent="0.3">
      <c r="A460" s="62">
        <f>'Cadastro de Produtos'!O438</f>
        <v>0</v>
      </c>
      <c r="B460" s="63">
        <f>'Cadastro de Produtos'!K438</f>
        <v>0</v>
      </c>
      <c r="C460" s="63">
        <f>'Cadastro de Produtos'!L438</f>
        <v>0</v>
      </c>
      <c r="D460" s="72" t="e">
        <f>VLOOKUP(B460,'Cadastro de Produtos'!K:Q,7,0)</f>
        <v>#N/A</v>
      </c>
      <c r="E460" s="73">
        <f>'Cadastro de Produtos'!P438</f>
        <v>0</v>
      </c>
    </row>
    <row r="461" spans="1:5" x14ac:dyDescent="0.3">
      <c r="A461" s="62">
        <f>'Cadastro de Produtos'!O439</f>
        <v>0</v>
      </c>
      <c r="B461" s="63">
        <f>'Cadastro de Produtos'!K439</f>
        <v>0</v>
      </c>
      <c r="C461" s="63">
        <f>'Cadastro de Produtos'!L439</f>
        <v>0</v>
      </c>
      <c r="D461" s="72" t="e">
        <f>VLOOKUP(B461,'Cadastro de Produtos'!K:Q,7,0)</f>
        <v>#N/A</v>
      </c>
      <c r="E461" s="73">
        <f>'Cadastro de Produtos'!P439</f>
        <v>0</v>
      </c>
    </row>
    <row r="462" spans="1:5" x14ac:dyDescent="0.3">
      <c r="A462" s="62">
        <f>'Cadastro de Produtos'!O440</f>
        <v>0</v>
      </c>
      <c r="B462" s="63">
        <f>'Cadastro de Produtos'!K440</f>
        <v>0</v>
      </c>
      <c r="C462" s="63">
        <f>'Cadastro de Produtos'!L440</f>
        <v>0</v>
      </c>
      <c r="D462" s="72" t="e">
        <f>VLOOKUP(B462,'Cadastro de Produtos'!K:Q,7,0)</f>
        <v>#N/A</v>
      </c>
      <c r="E462" s="73">
        <f>'Cadastro de Produtos'!P440</f>
        <v>0</v>
      </c>
    </row>
    <row r="463" spans="1:5" x14ac:dyDescent="0.3">
      <c r="A463" s="62">
        <f>'Cadastro de Produtos'!O441</f>
        <v>0</v>
      </c>
      <c r="B463" s="63">
        <f>'Cadastro de Produtos'!K441</f>
        <v>0</v>
      </c>
      <c r="C463" s="63">
        <f>'Cadastro de Produtos'!L441</f>
        <v>0</v>
      </c>
      <c r="D463" s="72" t="e">
        <f>VLOOKUP(B463,'Cadastro de Produtos'!K:Q,7,0)</f>
        <v>#N/A</v>
      </c>
      <c r="E463" s="73">
        <f>'Cadastro de Produtos'!P441</f>
        <v>0</v>
      </c>
    </row>
    <row r="464" spans="1:5" x14ac:dyDescent="0.3">
      <c r="A464" s="62">
        <f>'Cadastro de Produtos'!O442</f>
        <v>0</v>
      </c>
      <c r="B464" s="63">
        <f>'Cadastro de Produtos'!K442</f>
        <v>0</v>
      </c>
      <c r="C464" s="63">
        <f>'Cadastro de Produtos'!L442</f>
        <v>0</v>
      </c>
      <c r="D464" s="72" t="e">
        <f>VLOOKUP(B464,'Cadastro de Produtos'!K:Q,7,0)</f>
        <v>#N/A</v>
      </c>
      <c r="E464" s="73">
        <f>'Cadastro de Produtos'!P442</f>
        <v>0</v>
      </c>
    </row>
    <row r="465" spans="1:5" x14ac:dyDescent="0.3">
      <c r="A465" s="62">
        <f>'Cadastro de Produtos'!O443</f>
        <v>0</v>
      </c>
      <c r="B465" s="63">
        <f>'Cadastro de Produtos'!K443</f>
        <v>0</v>
      </c>
      <c r="C465" s="63">
        <f>'Cadastro de Produtos'!L443</f>
        <v>0</v>
      </c>
      <c r="D465" s="72" t="e">
        <f>VLOOKUP(B465,'Cadastro de Produtos'!K:Q,7,0)</f>
        <v>#N/A</v>
      </c>
      <c r="E465" s="73">
        <f>'Cadastro de Produtos'!P443</f>
        <v>0</v>
      </c>
    </row>
    <row r="466" spans="1:5" x14ac:dyDescent="0.3">
      <c r="A466" s="62">
        <f>'Cadastro de Produtos'!O444</f>
        <v>0</v>
      </c>
      <c r="B466" s="63">
        <f>'Cadastro de Produtos'!K444</f>
        <v>0</v>
      </c>
      <c r="C466" s="63">
        <f>'Cadastro de Produtos'!L444</f>
        <v>0</v>
      </c>
      <c r="D466" s="72" t="e">
        <f>VLOOKUP(B466,'Cadastro de Produtos'!K:Q,7,0)</f>
        <v>#N/A</v>
      </c>
      <c r="E466" s="73">
        <f>'Cadastro de Produtos'!P444</f>
        <v>0</v>
      </c>
    </row>
    <row r="467" spans="1:5" x14ac:dyDescent="0.3">
      <c r="A467" s="62">
        <f>'Cadastro de Produtos'!O445</f>
        <v>0</v>
      </c>
      <c r="B467" s="63">
        <f>'Cadastro de Produtos'!K445</f>
        <v>0</v>
      </c>
      <c r="C467" s="63">
        <f>'Cadastro de Produtos'!L445</f>
        <v>0</v>
      </c>
      <c r="D467" s="72" t="e">
        <f>VLOOKUP(B467,'Cadastro de Produtos'!K:Q,7,0)</f>
        <v>#N/A</v>
      </c>
      <c r="E467" s="73">
        <f>'Cadastro de Produtos'!P445</f>
        <v>0</v>
      </c>
    </row>
    <row r="468" spans="1:5" x14ac:dyDescent="0.3">
      <c r="A468" s="62">
        <f>'Cadastro de Produtos'!O446</f>
        <v>0</v>
      </c>
      <c r="B468" s="63">
        <f>'Cadastro de Produtos'!K446</f>
        <v>0</v>
      </c>
      <c r="C468" s="63">
        <f>'Cadastro de Produtos'!L446</f>
        <v>0</v>
      </c>
      <c r="D468" s="72" t="e">
        <f>VLOOKUP(B468,'Cadastro de Produtos'!K:Q,7,0)</f>
        <v>#N/A</v>
      </c>
      <c r="E468" s="73">
        <f>'Cadastro de Produtos'!P446</f>
        <v>0</v>
      </c>
    </row>
    <row r="469" spans="1:5" x14ac:dyDescent="0.3">
      <c r="A469" s="62">
        <f>'Cadastro de Produtos'!O447</f>
        <v>0</v>
      </c>
      <c r="B469" s="63">
        <f>'Cadastro de Produtos'!K447</f>
        <v>0</v>
      </c>
      <c r="C469" s="63">
        <f>'Cadastro de Produtos'!L447</f>
        <v>0</v>
      </c>
      <c r="D469" s="72" t="e">
        <f>VLOOKUP(B469,'Cadastro de Produtos'!K:Q,7,0)</f>
        <v>#N/A</v>
      </c>
      <c r="E469" s="73">
        <f>'Cadastro de Produtos'!P447</f>
        <v>0</v>
      </c>
    </row>
    <row r="470" spans="1:5" x14ac:dyDescent="0.3">
      <c r="A470" s="62">
        <f>'Cadastro de Produtos'!O448</f>
        <v>0</v>
      </c>
      <c r="B470" s="63">
        <f>'Cadastro de Produtos'!K448</f>
        <v>0</v>
      </c>
      <c r="C470" s="63">
        <f>'Cadastro de Produtos'!L448</f>
        <v>0</v>
      </c>
      <c r="D470" s="72" t="e">
        <f>VLOOKUP(B470,'Cadastro de Produtos'!K:Q,7,0)</f>
        <v>#N/A</v>
      </c>
      <c r="E470" s="73">
        <f>'Cadastro de Produtos'!P448</f>
        <v>0</v>
      </c>
    </row>
    <row r="471" spans="1:5" x14ac:dyDescent="0.3">
      <c r="A471" s="62">
        <f>'Cadastro de Produtos'!O449</f>
        <v>0</v>
      </c>
      <c r="B471" s="63">
        <f>'Cadastro de Produtos'!K449</f>
        <v>0</v>
      </c>
      <c r="C471" s="63">
        <f>'Cadastro de Produtos'!L449</f>
        <v>0</v>
      </c>
      <c r="D471" s="72" t="e">
        <f>VLOOKUP(B471,'Cadastro de Produtos'!K:Q,7,0)</f>
        <v>#N/A</v>
      </c>
      <c r="E471" s="73">
        <f>'Cadastro de Produtos'!P449</f>
        <v>0</v>
      </c>
    </row>
    <row r="472" spans="1:5" x14ac:dyDescent="0.3">
      <c r="A472" s="62">
        <f>'Cadastro de Produtos'!O450</f>
        <v>0</v>
      </c>
      <c r="B472" s="63">
        <f>'Cadastro de Produtos'!K450</f>
        <v>0</v>
      </c>
      <c r="C472" s="63">
        <f>'Cadastro de Produtos'!L450</f>
        <v>0</v>
      </c>
      <c r="D472" s="72" t="e">
        <f>VLOOKUP(B472,'Cadastro de Produtos'!K:Q,7,0)</f>
        <v>#N/A</v>
      </c>
      <c r="E472" s="73">
        <f>'Cadastro de Produtos'!P450</f>
        <v>0</v>
      </c>
    </row>
    <row r="473" spans="1:5" x14ac:dyDescent="0.3">
      <c r="A473" s="62">
        <f>'Cadastro de Produtos'!O451</f>
        <v>0</v>
      </c>
      <c r="B473" s="63">
        <f>'Cadastro de Produtos'!K451</f>
        <v>0</v>
      </c>
      <c r="C473" s="63">
        <f>'Cadastro de Produtos'!L451</f>
        <v>0</v>
      </c>
      <c r="D473" s="72" t="e">
        <f>VLOOKUP(B473,'Cadastro de Produtos'!K:Q,7,0)</f>
        <v>#N/A</v>
      </c>
      <c r="E473" s="73">
        <f>'Cadastro de Produtos'!P451</f>
        <v>0</v>
      </c>
    </row>
    <row r="474" spans="1:5" x14ac:dyDescent="0.3">
      <c r="A474" s="62">
        <f>'Cadastro de Produtos'!O452</f>
        <v>0</v>
      </c>
      <c r="B474" s="63">
        <f>'Cadastro de Produtos'!K452</f>
        <v>0</v>
      </c>
      <c r="C474" s="63">
        <f>'Cadastro de Produtos'!L452</f>
        <v>0</v>
      </c>
      <c r="D474" s="72" t="e">
        <f>VLOOKUP(B474,'Cadastro de Produtos'!K:Q,7,0)</f>
        <v>#N/A</v>
      </c>
      <c r="E474" s="73">
        <f>'Cadastro de Produtos'!P452</f>
        <v>0</v>
      </c>
    </row>
    <row r="475" spans="1:5" x14ac:dyDescent="0.3">
      <c r="A475" s="62">
        <f>'Cadastro de Produtos'!O453</f>
        <v>0</v>
      </c>
      <c r="B475" s="63">
        <f>'Cadastro de Produtos'!K453</f>
        <v>0</v>
      </c>
      <c r="C475" s="63">
        <f>'Cadastro de Produtos'!L453</f>
        <v>0</v>
      </c>
      <c r="D475" s="72" t="e">
        <f>VLOOKUP(B475,'Cadastro de Produtos'!K:Q,7,0)</f>
        <v>#N/A</v>
      </c>
      <c r="E475" s="73">
        <f>'Cadastro de Produtos'!P453</f>
        <v>0</v>
      </c>
    </row>
    <row r="476" spans="1:5" x14ac:dyDescent="0.3">
      <c r="A476" s="62">
        <f>'Cadastro de Produtos'!O454</f>
        <v>0</v>
      </c>
      <c r="B476" s="63">
        <f>'Cadastro de Produtos'!K454</f>
        <v>0</v>
      </c>
      <c r="C476" s="63">
        <f>'Cadastro de Produtos'!L454</f>
        <v>0</v>
      </c>
      <c r="D476" s="72" t="e">
        <f>VLOOKUP(B476,'Cadastro de Produtos'!K:Q,7,0)</f>
        <v>#N/A</v>
      </c>
      <c r="E476" s="73">
        <f>'Cadastro de Produtos'!P454</f>
        <v>0</v>
      </c>
    </row>
    <row r="477" spans="1:5" x14ac:dyDescent="0.3">
      <c r="A477" s="62">
        <f>'Cadastro de Produtos'!O455</f>
        <v>0</v>
      </c>
      <c r="B477" s="63">
        <f>'Cadastro de Produtos'!K455</f>
        <v>0</v>
      </c>
      <c r="C477" s="63">
        <f>'Cadastro de Produtos'!L455</f>
        <v>0</v>
      </c>
      <c r="D477" s="72" t="e">
        <f>VLOOKUP(B477,'Cadastro de Produtos'!K:Q,7,0)</f>
        <v>#N/A</v>
      </c>
      <c r="E477" s="73">
        <f>'Cadastro de Produtos'!P455</f>
        <v>0</v>
      </c>
    </row>
    <row r="478" spans="1:5" x14ac:dyDescent="0.3">
      <c r="A478" s="62">
        <f>'Cadastro de Produtos'!O456</f>
        <v>0</v>
      </c>
      <c r="B478" s="63">
        <f>'Cadastro de Produtos'!K456</f>
        <v>0</v>
      </c>
      <c r="C478" s="63">
        <f>'Cadastro de Produtos'!L456</f>
        <v>0</v>
      </c>
      <c r="D478" s="72" t="e">
        <f>VLOOKUP(B478,'Cadastro de Produtos'!K:Q,7,0)</f>
        <v>#N/A</v>
      </c>
      <c r="E478" s="73">
        <f>'Cadastro de Produtos'!P456</f>
        <v>0</v>
      </c>
    </row>
    <row r="479" spans="1:5" x14ac:dyDescent="0.3">
      <c r="A479" s="62">
        <f>'Cadastro de Produtos'!O457</f>
        <v>0</v>
      </c>
      <c r="B479" s="63">
        <f>'Cadastro de Produtos'!K457</f>
        <v>0</v>
      </c>
      <c r="C479" s="63">
        <f>'Cadastro de Produtos'!L457</f>
        <v>0</v>
      </c>
      <c r="D479" s="72" t="e">
        <f>VLOOKUP(B479,'Cadastro de Produtos'!K:Q,7,0)</f>
        <v>#N/A</v>
      </c>
      <c r="E479" s="73">
        <f>'Cadastro de Produtos'!P457</f>
        <v>0</v>
      </c>
    </row>
    <row r="480" spans="1:5" x14ac:dyDescent="0.3">
      <c r="A480" s="62">
        <f>'Cadastro de Produtos'!O458</f>
        <v>0</v>
      </c>
      <c r="B480" s="63">
        <f>'Cadastro de Produtos'!K458</f>
        <v>0</v>
      </c>
      <c r="C480" s="63">
        <f>'Cadastro de Produtos'!L458</f>
        <v>0</v>
      </c>
      <c r="D480" s="72" t="e">
        <f>VLOOKUP(B480,'Cadastro de Produtos'!K:Q,7,0)</f>
        <v>#N/A</v>
      </c>
      <c r="E480" s="73">
        <f>'Cadastro de Produtos'!P458</f>
        <v>0</v>
      </c>
    </row>
    <row r="481" spans="1:5" x14ac:dyDescent="0.3">
      <c r="A481" s="62">
        <f>'Cadastro de Produtos'!O459</f>
        <v>0</v>
      </c>
      <c r="B481" s="63">
        <f>'Cadastro de Produtos'!K459</f>
        <v>0</v>
      </c>
      <c r="C481" s="63">
        <f>'Cadastro de Produtos'!L459</f>
        <v>0</v>
      </c>
      <c r="D481" s="72" t="e">
        <f>VLOOKUP(B481,'Cadastro de Produtos'!K:Q,7,0)</f>
        <v>#N/A</v>
      </c>
      <c r="E481" s="73">
        <f>'Cadastro de Produtos'!P459</f>
        <v>0</v>
      </c>
    </row>
    <row r="482" spans="1:5" x14ac:dyDescent="0.3">
      <c r="A482" s="62">
        <f>'Cadastro de Produtos'!O460</f>
        <v>0</v>
      </c>
      <c r="B482" s="63">
        <f>'Cadastro de Produtos'!K460</f>
        <v>0</v>
      </c>
      <c r="C482" s="63">
        <f>'Cadastro de Produtos'!L460</f>
        <v>0</v>
      </c>
      <c r="D482" s="72" t="e">
        <f>VLOOKUP(B482,'Cadastro de Produtos'!K:Q,7,0)</f>
        <v>#N/A</v>
      </c>
      <c r="E482" s="73">
        <f>'Cadastro de Produtos'!P460</f>
        <v>0</v>
      </c>
    </row>
    <row r="483" spans="1:5" x14ac:dyDescent="0.3">
      <c r="A483" s="62">
        <f>'Cadastro de Produtos'!O461</f>
        <v>0</v>
      </c>
      <c r="B483" s="63">
        <f>'Cadastro de Produtos'!K461</f>
        <v>0</v>
      </c>
      <c r="C483" s="63">
        <f>'Cadastro de Produtos'!L461</f>
        <v>0</v>
      </c>
      <c r="D483" s="72" t="e">
        <f>VLOOKUP(B483,'Cadastro de Produtos'!K:Q,7,0)</f>
        <v>#N/A</v>
      </c>
      <c r="E483" s="73">
        <f>'Cadastro de Produtos'!P461</f>
        <v>0</v>
      </c>
    </row>
    <row r="484" spans="1:5" x14ac:dyDescent="0.3">
      <c r="A484" s="62">
        <f>'Cadastro de Produtos'!O462</f>
        <v>0</v>
      </c>
      <c r="B484" s="63">
        <f>'Cadastro de Produtos'!K462</f>
        <v>0</v>
      </c>
      <c r="C484" s="63">
        <f>'Cadastro de Produtos'!L462</f>
        <v>0</v>
      </c>
      <c r="D484" s="72" t="e">
        <f>VLOOKUP(B484,'Cadastro de Produtos'!K:Q,7,0)</f>
        <v>#N/A</v>
      </c>
      <c r="E484" s="73">
        <f>'Cadastro de Produtos'!P462</f>
        <v>0</v>
      </c>
    </row>
    <row r="485" spans="1:5" x14ac:dyDescent="0.3">
      <c r="A485" s="62">
        <f>'Cadastro de Produtos'!O463</f>
        <v>0</v>
      </c>
      <c r="B485" s="63">
        <f>'Cadastro de Produtos'!K463</f>
        <v>0</v>
      </c>
      <c r="C485" s="63">
        <f>'Cadastro de Produtos'!L463</f>
        <v>0</v>
      </c>
      <c r="D485" s="72" t="e">
        <f>VLOOKUP(B485,'Cadastro de Produtos'!K:Q,7,0)</f>
        <v>#N/A</v>
      </c>
      <c r="E485" s="73">
        <f>'Cadastro de Produtos'!P463</f>
        <v>0</v>
      </c>
    </row>
    <row r="486" spans="1:5" x14ac:dyDescent="0.3">
      <c r="A486" s="62">
        <f>'Cadastro de Produtos'!O464</f>
        <v>0</v>
      </c>
      <c r="B486" s="63">
        <f>'Cadastro de Produtos'!K464</f>
        <v>0</v>
      </c>
      <c r="C486" s="63">
        <f>'Cadastro de Produtos'!L464</f>
        <v>0</v>
      </c>
      <c r="D486" s="72" t="e">
        <f>VLOOKUP(B486,'Cadastro de Produtos'!K:Q,7,0)</f>
        <v>#N/A</v>
      </c>
      <c r="E486" s="73">
        <f>'Cadastro de Produtos'!P464</f>
        <v>0</v>
      </c>
    </row>
    <row r="487" spans="1:5" x14ac:dyDescent="0.3">
      <c r="A487" s="62">
        <f>'Cadastro de Produtos'!O465</f>
        <v>0</v>
      </c>
      <c r="B487" s="63">
        <f>'Cadastro de Produtos'!K465</f>
        <v>0</v>
      </c>
      <c r="C487" s="63">
        <f>'Cadastro de Produtos'!L465</f>
        <v>0</v>
      </c>
      <c r="D487" s="72" t="e">
        <f>VLOOKUP(B487,'Cadastro de Produtos'!K:Q,7,0)</f>
        <v>#N/A</v>
      </c>
      <c r="E487" s="73">
        <f>'Cadastro de Produtos'!P465</f>
        <v>0</v>
      </c>
    </row>
    <row r="488" spans="1:5" x14ac:dyDescent="0.3">
      <c r="A488" s="62">
        <f>'Cadastro de Produtos'!O466</f>
        <v>0</v>
      </c>
      <c r="B488" s="63">
        <f>'Cadastro de Produtos'!K466</f>
        <v>0</v>
      </c>
      <c r="C488" s="63">
        <f>'Cadastro de Produtos'!L466</f>
        <v>0</v>
      </c>
      <c r="D488" s="72" t="e">
        <f>VLOOKUP(B488,'Cadastro de Produtos'!K:Q,7,0)</f>
        <v>#N/A</v>
      </c>
      <c r="E488" s="73">
        <f>'Cadastro de Produtos'!P466</f>
        <v>0</v>
      </c>
    </row>
    <row r="489" spans="1:5" x14ac:dyDescent="0.3">
      <c r="A489" s="62">
        <f>'Cadastro de Produtos'!O467</f>
        <v>0</v>
      </c>
      <c r="B489" s="63">
        <f>'Cadastro de Produtos'!K467</f>
        <v>0</v>
      </c>
      <c r="C489" s="63">
        <f>'Cadastro de Produtos'!L467</f>
        <v>0</v>
      </c>
      <c r="D489" s="72" t="e">
        <f>VLOOKUP(B489,'Cadastro de Produtos'!K:Q,7,0)</f>
        <v>#N/A</v>
      </c>
      <c r="E489" s="73">
        <f>'Cadastro de Produtos'!P467</f>
        <v>0</v>
      </c>
    </row>
    <row r="490" spans="1:5" x14ac:dyDescent="0.3">
      <c r="A490" s="62">
        <f>'Cadastro de Produtos'!O468</f>
        <v>0</v>
      </c>
      <c r="B490" s="63">
        <f>'Cadastro de Produtos'!K468</f>
        <v>0</v>
      </c>
      <c r="C490" s="63">
        <f>'Cadastro de Produtos'!L468</f>
        <v>0</v>
      </c>
      <c r="D490" s="72" t="e">
        <f>VLOOKUP(B490,'Cadastro de Produtos'!K:Q,7,0)</f>
        <v>#N/A</v>
      </c>
      <c r="E490" s="73">
        <f>'Cadastro de Produtos'!P468</f>
        <v>0</v>
      </c>
    </row>
    <row r="491" spans="1:5" x14ac:dyDescent="0.3">
      <c r="A491" s="62">
        <f>'Cadastro de Produtos'!O469</f>
        <v>0</v>
      </c>
      <c r="B491" s="63">
        <f>'Cadastro de Produtos'!K469</f>
        <v>0</v>
      </c>
      <c r="C491" s="63">
        <f>'Cadastro de Produtos'!L469</f>
        <v>0</v>
      </c>
      <c r="D491" s="72" t="e">
        <f>VLOOKUP(B491,'Cadastro de Produtos'!K:Q,7,0)</f>
        <v>#N/A</v>
      </c>
      <c r="E491" s="73">
        <f>'Cadastro de Produtos'!P469</f>
        <v>0</v>
      </c>
    </row>
    <row r="492" spans="1:5" x14ac:dyDescent="0.3">
      <c r="A492" s="62">
        <f>'Cadastro de Produtos'!O470</f>
        <v>0</v>
      </c>
      <c r="B492" s="63">
        <f>'Cadastro de Produtos'!K470</f>
        <v>0</v>
      </c>
      <c r="C492" s="63">
        <f>'Cadastro de Produtos'!L470</f>
        <v>0</v>
      </c>
      <c r="D492" s="72" t="e">
        <f>VLOOKUP(B492,'Cadastro de Produtos'!K:Q,7,0)</f>
        <v>#N/A</v>
      </c>
      <c r="E492" s="73">
        <f>'Cadastro de Produtos'!P470</f>
        <v>0</v>
      </c>
    </row>
    <row r="493" spans="1:5" x14ac:dyDescent="0.3">
      <c r="A493" s="62">
        <f>'Cadastro de Produtos'!O471</f>
        <v>0</v>
      </c>
      <c r="B493" s="63">
        <f>'Cadastro de Produtos'!K471</f>
        <v>0</v>
      </c>
      <c r="C493" s="63">
        <f>'Cadastro de Produtos'!L471</f>
        <v>0</v>
      </c>
      <c r="D493" s="72" t="e">
        <f>VLOOKUP(B493,'Cadastro de Produtos'!K:Q,7,0)</f>
        <v>#N/A</v>
      </c>
      <c r="E493" s="73">
        <f>'Cadastro de Produtos'!P471</f>
        <v>0</v>
      </c>
    </row>
    <row r="494" spans="1:5" x14ac:dyDescent="0.3">
      <c r="A494" s="62">
        <f>'Cadastro de Produtos'!O472</f>
        <v>0</v>
      </c>
      <c r="B494" s="63">
        <f>'Cadastro de Produtos'!K472</f>
        <v>0</v>
      </c>
      <c r="C494" s="63">
        <f>'Cadastro de Produtos'!L472</f>
        <v>0</v>
      </c>
      <c r="D494" s="72" t="e">
        <f>VLOOKUP(B494,'Cadastro de Produtos'!K:Q,7,0)</f>
        <v>#N/A</v>
      </c>
      <c r="E494" s="73">
        <f>'Cadastro de Produtos'!P472</f>
        <v>0</v>
      </c>
    </row>
    <row r="495" spans="1:5" x14ac:dyDescent="0.3">
      <c r="A495" s="62">
        <f>'Cadastro de Produtos'!O473</f>
        <v>0</v>
      </c>
      <c r="B495" s="63">
        <f>'Cadastro de Produtos'!K473</f>
        <v>0</v>
      </c>
      <c r="C495" s="63">
        <f>'Cadastro de Produtos'!L473</f>
        <v>0</v>
      </c>
      <c r="D495" s="72" t="e">
        <f>VLOOKUP(B495,'Cadastro de Produtos'!K:Q,7,0)</f>
        <v>#N/A</v>
      </c>
      <c r="E495" s="73">
        <f>'Cadastro de Produtos'!P473</f>
        <v>0</v>
      </c>
    </row>
    <row r="496" spans="1:5" x14ac:dyDescent="0.3">
      <c r="A496" s="62">
        <f>'Cadastro de Produtos'!O474</f>
        <v>0</v>
      </c>
      <c r="B496" s="63">
        <f>'Cadastro de Produtos'!K474</f>
        <v>0</v>
      </c>
      <c r="C496" s="63">
        <f>'Cadastro de Produtos'!L474</f>
        <v>0</v>
      </c>
      <c r="D496" s="72" t="e">
        <f>VLOOKUP(B496,'Cadastro de Produtos'!K:Q,7,0)</f>
        <v>#N/A</v>
      </c>
      <c r="E496" s="73">
        <f>'Cadastro de Produtos'!P474</f>
        <v>0</v>
      </c>
    </row>
    <row r="497" spans="1:5" x14ac:dyDescent="0.3">
      <c r="A497" s="62">
        <f>'Cadastro de Produtos'!O475</f>
        <v>0</v>
      </c>
      <c r="B497" s="63">
        <f>'Cadastro de Produtos'!K475</f>
        <v>0</v>
      </c>
      <c r="C497" s="63">
        <f>'Cadastro de Produtos'!L475</f>
        <v>0</v>
      </c>
      <c r="D497" s="72" t="e">
        <f>VLOOKUP(B497,'Cadastro de Produtos'!K:Q,7,0)</f>
        <v>#N/A</v>
      </c>
      <c r="E497" s="73">
        <f>'Cadastro de Produtos'!P475</f>
        <v>0</v>
      </c>
    </row>
    <row r="498" spans="1:5" x14ac:dyDescent="0.3">
      <c r="A498" s="62">
        <f>'Cadastro de Produtos'!O476</f>
        <v>0</v>
      </c>
      <c r="B498" s="63">
        <f>'Cadastro de Produtos'!K476</f>
        <v>0</v>
      </c>
      <c r="C498" s="63">
        <f>'Cadastro de Produtos'!L476</f>
        <v>0</v>
      </c>
      <c r="D498" s="72" t="e">
        <f>VLOOKUP(B498,'Cadastro de Produtos'!K:Q,7,0)</f>
        <v>#N/A</v>
      </c>
      <c r="E498" s="73">
        <f>'Cadastro de Produtos'!P476</f>
        <v>0</v>
      </c>
    </row>
    <row r="499" spans="1:5" x14ac:dyDescent="0.3">
      <c r="A499" s="62">
        <f>'Cadastro de Produtos'!O477</f>
        <v>0</v>
      </c>
      <c r="B499" s="63">
        <f>'Cadastro de Produtos'!K477</f>
        <v>0</v>
      </c>
      <c r="C499" s="63">
        <f>'Cadastro de Produtos'!L477</f>
        <v>0</v>
      </c>
      <c r="D499" s="72" t="e">
        <f>VLOOKUP(B499,'Cadastro de Produtos'!K:Q,7,0)</f>
        <v>#N/A</v>
      </c>
      <c r="E499" s="73">
        <f>'Cadastro de Produtos'!P477</f>
        <v>0</v>
      </c>
    </row>
    <row r="500" spans="1:5" x14ac:dyDescent="0.3">
      <c r="A500" s="62">
        <f>'Cadastro de Produtos'!O478</f>
        <v>0</v>
      </c>
      <c r="B500" s="63">
        <f>'Cadastro de Produtos'!K478</f>
        <v>0</v>
      </c>
      <c r="C500" s="63">
        <f>'Cadastro de Produtos'!L478</f>
        <v>0</v>
      </c>
      <c r="D500" s="72" t="e">
        <f>VLOOKUP(B500,'Cadastro de Produtos'!K:Q,7,0)</f>
        <v>#N/A</v>
      </c>
      <c r="E500" s="73">
        <f>'Cadastro de Produtos'!P478</f>
        <v>0</v>
      </c>
    </row>
    <row r="501" spans="1:5" x14ac:dyDescent="0.3">
      <c r="A501" s="62">
        <f>'Cadastro de Produtos'!O479</f>
        <v>0</v>
      </c>
      <c r="B501" s="63">
        <f>'Cadastro de Produtos'!K479</f>
        <v>0</v>
      </c>
      <c r="C501" s="63">
        <f>'Cadastro de Produtos'!L479</f>
        <v>0</v>
      </c>
      <c r="D501" s="72" t="e">
        <f>VLOOKUP(B501,'Cadastro de Produtos'!K:Q,7,0)</f>
        <v>#N/A</v>
      </c>
      <c r="E501" s="73">
        <f>'Cadastro de Produtos'!P479</f>
        <v>0</v>
      </c>
    </row>
    <row r="502" spans="1:5" x14ac:dyDescent="0.3">
      <c r="A502" s="62">
        <f>'Cadastro de Produtos'!O480</f>
        <v>0</v>
      </c>
      <c r="B502" s="63">
        <f>'Cadastro de Produtos'!K480</f>
        <v>0</v>
      </c>
      <c r="C502" s="63">
        <f>'Cadastro de Produtos'!L480</f>
        <v>0</v>
      </c>
      <c r="D502" s="72" t="e">
        <f>VLOOKUP(B502,'Cadastro de Produtos'!K:Q,7,0)</f>
        <v>#N/A</v>
      </c>
      <c r="E502" s="73">
        <f>'Cadastro de Produtos'!P480</f>
        <v>0</v>
      </c>
    </row>
    <row r="503" spans="1:5" x14ac:dyDescent="0.3">
      <c r="A503" s="62">
        <f>'Cadastro de Produtos'!O481</f>
        <v>0</v>
      </c>
      <c r="B503" s="63">
        <f>'Cadastro de Produtos'!K481</f>
        <v>0</v>
      </c>
      <c r="C503" s="63">
        <f>'Cadastro de Produtos'!L481</f>
        <v>0</v>
      </c>
      <c r="D503" s="72" t="e">
        <f>VLOOKUP(B503,'Cadastro de Produtos'!K:Q,7,0)</f>
        <v>#N/A</v>
      </c>
      <c r="E503" s="73">
        <f>'Cadastro de Produtos'!P481</f>
        <v>0</v>
      </c>
    </row>
    <row r="504" spans="1:5" x14ac:dyDescent="0.3">
      <c r="A504" s="62">
        <f>'Cadastro de Produtos'!O482</f>
        <v>0</v>
      </c>
      <c r="B504" s="63">
        <f>'Cadastro de Produtos'!K482</f>
        <v>0</v>
      </c>
      <c r="C504" s="63">
        <f>'Cadastro de Produtos'!L482</f>
        <v>0</v>
      </c>
      <c r="D504" s="72" t="e">
        <f>VLOOKUP(B504,'Cadastro de Produtos'!K:Q,7,0)</f>
        <v>#N/A</v>
      </c>
      <c r="E504" s="73">
        <f>'Cadastro de Produtos'!P482</f>
        <v>0</v>
      </c>
    </row>
    <row r="505" spans="1:5" x14ac:dyDescent="0.3">
      <c r="A505" s="62">
        <f>'Cadastro de Produtos'!O483</f>
        <v>0</v>
      </c>
      <c r="B505" s="63">
        <f>'Cadastro de Produtos'!K483</f>
        <v>0</v>
      </c>
      <c r="C505" s="63">
        <f>'Cadastro de Produtos'!L483</f>
        <v>0</v>
      </c>
      <c r="D505" s="72" t="e">
        <f>VLOOKUP(B505,'Cadastro de Produtos'!K:Q,7,0)</f>
        <v>#N/A</v>
      </c>
      <c r="E505" s="73">
        <f>'Cadastro de Produtos'!P483</f>
        <v>0</v>
      </c>
    </row>
    <row r="506" spans="1:5" x14ac:dyDescent="0.3">
      <c r="A506" s="62">
        <f>'Cadastro de Produtos'!O484</f>
        <v>0</v>
      </c>
      <c r="B506" s="63">
        <f>'Cadastro de Produtos'!K484</f>
        <v>0</v>
      </c>
      <c r="C506" s="63">
        <f>'Cadastro de Produtos'!L484</f>
        <v>0</v>
      </c>
      <c r="D506" s="72" t="e">
        <f>VLOOKUP(B506,'Cadastro de Produtos'!K:Q,7,0)</f>
        <v>#N/A</v>
      </c>
      <c r="E506" s="73">
        <f>'Cadastro de Produtos'!P484</f>
        <v>0</v>
      </c>
    </row>
    <row r="507" spans="1:5" x14ac:dyDescent="0.3">
      <c r="A507" s="62">
        <f>'Cadastro de Produtos'!O485</f>
        <v>0</v>
      </c>
      <c r="B507" s="63">
        <f>'Cadastro de Produtos'!K485</f>
        <v>0</v>
      </c>
      <c r="C507" s="63">
        <f>'Cadastro de Produtos'!L485</f>
        <v>0</v>
      </c>
      <c r="D507" s="72" t="e">
        <f>VLOOKUP(B507,'Cadastro de Produtos'!K:Q,7,0)</f>
        <v>#N/A</v>
      </c>
      <c r="E507" s="73">
        <f>'Cadastro de Produtos'!P485</f>
        <v>0</v>
      </c>
    </row>
    <row r="508" spans="1:5" x14ac:dyDescent="0.3">
      <c r="A508" s="62">
        <f>'Cadastro de Produtos'!O486</f>
        <v>0</v>
      </c>
      <c r="B508" s="63">
        <f>'Cadastro de Produtos'!K486</f>
        <v>0</v>
      </c>
      <c r="C508" s="63">
        <f>'Cadastro de Produtos'!L486</f>
        <v>0</v>
      </c>
      <c r="D508" s="72" t="e">
        <f>VLOOKUP(B508,'Cadastro de Produtos'!K:Q,7,0)</f>
        <v>#N/A</v>
      </c>
      <c r="E508" s="73">
        <f>'Cadastro de Produtos'!P486</f>
        <v>0</v>
      </c>
    </row>
    <row r="509" spans="1:5" x14ac:dyDescent="0.3">
      <c r="A509" s="62">
        <f>'Cadastro de Produtos'!O487</f>
        <v>0</v>
      </c>
      <c r="B509" s="63">
        <f>'Cadastro de Produtos'!K487</f>
        <v>0</v>
      </c>
      <c r="C509" s="63">
        <f>'Cadastro de Produtos'!L487</f>
        <v>0</v>
      </c>
      <c r="D509" s="72" t="e">
        <f>VLOOKUP(B509,'Cadastro de Produtos'!K:Q,7,0)</f>
        <v>#N/A</v>
      </c>
      <c r="E509" s="73">
        <f>'Cadastro de Produtos'!P487</f>
        <v>0</v>
      </c>
    </row>
    <row r="510" spans="1:5" x14ac:dyDescent="0.3">
      <c r="A510" s="62">
        <f>'Cadastro de Produtos'!O488</f>
        <v>0</v>
      </c>
      <c r="B510" s="63">
        <f>'Cadastro de Produtos'!K488</f>
        <v>0</v>
      </c>
      <c r="C510" s="63">
        <f>'Cadastro de Produtos'!L488</f>
        <v>0</v>
      </c>
      <c r="D510" s="72" t="e">
        <f>VLOOKUP(B510,'Cadastro de Produtos'!K:Q,7,0)</f>
        <v>#N/A</v>
      </c>
      <c r="E510" s="73">
        <f>'Cadastro de Produtos'!P488</f>
        <v>0</v>
      </c>
    </row>
    <row r="511" spans="1:5" x14ac:dyDescent="0.3">
      <c r="A511" s="62">
        <f>'Cadastro de Produtos'!O489</f>
        <v>0</v>
      </c>
      <c r="B511" s="63">
        <f>'Cadastro de Produtos'!K489</f>
        <v>0</v>
      </c>
      <c r="C511" s="63">
        <f>'Cadastro de Produtos'!L489</f>
        <v>0</v>
      </c>
      <c r="D511" s="72" t="e">
        <f>VLOOKUP(B511,'Cadastro de Produtos'!K:Q,7,0)</f>
        <v>#N/A</v>
      </c>
      <c r="E511" s="73">
        <f>'Cadastro de Produtos'!P489</f>
        <v>0</v>
      </c>
    </row>
    <row r="512" spans="1:5" x14ac:dyDescent="0.3">
      <c r="A512" s="62">
        <f>'Cadastro de Produtos'!O490</f>
        <v>0</v>
      </c>
      <c r="B512" s="63">
        <f>'Cadastro de Produtos'!K490</f>
        <v>0</v>
      </c>
      <c r="C512" s="63">
        <f>'Cadastro de Produtos'!L490</f>
        <v>0</v>
      </c>
      <c r="D512" s="72" t="e">
        <f>VLOOKUP(B512,'Cadastro de Produtos'!K:Q,7,0)</f>
        <v>#N/A</v>
      </c>
      <c r="E512" s="73">
        <f>'Cadastro de Produtos'!P490</f>
        <v>0</v>
      </c>
    </row>
    <row r="513" spans="1:5" x14ac:dyDescent="0.3">
      <c r="A513" s="62">
        <f>'Cadastro de Produtos'!O491</f>
        <v>0</v>
      </c>
      <c r="B513" s="63">
        <f>'Cadastro de Produtos'!K491</f>
        <v>0</v>
      </c>
      <c r="C513" s="63">
        <f>'Cadastro de Produtos'!L491</f>
        <v>0</v>
      </c>
      <c r="D513" s="72" t="e">
        <f>VLOOKUP(B513,'Cadastro de Produtos'!K:Q,7,0)</f>
        <v>#N/A</v>
      </c>
      <c r="E513" s="73">
        <f>'Cadastro de Produtos'!P491</f>
        <v>0</v>
      </c>
    </row>
    <row r="514" spans="1:5" x14ac:dyDescent="0.3">
      <c r="A514" s="62">
        <f>'Cadastro de Produtos'!O492</f>
        <v>0</v>
      </c>
      <c r="B514" s="63">
        <f>'Cadastro de Produtos'!K492</f>
        <v>0</v>
      </c>
      <c r="C514" s="63">
        <f>'Cadastro de Produtos'!L492</f>
        <v>0</v>
      </c>
      <c r="D514" s="72" t="e">
        <f>VLOOKUP(B514,'Cadastro de Produtos'!K:Q,7,0)</f>
        <v>#N/A</v>
      </c>
      <c r="E514" s="73">
        <f>'Cadastro de Produtos'!P492</f>
        <v>0</v>
      </c>
    </row>
    <row r="515" spans="1:5" x14ac:dyDescent="0.3">
      <c r="A515" s="62">
        <f>'Cadastro de Produtos'!O493</f>
        <v>0</v>
      </c>
      <c r="B515" s="63">
        <f>'Cadastro de Produtos'!K493</f>
        <v>0</v>
      </c>
      <c r="C515" s="63">
        <f>'Cadastro de Produtos'!L493</f>
        <v>0</v>
      </c>
      <c r="D515" s="72" t="e">
        <f>VLOOKUP(B515,'Cadastro de Produtos'!K:Q,7,0)</f>
        <v>#N/A</v>
      </c>
      <c r="E515" s="73">
        <f>'Cadastro de Produtos'!P493</f>
        <v>0</v>
      </c>
    </row>
    <row r="516" spans="1:5" x14ac:dyDescent="0.3">
      <c r="A516" s="62">
        <f>'Cadastro de Produtos'!O494</f>
        <v>0</v>
      </c>
      <c r="B516" s="63">
        <f>'Cadastro de Produtos'!K494</f>
        <v>0</v>
      </c>
      <c r="C516" s="63">
        <f>'Cadastro de Produtos'!L494</f>
        <v>0</v>
      </c>
      <c r="D516" s="72" t="e">
        <f>VLOOKUP(B516,'Cadastro de Produtos'!K:Q,7,0)</f>
        <v>#N/A</v>
      </c>
      <c r="E516" s="73">
        <f>'Cadastro de Produtos'!P494</f>
        <v>0</v>
      </c>
    </row>
    <row r="517" spans="1:5" x14ac:dyDescent="0.3">
      <c r="A517" s="62">
        <f>'Cadastro de Produtos'!O495</f>
        <v>0</v>
      </c>
      <c r="B517" s="63">
        <f>'Cadastro de Produtos'!K495</f>
        <v>0</v>
      </c>
      <c r="C517" s="63">
        <f>'Cadastro de Produtos'!L495</f>
        <v>0</v>
      </c>
      <c r="D517" s="72" t="e">
        <f>VLOOKUP(B517,'Cadastro de Produtos'!K:Q,7,0)</f>
        <v>#N/A</v>
      </c>
      <c r="E517" s="73">
        <f>'Cadastro de Produtos'!P495</f>
        <v>0</v>
      </c>
    </row>
    <row r="518" spans="1:5" x14ac:dyDescent="0.3">
      <c r="A518" s="62">
        <f>'Cadastro de Produtos'!O496</f>
        <v>0</v>
      </c>
      <c r="B518" s="63">
        <f>'Cadastro de Produtos'!K496</f>
        <v>0</v>
      </c>
      <c r="C518" s="63">
        <f>'Cadastro de Produtos'!L496</f>
        <v>0</v>
      </c>
      <c r="D518" s="72" t="e">
        <f>VLOOKUP(B518,'Cadastro de Produtos'!K:Q,7,0)</f>
        <v>#N/A</v>
      </c>
      <c r="E518" s="73">
        <f>'Cadastro de Produtos'!P496</f>
        <v>0</v>
      </c>
    </row>
    <row r="519" spans="1:5" x14ac:dyDescent="0.3">
      <c r="A519" s="62">
        <f>'Cadastro de Produtos'!O497</f>
        <v>0</v>
      </c>
      <c r="B519" s="63">
        <f>'Cadastro de Produtos'!K497</f>
        <v>0</v>
      </c>
      <c r="C519" s="63">
        <f>'Cadastro de Produtos'!L497</f>
        <v>0</v>
      </c>
      <c r="D519" s="72" t="e">
        <f>VLOOKUP(B519,'Cadastro de Produtos'!K:Q,7,0)</f>
        <v>#N/A</v>
      </c>
      <c r="E519" s="73">
        <f>'Cadastro de Produtos'!P497</f>
        <v>0</v>
      </c>
    </row>
    <row r="520" spans="1:5" x14ac:dyDescent="0.3">
      <c r="A520" s="62">
        <f>'Cadastro de Produtos'!O498</f>
        <v>0</v>
      </c>
      <c r="B520" s="63">
        <f>'Cadastro de Produtos'!K498</f>
        <v>0</v>
      </c>
      <c r="C520" s="63">
        <f>'Cadastro de Produtos'!L498</f>
        <v>0</v>
      </c>
      <c r="D520" s="72" t="e">
        <f>VLOOKUP(B520,'Cadastro de Produtos'!K:Q,7,0)</f>
        <v>#N/A</v>
      </c>
      <c r="E520" s="73">
        <f>'Cadastro de Produtos'!P498</f>
        <v>0</v>
      </c>
    </row>
    <row r="521" spans="1:5" x14ac:dyDescent="0.3">
      <c r="A521" s="62">
        <f>'Cadastro de Produtos'!O499</f>
        <v>0</v>
      </c>
      <c r="B521" s="63">
        <f>'Cadastro de Produtos'!K499</f>
        <v>0</v>
      </c>
      <c r="C521" s="63">
        <f>'Cadastro de Produtos'!L499</f>
        <v>0</v>
      </c>
      <c r="D521" s="72" t="e">
        <f>VLOOKUP(B521,'Cadastro de Produtos'!K:Q,7,0)</f>
        <v>#N/A</v>
      </c>
      <c r="E521" s="73">
        <f>'Cadastro de Produtos'!P499</f>
        <v>0</v>
      </c>
    </row>
    <row r="522" spans="1:5" x14ac:dyDescent="0.3">
      <c r="A522" s="62">
        <f>'Cadastro de Produtos'!O500</f>
        <v>0</v>
      </c>
      <c r="B522" s="63">
        <f>'Cadastro de Produtos'!K500</f>
        <v>0</v>
      </c>
      <c r="C522" s="63">
        <f>'Cadastro de Produtos'!L500</f>
        <v>0</v>
      </c>
      <c r="D522" s="72" t="e">
        <f>VLOOKUP(B522,'Cadastro de Produtos'!K:Q,7,0)</f>
        <v>#N/A</v>
      </c>
      <c r="E522" s="73">
        <f>'Cadastro de Produtos'!P500</f>
        <v>0</v>
      </c>
    </row>
    <row r="523" spans="1:5" x14ac:dyDescent="0.3">
      <c r="A523" s="62">
        <f>'Cadastro de Produtos'!O501</f>
        <v>0</v>
      </c>
      <c r="B523" s="63">
        <f>'Cadastro de Produtos'!K501</f>
        <v>0</v>
      </c>
      <c r="C523" s="63">
        <f>'Cadastro de Produtos'!L501</f>
        <v>0</v>
      </c>
      <c r="D523" s="72" t="e">
        <f>VLOOKUP(B523,'Cadastro de Produtos'!K:Q,7,0)</f>
        <v>#N/A</v>
      </c>
      <c r="E523" s="73">
        <f>'Cadastro de Produtos'!P501</f>
        <v>0</v>
      </c>
    </row>
    <row r="524" spans="1:5" x14ac:dyDescent="0.3">
      <c r="A524" s="62">
        <f>'Cadastro de Produtos'!O502</f>
        <v>0</v>
      </c>
      <c r="B524" s="63">
        <f>'Cadastro de Produtos'!K502</f>
        <v>0</v>
      </c>
      <c r="C524" s="63">
        <f>'Cadastro de Produtos'!L502</f>
        <v>0</v>
      </c>
      <c r="D524" s="72" t="e">
        <f>VLOOKUP(B524,'Cadastro de Produtos'!K:Q,7,0)</f>
        <v>#N/A</v>
      </c>
      <c r="E524" s="73">
        <f>'Cadastro de Produtos'!P502</f>
        <v>0</v>
      </c>
    </row>
    <row r="525" spans="1:5" x14ac:dyDescent="0.3">
      <c r="A525" s="62">
        <f>'Cadastro de Produtos'!O503</f>
        <v>0</v>
      </c>
      <c r="B525" s="63">
        <f>'Cadastro de Produtos'!K503</f>
        <v>0</v>
      </c>
      <c r="C525" s="63">
        <f>'Cadastro de Produtos'!L503</f>
        <v>0</v>
      </c>
      <c r="D525" s="72" t="e">
        <f>VLOOKUP(B525,'Cadastro de Produtos'!K:Q,7,0)</f>
        <v>#N/A</v>
      </c>
      <c r="E525" s="73">
        <f>'Cadastro de Produtos'!P503</f>
        <v>0</v>
      </c>
    </row>
    <row r="526" spans="1:5" x14ac:dyDescent="0.3">
      <c r="A526" s="62">
        <f>'Cadastro de Produtos'!O504</f>
        <v>0</v>
      </c>
      <c r="B526" s="63">
        <f>'Cadastro de Produtos'!K504</f>
        <v>0</v>
      </c>
      <c r="C526" s="63">
        <f>'Cadastro de Produtos'!L504</f>
        <v>0</v>
      </c>
      <c r="D526" s="72" t="e">
        <f>VLOOKUP(B526,'Cadastro de Produtos'!K:Q,7,0)</f>
        <v>#N/A</v>
      </c>
      <c r="E526" s="73">
        <f>'Cadastro de Produtos'!P504</f>
        <v>0</v>
      </c>
    </row>
    <row r="527" spans="1:5" x14ac:dyDescent="0.3">
      <c r="A527" s="62">
        <f>'Cadastro de Produtos'!O505</f>
        <v>0</v>
      </c>
      <c r="B527" s="63">
        <f>'Cadastro de Produtos'!K505</f>
        <v>0</v>
      </c>
      <c r="C527" s="63">
        <f>'Cadastro de Produtos'!L505</f>
        <v>0</v>
      </c>
      <c r="D527" s="72" t="e">
        <f>VLOOKUP(B527,'Cadastro de Produtos'!K:Q,7,0)</f>
        <v>#N/A</v>
      </c>
      <c r="E527" s="73">
        <f>'Cadastro de Produtos'!P505</f>
        <v>0</v>
      </c>
    </row>
    <row r="528" spans="1:5" x14ac:dyDescent="0.3">
      <c r="A528" s="62">
        <f>'Cadastro de Produtos'!O506</f>
        <v>0</v>
      </c>
      <c r="B528" s="63">
        <f>'Cadastro de Produtos'!K506</f>
        <v>0</v>
      </c>
      <c r="C528" s="63">
        <f>'Cadastro de Produtos'!L506</f>
        <v>0</v>
      </c>
      <c r="D528" s="72" t="e">
        <f>VLOOKUP(B528,'Cadastro de Produtos'!K:Q,7,0)</f>
        <v>#N/A</v>
      </c>
      <c r="E528" s="73">
        <f>'Cadastro de Produtos'!P506</f>
        <v>0</v>
      </c>
    </row>
    <row r="529" spans="1:5" x14ac:dyDescent="0.3">
      <c r="A529" s="62">
        <f>'Cadastro de Produtos'!O507</f>
        <v>0</v>
      </c>
      <c r="B529" s="63">
        <f>'Cadastro de Produtos'!K507</f>
        <v>0</v>
      </c>
      <c r="C529" s="63">
        <f>'Cadastro de Produtos'!L507</f>
        <v>0</v>
      </c>
      <c r="D529" s="72" t="e">
        <f>VLOOKUP(B529,'Cadastro de Produtos'!K:Q,7,0)</f>
        <v>#N/A</v>
      </c>
      <c r="E529" s="73">
        <f>'Cadastro de Produtos'!P507</f>
        <v>0</v>
      </c>
    </row>
    <row r="530" spans="1:5" x14ac:dyDescent="0.3">
      <c r="A530" s="62">
        <f>'Cadastro de Produtos'!O508</f>
        <v>0</v>
      </c>
      <c r="B530" s="63">
        <f>'Cadastro de Produtos'!K508</f>
        <v>0</v>
      </c>
      <c r="C530" s="63">
        <f>'Cadastro de Produtos'!L508</f>
        <v>0</v>
      </c>
      <c r="D530" s="72" t="e">
        <f>VLOOKUP(B530,'Cadastro de Produtos'!K:Q,7,0)</f>
        <v>#N/A</v>
      </c>
      <c r="E530" s="73">
        <f>'Cadastro de Produtos'!P508</f>
        <v>0</v>
      </c>
    </row>
    <row r="531" spans="1:5" x14ac:dyDescent="0.3">
      <c r="A531" s="62">
        <f>'Cadastro de Produtos'!O509</f>
        <v>0</v>
      </c>
      <c r="B531" s="63">
        <f>'Cadastro de Produtos'!K509</f>
        <v>0</v>
      </c>
      <c r="C531" s="63">
        <f>'Cadastro de Produtos'!L509</f>
        <v>0</v>
      </c>
      <c r="D531" s="72" t="e">
        <f>VLOOKUP(B531,'Cadastro de Produtos'!K:Q,7,0)</f>
        <v>#N/A</v>
      </c>
      <c r="E531" s="73">
        <f>'Cadastro de Produtos'!P509</f>
        <v>0</v>
      </c>
    </row>
    <row r="532" spans="1:5" x14ac:dyDescent="0.3">
      <c r="A532" s="62">
        <f>'Cadastro de Produtos'!O510</f>
        <v>0</v>
      </c>
      <c r="B532" s="63">
        <f>'Cadastro de Produtos'!K510</f>
        <v>0</v>
      </c>
      <c r="C532" s="63">
        <f>'Cadastro de Produtos'!L510</f>
        <v>0</v>
      </c>
      <c r="D532" s="72" t="e">
        <f>VLOOKUP(B532,'Cadastro de Produtos'!K:Q,7,0)</f>
        <v>#N/A</v>
      </c>
      <c r="E532" s="73">
        <f>'Cadastro de Produtos'!P510</f>
        <v>0</v>
      </c>
    </row>
    <row r="533" spans="1:5" x14ac:dyDescent="0.3">
      <c r="A533" s="62">
        <f>'Cadastro de Produtos'!O511</f>
        <v>0</v>
      </c>
      <c r="B533" s="63">
        <f>'Cadastro de Produtos'!K511</f>
        <v>0</v>
      </c>
      <c r="C533" s="63">
        <f>'Cadastro de Produtos'!L511</f>
        <v>0</v>
      </c>
      <c r="D533" s="72" t="e">
        <f>VLOOKUP(B533,'Cadastro de Produtos'!K:Q,7,0)</f>
        <v>#N/A</v>
      </c>
      <c r="E533" s="73">
        <f>'Cadastro de Produtos'!P511</f>
        <v>0</v>
      </c>
    </row>
    <row r="534" spans="1:5" x14ac:dyDescent="0.3">
      <c r="A534" s="62">
        <f>'Cadastro de Produtos'!O512</f>
        <v>0</v>
      </c>
      <c r="B534" s="63">
        <f>'Cadastro de Produtos'!K512</f>
        <v>0</v>
      </c>
      <c r="C534" s="63">
        <f>'Cadastro de Produtos'!L512</f>
        <v>0</v>
      </c>
      <c r="D534" s="72" t="e">
        <f>VLOOKUP(B534,'Cadastro de Produtos'!K:Q,7,0)</f>
        <v>#N/A</v>
      </c>
      <c r="E534" s="73">
        <f>'Cadastro de Produtos'!P512</f>
        <v>0</v>
      </c>
    </row>
    <row r="535" spans="1:5" x14ac:dyDescent="0.3">
      <c r="A535" s="62">
        <f>'Cadastro de Produtos'!O513</f>
        <v>0</v>
      </c>
      <c r="B535" s="63">
        <f>'Cadastro de Produtos'!K513</f>
        <v>0</v>
      </c>
      <c r="C535" s="63">
        <f>'Cadastro de Produtos'!L513</f>
        <v>0</v>
      </c>
      <c r="D535" s="72" t="e">
        <f>VLOOKUP(B535,'Cadastro de Produtos'!K:Q,7,0)</f>
        <v>#N/A</v>
      </c>
      <c r="E535" s="73">
        <f>'Cadastro de Produtos'!P513</f>
        <v>0</v>
      </c>
    </row>
    <row r="536" spans="1:5" x14ac:dyDescent="0.3">
      <c r="A536" s="62">
        <f>'Cadastro de Produtos'!O514</f>
        <v>0</v>
      </c>
      <c r="B536" s="63">
        <f>'Cadastro de Produtos'!K514</f>
        <v>0</v>
      </c>
      <c r="C536" s="63">
        <f>'Cadastro de Produtos'!L514</f>
        <v>0</v>
      </c>
      <c r="D536" s="72" t="e">
        <f>VLOOKUP(B536,'Cadastro de Produtos'!K:Q,7,0)</f>
        <v>#N/A</v>
      </c>
      <c r="E536" s="73">
        <f>'Cadastro de Produtos'!P514</f>
        <v>0</v>
      </c>
    </row>
    <row r="537" spans="1:5" x14ac:dyDescent="0.3">
      <c r="A537" s="62">
        <f>'Cadastro de Produtos'!O515</f>
        <v>0</v>
      </c>
      <c r="B537" s="63">
        <f>'Cadastro de Produtos'!K515</f>
        <v>0</v>
      </c>
      <c r="C537" s="63">
        <f>'Cadastro de Produtos'!L515</f>
        <v>0</v>
      </c>
      <c r="D537" s="72" t="e">
        <f>VLOOKUP(B537,'Cadastro de Produtos'!K:Q,7,0)</f>
        <v>#N/A</v>
      </c>
      <c r="E537" s="73">
        <f>'Cadastro de Produtos'!P515</f>
        <v>0</v>
      </c>
    </row>
    <row r="538" spans="1:5" x14ac:dyDescent="0.3">
      <c r="A538" s="62">
        <f>'Cadastro de Produtos'!O516</f>
        <v>0</v>
      </c>
      <c r="B538" s="63">
        <f>'Cadastro de Produtos'!K516</f>
        <v>0</v>
      </c>
      <c r="C538" s="63">
        <f>'Cadastro de Produtos'!L516</f>
        <v>0</v>
      </c>
      <c r="D538" s="72" t="e">
        <f>VLOOKUP(B538,'Cadastro de Produtos'!K:Q,7,0)</f>
        <v>#N/A</v>
      </c>
      <c r="E538" s="73">
        <f>'Cadastro de Produtos'!P516</f>
        <v>0</v>
      </c>
    </row>
    <row r="539" spans="1:5" x14ac:dyDescent="0.3">
      <c r="A539" s="62">
        <f>'Cadastro de Produtos'!O517</f>
        <v>0</v>
      </c>
      <c r="B539" s="63">
        <f>'Cadastro de Produtos'!K517</f>
        <v>0</v>
      </c>
      <c r="C539" s="63">
        <f>'Cadastro de Produtos'!L517</f>
        <v>0</v>
      </c>
      <c r="D539" s="72" t="e">
        <f>VLOOKUP(B539,'Cadastro de Produtos'!K:Q,7,0)</f>
        <v>#N/A</v>
      </c>
      <c r="E539" s="73">
        <f>'Cadastro de Produtos'!P517</f>
        <v>0</v>
      </c>
    </row>
    <row r="540" spans="1:5" x14ac:dyDescent="0.3">
      <c r="A540" s="62">
        <f>'Cadastro de Produtos'!O518</f>
        <v>0</v>
      </c>
      <c r="B540" s="63">
        <f>'Cadastro de Produtos'!K518</f>
        <v>0</v>
      </c>
      <c r="C540" s="63">
        <f>'Cadastro de Produtos'!L518</f>
        <v>0</v>
      </c>
      <c r="D540" s="72" t="e">
        <f>VLOOKUP(B540,'Cadastro de Produtos'!K:Q,7,0)</f>
        <v>#N/A</v>
      </c>
      <c r="E540" s="73">
        <f>'Cadastro de Produtos'!P518</f>
        <v>0</v>
      </c>
    </row>
    <row r="541" spans="1:5" x14ac:dyDescent="0.3">
      <c r="A541" s="62">
        <f>'Cadastro de Produtos'!O519</f>
        <v>0</v>
      </c>
      <c r="B541" s="63">
        <f>'Cadastro de Produtos'!K519</f>
        <v>0</v>
      </c>
      <c r="C541" s="63">
        <f>'Cadastro de Produtos'!L519</f>
        <v>0</v>
      </c>
      <c r="D541" s="72" t="e">
        <f>VLOOKUP(B541,'Cadastro de Produtos'!K:Q,7,0)</f>
        <v>#N/A</v>
      </c>
      <c r="E541" s="73">
        <f>'Cadastro de Produtos'!P519</f>
        <v>0</v>
      </c>
    </row>
    <row r="542" spans="1:5" x14ac:dyDescent="0.3">
      <c r="A542" s="62">
        <f>'Cadastro de Produtos'!O520</f>
        <v>0</v>
      </c>
      <c r="B542" s="63">
        <f>'Cadastro de Produtos'!K520</f>
        <v>0</v>
      </c>
      <c r="C542" s="63">
        <f>'Cadastro de Produtos'!L520</f>
        <v>0</v>
      </c>
      <c r="D542" s="72" t="e">
        <f>VLOOKUP(B542,'Cadastro de Produtos'!K:Q,7,0)</f>
        <v>#N/A</v>
      </c>
      <c r="E542" s="73">
        <f>'Cadastro de Produtos'!P520</f>
        <v>0</v>
      </c>
    </row>
    <row r="543" spans="1:5" x14ac:dyDescent="0.3">
      <c r="A543" s="62">
        <f>'Cadastro de Produtos'!O521</f>
        <v>0</v>
      </c>
      <c r="B543" s="63">
        <f>'Cadastro de Produtos'!K521</f>
        <v>0</v>
      </c>
      <c r="C543" s="63">
        <f>'Cadastro de Produtos'!L521</f>
        <v>0</v>
      </c>
      <c r="D543" s="72" t="e">
        <f>VLOOKUP(B543,'Cadastro de Produtos'!K:Q,7,0)</f>
        <v>#N/A</v>
      </c>
      <c r="E543" s="73">
        <f>'Cadastro de Produtos'!P521</f>
        <v>0</v>
      </c>
    </row>
    <row r="544" spans="1:5" x14ac:dyDescent="0.3">
      <c r="A544" s="62">
        <f>'Cadastro de Produtos'!O522</f>
        <v>0</v>
      </c>
      <c r="B544" s="63">
        <f>'Cadastro de Produtos'!K522</f>
        <v>0</v>
      </c>
      <c r="C544" s="63">
        <f>'Cadastro de Produtos'!L522</f>
        <v>0</v>
      </c>
      <c r="D544" s="72" t="e">
        <f>VLOOKUP(B544,'Cadastro de Produtos'!K:Q,7,0)</f>
        <v>#N/A</v>
      </c>
      <c r="E544" s="73">
        <f>'Cadastro de Produtos'!P522</f>
        <v>0</v>
      </c>
    </row>
    <row r="545" spans="1:5" x14ac:dyDescent="0.3">
      <c r="A545" s="62">
        <f>'Cadastro de Produtos'!O523</f>
        <v>0</v>
      </c>
      <c r="B545" s="63">
        <f>'Cadastro de Produtos'!K523</f>
        <v>0</v>
      </c>
      <c r="C545" s="63">
        <f>'Cadastro de Produtos'!L523</f>
        <v>0</v>
      </c>
      <c r="D545" s="72" t="e">
        <f>VLOOKUP(B545,'Cadastro de Produtos'!K:Q,7,0)</f>
        <v>#N/A</v>
      </c>
      <c r="E545" s="73">
        <f>'Cadastro de Produtos'!P523</f>
        <v>0</v>
      </c>
    </row>
    <row r="546" spans="1:5" x14ac:dyDescent="0.3">
      <c r="A546" s="62">
        <f>'Cadastro de Produtos'!O524</f>
        <v>0</v>
      </c>
      <c r="B546" s="63">
        <f>'Cadastro de Produtos'!K524</f>
        <v>0</v>
      </c>
      <c r="C546" s="63">
        <f>'Cadastro de Produtos'!L524</f>
        <v>0</v>
      </c>
      <c r="D546" s="72" t="e">
        <f>VLOOKUP(B546,'Cadastro de Produtos'!K:Q,7,0)</f>
        <v>#N/A</v>
      </c>
      <c r="E546" s="73">
        <f>'Cadastro de Produtos'!P524</f>
        <v>0</v>
      </c>
    </row>
    <row r="547" spans="1:5" x14ac:dyDescent="0.3">
      <c r="A547" s="62">
        <f>'Cadastro de Produtos'!O525</f>
        <v>0</v>
      </c>
      <c r="B547" s="63">
        <f>'Cadastro de Produtos'!K525</f>
        <v>0</v>
      </c>
      <c r="C547" s="63">
        <f>'Cadastro de Produtos'!L525</f>
        <v>0</v>
      </c>
      <c r="D547" s="72" t="e">
        <f>VLOOKUP(B547,'Cadastro de Produtos'!K:Q,7,0)</f>
        <v>#N/A</v>
      </c>
      <c r="E547" s="73">
        <f>'Cadastro de Produtos'!P525</f>
        <v>0</v>
      </c>
    </row>
    <row r="548" spans="1:5" x14ac:dyDescent="0.3">
      <c r="A548" s="62">
        <f>'Cadastro de Produtos'!O526</f>
        <v>0</v>
      </c>
      <c r="B548" s="63">
        <f>'Cadastro de Produtos'!K526</f>
        <v>0</v>
      </c>
      <c r="C548" s="63">
        <f>'Cadastro de Produtos'!L526</f>
        <v>0</v>
      </c>
      <c r="D548" s="72" t="e">
        <f>VLOOKUP(B548,'Cadastro de Produtos'!K:Q,7,0)</f>
        <v>#N/A</v>
      </c>
      <c r="E548" s="73">
        <f>'Cadastro de Produtos'!P526</f>
        <v>0</v>
      </c>
    </row>
    <row r="549" spans="1:5" x14ac:dyDescent="0.3">
      <c r="A549" s="62">
        <f>'Cadastro de Produtos'!O527</f>
        <v>0</v>
      </c>
      <c r="B549" s="63">
        <f>'Cadastro de Produtos'!K527</f>
        <v>0</v>
      </c>
      <c r="C549" s="63">
        <f>'Cadastro de Produtos'!L527</f>
        <v>0</v>
      </c>
      <c r="D549" s="72" t="e">
        <f>VLOOKUP(B549,'Cadastro de Produtos'!K:Q,7,0)</f>
        <v>#N/A</v>
      </c>
      <c r="E549" s="73">
        <f>'Cadastro de Produtos'!P527</f>
        <v>0</v>
      </c>
    </row>
    <row r="550" spans="1:5" x14ac:dyDescent="0.3">
      <c r="A550" s="62">
        <f>'Cadastro de Produtos'!O528</f>
        <v>0</v>
      </c>
      <c r="B550" s="63">
        <f>'Cadastro de Produtos'!K528</f>
        <v>0</v>
      </c>
      <c r="C550" s="63">
        <f>'Cadastro de Produtos'!L528</f>
        <v>0</v>
      </c>
      <c r="D550" s="72" t="e">
        <f>VLOOKUP(B550,'Cadastro de Produtos'!K:Q,7,0)</f>
        <v>#N/A</v>
      </c>
      <c r="E550" s="73">
        <f>'Cadastro de Produtos'!P528</f>
        <v>0</v>
      </c>
    </row>
    <row r="551" spans="1:5" x14ac:dyDescent="0.3">
      <c r="A551" s="62">
        <f>'Cadastro de Produtos'!O529</f>
        <v>0</v>
      </c>
      <c r="B551" s="63">
        <f>'Cadastro de Produtos'!K529</f>
        <v>0</v>
      </c>
      <c r="C551" s="63">
        <f>'Cadastro de Produtos'!L529</f>
        <v>0</v>
      </c>
      <c r="D551" s="72" t="e">
        <f>VLOOKUP(B551,'Cadastro de Produtos'!K:Q,7,0)</f>
        <v>#N/A</v>
      </c>
      <c r="E551" s="73">
        <f>'Cadastro de Produtos'!P529</f>
        <v>0</v>
      </c>
    </row>
    <row r="552" spans="1:5" x14ac:dyDescent="0.3">
      <c r="A552" s="62">
        <f>'Cadastro de Produtos'!O530</f>
        <v>0</v>
      </c>
      <c r="B552" s="63">
        <f>'Cadastro de Produtos'!K530</f>
        <v>0</v>
      </c>
      <c r="C552" s="63">
        <f>'Cadastro de Produtos'!L530</f>
        <v>0</v>
      </c>
      <c r="D552" s="72" t="e">
        <f>VLOOKUP(B552,'Cadastro de Produtos'!K:Q,7,0)</f>
        <v>#N/A</v>
      </c>
      <c r="E552" s="73">
        <f>'Cadastro de Produtos'!P530</f>
        <v>0</v>
      </c>
    </row>
    <row r="553" spans="1:5" x14ac:dyDescent="0.3">
      <c r="A553" s="62">
        <f>'Cadastro de Produtos'!O531</f>
        <v>0</v>
      </c>
      <c r="B553" s="63">
        <f>'Cadastro de Produtos'!K531</f>
        <v>0</v>
      </c>
      <c r="C553" s="63">
        <f>'Cadastro de Produtos'!L531</f>
        <v>0</v>
      </c>
      <c r="D553" s="72" t="e">
        <f>VLOOKUP(B553,'Cadastro de Produtos'!K:Q,7,0)</f>
        <v>#N/A</v>
      </c>
      <c r="E553" s="73">
        <f>'Cadastro de Produtos'!P531</f>
        <v>0</v>
      </c>
    </row>
    <row r="554" spans="1:5" x14ac:dyDescent="0.3">
      <c r="A554" s="62">
        <f>'Cadastro de Produtos'!O532</f>
        <v>0</v>
      </c>
      <c r="B554" s="63">
        <f>'Cadastro de Produtos'!K532</f>
        <v>0</v>
      </c>
      <c r="C554" s="63">
        <f>'Cadastro de Produtos'!L532</f>
        <v>0</v>
      </c>
      <c r="D554" s="72" t="e">
        <f>VLOOKUP(B554,'Cadastro de Produtos'!K:Q,7,0)</f>
        <v>#N/A</v>
      </c>
      <c r="E554" s="73">
        <f>'Cadastro de Produtos'!P532</f>
        <v>0</v>
      </c>
    </row>
    <row r="555" spans="1:5" x14ac:dyDescent="0.3">
      <c r="A555" s="62">
        <f>'Cadastro de Produtos'!O533</f>
        <v>0</v>
      </c>
      <c r="B555" s="63">
        <f>'Cadastro de Produtos'!K533</f>
        <v>0</v>
      </c>
      <c r="C555" s="63">
        <f>'Cadastro de Produtos'!L533</f>
        <v>0</v>
      </c>
      <c r="D555" s="72" t="e">
        <f>VLOOKUP(B555,'Cadastro de Produtos'!K:Q,7,0)</f>
        <v>#N/A</v>
      </c>
      <c r="E555" s="73">
        <f>'Cadastro de Produtos'!P533</f>
        <v>0</v>
      </c>
    </row>
    <row r="556" spans="1:5" x14ac:dyDescent="0.3">
      <c r="A556" s="62">
        <f>'Cadastro de Produtos'!O534</f>
        <v>0</v>
      </c>
      <c r="B556" s="63">
        <f>'Cadastro de Produtos'!K534</f>
        <v>0</v>
      </c>
      <c r="C556" s="63">
        <f>'Cadastro de Produtos'!L534</f>
        <v>0</v>
      </c>
      <c r="D556" s="72" t="e">
        <f>VLOOKUP(B556,'Cadastro de Produtos'!K:Q,7,0)</f>
        <v>#N/A</v>
      </c>
      <c r="E556" s="73">
        <f>'Cadastro de Produtos'!P534</f>
        <v>0</v>
      </c>
    </row>
    <row r="557" spans="1:5" x14ac:dyDescent="0.3">
      <c r="A557" s="62">
        <f>'Cadastro de Produtos'!O535</f>
        <v>0</v>
      </c>
      <c r="B557" s="63">
        <f>'Cadastro de Produtos'!K535</f>
        <v>0</v>
      </c>
      <c r="C557" s="63">
        <f>'Cadastro de Produtos'!L535</f>
        <v>0</v>
      </c>
      <c r="D557" s="72" t="e">
        <f>VLOOKUP(B557,'Cadastro de Produtos'!K:Q,7,0)</f>
        <v>#N/A</v>
      </c>
      <c r="E557" s="73">
        <f>'Cadastro de Produtos'!P535</f>
        <v>0</v>
      </c>
    </row>
    <row r="558" spans="1:5" x14ac:dyDescent="0.3">
      <c r="A558" s="62">
        <f>'Cadastro de Produtos'!O536</f>
        <v>0</v>
      </c>
      <c r="B558" s="63">
        <f>'Cadastro de Produtos'!K536</f>
        <v>0</v>
      </c>
      <c r="C558" s="63">
        <f>'Cadastro de Produtos'!L536</f>
        <v>0</v>
      </c>
      <c r="D558" s="72" t="e">
        <f>VLOOKUP(B558,'Cadastro de Produtos'!K:Q,7,0)</f>
        <v>#N/A</v>
      </c>
      <c r="E558" s="73">
        <f>'Cadastro de Produtos'!P536</f>
        <v>0</v>
      </c>
    </row>
    <row r="559" spans="1:5" x14ac:dyDescent="0.3">
      <c r="A559" s="62">
        <f>'Cadastro de Produtos'!O537</f>
        <v>0</v>
      </c>
      <c r="B559" s="63">
        <f>'Cadastro de Produtos'!K537</f>
        <v>0</v>
      </c>
      <c r="C559" s="63">
        <f>'Cadastro de Produtos'!L537</f>
        <v>0</v>
      </c>
      <c r="D559" s="72" t="e">
        <f>VLOOKUP(B559,'Cadastro de Produtos'!K:Q,7,0)</f>
        <v>#N/A</v>
      </c>
      <c r="E559" s="73">
        <f>'Cadastro de Produtos'!P537</f>
        <v>0</v>
      </c>
    </row>
    <row r="560" spans="1:5" x14ac:dyDescent="0.3">
      <c r="A560" s="62">
        <f>'Cadastro de Produtos'!O538</f>
        <v>0</v>
      </c>
      <c r="B560" s="63">
        <f>'Cadastro de Produtos'!K538</f>
        <v>0</v>
      </c>
      <c r="C560" s="63">
        <f>'Cadastro de Produtos'!L538</f>
        <v>0</v>
      </c>
      <c r="D560" s="72" t="e">
        <f>VLOOKUP(B560,'Cadastro de Produtos'!K:Q,7,0)</f>
        <v>#N/A</v>
      </c>
      <c r="E560" s="73">
        <f>'Cadastro de Produtos'!P538</f>
        <v>0</v>
      </c>
    </row>
    <row r="561" spans="1:5" x14ac:dyDescent="0.3">
      <c r="A561" s="62">
        <f>'Cadastro de Produtos'!O539</f>
        <v>0</v>
      </c>
      <c r="B561" s="63">
        <f>'Cadastro de Produtos'!K539</f>
        <v>0</v>
      </c>
      <c r="C561" s="63">
        <f>'Cadastro de Produtos'!L539</f>
        <v>0</v>
      </c>
      <c r="D561" s="72" t="e">
        <f>VLOOKUP(B561,'Cadastro de Produtos'!K:Q,7,0)</f>
        <v>#N/A</v>
      </c>
      <c r="E561" s="73">
        <f>'Cadastro de Produtos'!P539</f>
        <v>0</v>
      </c>
    </row>
    <row r="562" spans="1:5" x14ac:dyDescent="0.3">
      <c r="A562" s="62">
        <f>'Cadastro de Produtos'!O540</f>
        <v>0</v>
      </c>
      <c r="B562" s="63">
        <f>'Cadastro de Produtos'!K540</f>
        <v>0</v>
      </c>
      <c r="C562" s="63">
        <f>'Cadastro de Produtos'!L540</f>
        <v>0</v>
      </c>
      <c r="D562" s="72" t="e">
        <f>VLOOKUP(B562,'Cadastro de Produtos'!K:Q,7,0)</f>
        <v>#N/A</v>
      </c>
      <c r="E562" s="73">
        <f>'Cadastro de Produtos'!P540</f>
        <v>0</v>
      </c>
    </row>
    <row r="563" spans="1:5" x14ac:dyDescent="0.3">
      <c r="A563" s="62">
        <f>'Cadastro de Produtos'!O541</f>
        <v>0</v>
      </c>
      <c r="B563" s="63">
        <f>'Cadastro de Produtos'!K541</f>
        <v>0</v>
      </c>
      <c r="C563" s="63">
        <f>'Cadastro de Produtos'!L541</f>
        <v>0</v>
      </c>
      <c r="D563" s="72" t="e">
        <f>VLOOKUP(B563,'Cadastro de Produtos'!K:Q,7,0)</f>
        <v>#N/A</v>
      </c>
      <c r="E563" s="73">
        <f>'Cadastro de Produtos'!P541</f>
        <v>0</v>
      </c>
    </row>
    <row r="564" spans="1:5" x14ac:dyDescent="0.3">
      <c r="A564" s="62">
        <f>'Cadastro de Produtos'!O542</f>
        <v>0</v>
      </c>
      <c r="B564" s="63">
        <f>'Cadastro de Produtos'!K542</f>
        <v>0</v>
      </c>
      <c r="C564" s="63">
        <f>'Cadastro de Produtos'!L542</f>
        <v>0</v>
      </c>
      <c r="D564" s="72" t="e">
        <f>VLOOKUP(B564,'Cadastro de Produtos'!K:Q,7,0)</f>
        <v>#N/A</v>
      </c>
      <c r="E564" s="73">
        <f>'Cadastro de Produtos'!P542</f>
        <v>0</v>
      </c>
    </row>
    <row r="565" spans="1:5" x14ac:dyDescent="0.3">
      <c r="A565" s="62">
        <f>'Cadastro de Produtos'!O543</f>
        <v>0</v>
      </c>
      <c r="B565" s="63">
        <f>'Cadastro de Produtos'!K543</f>
        <v>0</v>
      </c>
      <c r="C565" s="63">
        <f>'Cadastro de Produtos'!L543</f>
        <v>0</v>
      </c>
      <c r="D565" s="72" t="e">
        <f>VLOOKUP(B565,'Cadastro de Produtos'!K:Q,7,0)</f>
        <v>#N/A</v>
      </c>
      <c r="E565" s="73">
        <f>'Cadastro de Produtos'!P543</f>
        <v>0</v>
      </c>
    </row>
    <row r="566" spans="1:5" x14ac:dyDescent="0.3">
      <c r="A566" s="62">
        <f>'Cadastro de Produtos'!O544</f>
        <v>0</v>
      </c>
      <c r="B566" s="63">
        <f>'Cadastro de Produtos'!K544</f>
        <v>0</v>
      </c>
      <c r="C566" s="63">
        <f>'Cadastro de Produtos'!L544</f>
        <v>0</v>
      </c>
      <c r="D566" s="72" t="e">
        <f>VLOOKUP(B566,'Cadastro de Produtos'!K:Q,7,0)</f>
        <v>#N/A</v>
      </c>
      <c r="E566" s="73">
        <f>'Cadastro de Produtos'!P544</f>
        <v>0</v>
      </c>
    </row>
    <row r="567" spans="1:5" x14ac:dyDescent="0.3">
      <c r="A567" s="62">
        <f>'Cadastro de Produtos'!O545</f>
        <v>0</v>
      </c>
      <c r="B567" s="63">
        <f>'Cadastro de Produtos'!K545</f>
        <v>0</v>
      </c>
      <c r="C567" s="63">
        <f>'Cadastro de Produtos'!L545</f>
        <v>0</v>
      </c>
      <c r="D567" s="72" t="e">
        <f>VLOOKUP(B567,'Cadastro de Produtos'!K:Q,7,0)</f>
        <v>#N/A</v>
      </c>
      <c r="E567" s="73">
        <f>'Cadastro de Produtos'!P545</f>
        <v>0</v>
      </c>
    </row>
    <row r="568" spans="1:5" x14ac:dyDescent="0.3">
      <c r="A568" s="62">
        <f>'Cadastro de Produtos'!O546</f>
        <v>0</v>
      </c>
      <c r="B568" s="63">
        <f>'Cadastro de Produtos'!K546</f>
        <v>0</v>
      </c>
      <c r="C568" s="63">
        <f>'Cadastro de Produtos'!L546</f>
        <v>0</v>
      </c>
      <c r="D568" s="72" t="e">
        <f>VLOOKUP(B568,'Cadastro de Produtos'!K:Q,7,0)</f>
        <v>#N/A</v>
      </c>
      <c r="E568" s="73">
        <f>'Cadastro de Produtos'!P546</f>
        <v>0</v>
      </c>
    </row>
    <row r="569" spans="1:5" x14ac:dyDescent="0.3">
      <c r="A569" s="62">
        <f>'Cadastro de Produtos'!O547</f>
        <v>0</v>
      </c>
      <c r="B569" s="63">
        <f>'Cadastro de Produtos'!K547</f>
        <v>0</v>
      </c>
      <c r="C569" s="63">
        <f>'Cadastro de Produtos'!L547</f>
        <v>0</v>
      </c>
      <c r="D569" s="72" t="e">
        <f>VLOOKUP(B569,'Cadastro de Produtos'!K:Q,7,0)</f>
        <v>#N/A</v>
      </c>
      <c r="E569" s="73">
        <f>'Cadastro de Produtos'!P547</f>
        <v>0</v>
      </c>
    </row>
    <row r="570" spans="1:5" x14ac:dyDescent="0.3">
      <c r="A570" s="62">
        <f>'Cadastro de Produtos'!O548</f>
        <v>0</v>
      </c>
      <c r="B570" s="63">
        <f>'Cadastro de Produtos'!K548</f>
        <v>0</v>
      </c>
      <c r="C570" s="63">
        <f>'Cadastro de Produtos'!L548</f>
        <v>0</v>
      </c>
      <c r="D570" s="72" t="e">
        <f>VLOOKUP(B570,'Cadastro de Produtos'!K:Q,7,0)</f>
        <v>#N/A</v>
      </c>
      <c r="E570" s="73">
        <f>'Cadastro de Produtos'!P548</f>
        <v>0</v>
      </c>
    </row>
    <row r="571" spans="1:5" x14ac:dyDescent="0.3">
      <c r="A571" s="62">
        <f>'Cadastro de Produtos'!O549</f>
        <v>0</v>
      </c>
      <c r="B571" s="63">
        <f>'Cadastro de Produtos'!K549</f>
        <v>0</v>
      </c>
      <c r="C571" s="63">
        <f>'Cadastro de Produtos'!L549</f>
        <v>0</v>
      </c>
      <c r="D571" s="72" t="e">
        <f>VLOOKUP(B571,'Cadastro de Produtos'!K:Q,7,0)</f>
        <v>#N/A</v>
      </c>
      <c r="E571" s="73">
        <f>'Cadastro de Produtos'!P549</f>
        <v>0</v>
      </c>
    </row>
    <row r="572" spans="1:5" x14ac:dyDescent="0.3">
      <c r="A572" s="62">
        <f>'Cadastro de Produtos'!O550</f>
        <v>0</v>
      </c>
      <c r="B572" s="63">
        <f>'Cadastro de Produtos'!K550</f>
        <v>0</v>
      </c>
      <c r="C572" s="63">
        <f>'Cadastro de Produtos'!L550</f>
        <v>0</v>
      </c>
      <c r="D572" s="72" t="e">
        <f>VLOOKUP(B572,'Cadastro de Produtos'!K:Q,7,0)</f>
        <v>#N/A</v>
      </c>
      <c r="E572" s="73">
        <f>'Cadastro de Produtos'!P550</f>
        <v>0</v>
      </c>
    </row>
    <row r="573" spans="1:5" x14ac:dyDescent="0.3">
      <c r="A573" s="62">
        <f>'Cadastro de Produtos'!O551</f>
        <v>0</v>
      </c>
      <c r="B573" s="63">
        <f>'Cadastro de Produtos'!K551</f>
        <v>0</v>
      </c>
      <c r="C573" s="63">
        <f>'Cadastro de Produtos'!L551</f>
        <v>0</v>
      </c>
      <c r="D573" s="72" t="e">
        <f>VLOOKUP(B573,'Cadastro de Produtos'!K:Q,7,0)</f>
        <v>#N/A</v>
      </c>
      <c r="E573" s="73">
        <f>'Cadastro de Produtos'!P551</f>
        <v>0</v>
      </c>
    </row>
    <row r="574" spans="1:5" x14ac:dyDescent="0.3">
      <c r="A574" s="62">
        <f>'Cadastro de Produtos'!O552</f>
        <v>0</v>
      </c>
      <c r="B574" s="63">
        <f>'Cadastro de Produtos'!K552</f>
        <v>0</v>
      </c>
      <c r="C574" s="63">
        <f>'Cadastro de Produtos'!L552</f>
        <v>0</v>
      </c>
      <c r="D574" s="72" t="e">
        <f>VLOOKUP(B574,'Cadastro de Produtos'!K:Q,7,0)</f>
        <v>#N/A</v>
      </c>
      <c r="E574" s="73">
        <f>'Cadastro de Produtos'!P552</f>
        <v>0</v>
      </c>
    </row>
    <row r="575" spans="1:5" x14ac:dyDescent="0.3">
      <c r="A575" s="62">
        <f>'Cadastro de Produtos'!O553</f>
        <v>0</v>
      </c>
      <c r="B575" s="63">
        <f>'Cadastro de Produtos'!K553</f>
        <v>0</v>
      </c>
      <c r="C575" s="63">
        <f>'Cadastro de Produtos'!L553</f>
        <v>0</v>
      </c>
      <c r="D575" s="72" t="e">
        <f>VLOOKUP(B575,'Cadastro de Produtos'!K:Q,7,0)</f>
        <v>#N/A</v>
      </c>
      <c r="E575" s="73">
        <f>'Cadastro de Produtos'!P553</f>
        <v>0</v>
      </c>
    </row>
    <row r="576" spans="1:5" x14ac:dyDescent="0.3">
      <c r="A576" s="62">
        <f>'Cadastro de Produtos'!O554</f>
        <v>0</v>
      </c>
      <c r="B576" s="63">
        <f>'Cadastro de Produtos'!K554</f>
        <v>0</v>
      </c>
      <c r="C576" s="63">
        <f>'Cadastro de Produtos'!L554</f>
        <v>0</v>
      </c>
      <c r="D576" s="72" t="e">
        <f>VLOOKUP(B576,'Cadastro de Produtos'!K:Q,7,0)</f>
        <v>#N/A</v>
      </c>
      <c r="E576" s="73">
        <f>'Cadastro de Produtos'!P554</f>
        <v>0</v>
      </c>
    </row>
    <row r="577" spans="1:5" x14ac:dyDescent="0.3">
      <c r="A577" s="62">
        <f>'Cadastro de Produtos'!O555</f>
        <v>0</v>
      </c>
      <c r="B577" s="63">
        <f>'Cadastro de Produtos'!K555</f>
        <v>0</v>
      </c>
      <c r="C577" s="63">
        <f>'Cadastro de Produtos'!L555</f>
        <v>0</v>
      </c>
      <c r="D577" s="72" t="e">
        <f>VLOOKUP(B577,'Cadastro de Produtos'!K:Q,7,0)</f>
        <v>#N/A</v>
      </c>
      <c r="E577" s="73">
        <f>'Cadastro de Produtos'!P555</f>
        <v>0</v>
      </c>
    </row>
    <row r="578" spans="1:5" x14ac:dyDescent="0.3">
      <c r="A578" s="62">
        <f>'Cadastro de Produtos'!O556</f>
        <v>0</v>
      </c>
      <c r="B578" s="63">
        <f>'Cadastro de Produtos'!K556</f>
        <v>0</v>
      </c>
      <c r="C578" s="63">
        <f>'Cadastro de Produtos'!L556</f>
        <v>0</v>
      </c>
      <c r="D578" s="72" t="e">
        <f>VLOOKUP(B578,'Cadastro de Produtos'!K:Q,7,0)</f>
        <v>#N/A</v>
      </c>
      <c r="E578" s="73">
        <f>'Cadastro de Produtos'!P556</f>
        <v>0</v>
      </c>
    </row>
    <row r="579" spans="1:5" x14ac:dyDescent="0.3">
      <c r="A579" s="62">
        <f>'Cadastro de Produtos'!O557</f>
        <v>0</v>
      </c>
      <c r="B579" s="63">
        <f>'Cadastro de Produtos'!K557</f>
        <v>0</v>
      </c>
      <c r="C579" s="63">
        <f>'Cadastro de Produtos'!L557</f>
        <v>0</v>
      </c>
      <c r="D579" s="72" t="e">
        <f>VLOOKUP(B579,'Cadastro de Produtos'!K:Q,7,0)</f>
        <v>#N/A</v>
      </c>
      <c r="E579" s="73">
        <f>'Cadastro de Produtos'!P557</f>
        <v>0</v>
      </c>
    </row>
    <row r="580" spans="1:5" x14ac:dyDescent="0.3">
      <c r="A580" s="62">
        <f>'Cadastro de Produtos'!O558</f>
        <v>0</v>
      </c>
      <c r="B580" s="63">
        <f>'Cadastro de Produtos'!K558</f>
        <v>0</v>
      </c>
      <c r="C580" s="63">
        <f>'Cadastro de Produtos'!L558</f>
        <v>0</v>
      </c>
      <c r="D580" s="72" t="e">
        <f>VLOOKUP(B580,'Cadastro de Produtos'!K:Q,7,0)</f>
        <v>#N/A</v>
      </c>
      <c r="E580" s="73">
        <f>'Cadastro de Produtos'!P558</f>
        <v>0</v>
      </c>
    </row>
    <row r="581" spans="1:5" x14ac:dyDescent="0.3">
      <c r="A581" s="62">
        <f>'Cadastro de Produtos'!O559</f>
        <v>0</v>
      </c>
      <c r="B581" s="63">
        <f>'Cadastro de Produtos'!K559</f>
        <v>0</v>
      </c>
      <c r="C581" s="63">
        <f>'Cadastro de Produtos'!L559</f>
        <v>0</v>
      </c>
      <c r="D581" s="72" t="e">
        <f>VLOOKUP(B581,'Cadastro de Produtos'!K:Q,7,0)</f>
        <v>#N/A</v>
      </c>
      <c r="E581" s="73">
        <f>'Cadastro de Produtos'!P559</f>
        <v>0</v>
      </c>
    </row>
    <row r="582" spans="1:5" x14ac:dyDescent="0.3">
      <c r="A582" s="62">
        <f>'Cadastro de Produtos'!O560</f>
        <v>0</v>
      </c>
      <c r="B582" s="63">
        <f>'Cadastro de Produtos'!K560</f>
        <v>0</v>
      </c>
      <c r="C582" s="63">
        <f>'Cadastro de Produtos'!L560</f>
        <v>0</v>
      </c>
      <c r="D582" s="72" t="e">
        <f>VLOOKUP(B582,'Cadastro de Produtos'!K:Q,7,0)</f>
        <v>#N/A</v>
      </c>
      <c r="E582" s="73">
        <f>'Cadastro de Produtos'!P560</f>
        <v>0</v>
      </c>
    </row>
    <row r="583" spans="1:5" x14ac:dyDescent="0.3">
      <c r="A583" s="62">
        <f>'Cadastro de Produtos'!O561</f>
        <v>0</v>
      </c>
      <c r="B583" s="63">
        <f>'Cadastro de Produtos'!K561</f>
        <v>0</v>
      </c>
      <c r="C583" s="63">
        <f>'Cadastro de Produtos'!L561</f>
        <v>0</v>
      </c>
      <c r="D583" s="72" t="e">
        <f>VLOOKUP(B583,'Cadastro de Produtos'!K:Q,7,0)</f>
        <v>#N/A</v>
      </c>
      <c r="E583" s="73">
        <f>'Cadastro de Produtos'!P561</f>
        <v>0</v>
      </c>
    </row>
    <row r="584" spans="1:5" x14ac:dyDescent="0.3">
      <c r="A584" s="62">
        <f>'Cadastro de Produtos'!O562</f>
        <v>0</v>
      </c>
      <c r="B584" s="63">
        <f>'Cadastro de Produtos'!K562</f>
        <v>0</v>
      </c>
      <c r="C584" s="63">
        <f>'Cadastro de Produtos'!L562</f>
        <v>0</v>
      </c>
      <c r="D584" s="72" t="e">
        <f>VLOOKUP(B584,'Cadastro de Produtos'!K:Q,7,0)</f>
        <v>#N/A</v>
      </c>
      <c r="E584" s="73">
        <f>'Cadastro de Produtos'!P562</f>
        <v>0</v>
      </c>
    </row>
    <row r="585" spans="1:5" x14ac:dyDescent="0.3">
      <c r="A585" s="62">
        <f>'Cadastro de Produtos'!O563</f>
        <v>0</v>
      </c>
      <c r="B585" s="63">
        <f>'Cadastro de Produtos'!K563</f>
        <v>0</v>
      </c>
      <c r="C585" s="63">
        <f>'Cadastro de Produtos'!L563</f>
        <v>0</v>
      </c>
      <c r="D585" s="72" t="e">
        <f>VLOOKUP(B585,'Cadastro de Produtos'!K:Q,7,0)</f>
        <v>#N/A</v>
      </c>
      <c r="E585" s="73">
        <f>'Cadastro de Produtos'!P563</f>
        <v>0</v>
      </c>
    </row>
    <row r="586" spans="1:5" x14ac:dyDescent="0.3">
      <c r="A586" s="62">
        <f>'Cadastro de Produtos'!O564</f>
        <v>0</v>
      </c>
      <c r="B586" s="63">
        <f>'Cadastro de Produtos'!K564</f>
        <v>0</v>
      </c>
      <c r="C586" s="63">
        <f>'Cadastro de Produtos'!L564</f>
        <v>0</v>
      </c>
      <c r="D586" s="72" t="e">
        <f>VLOOKUP(B586,'Cadastro de Produtos'!K:Q,7,0)</f>
        <v>#N/A</v>
      </c>
      <c r="E586" s="73">
        <f>'Cadastro de Produtos'!P564</f>
        <v>0</v>
      </c>
    </row>
    <row r="587" spans="1:5" x14ac:dyDescent="0.3">
      <c r="A587" s="62">
        <f>'Cadastro de Produtos'!O565</f>
        <v>0</v>
      </c>
      <c r="B587" s="63">
        <f>'Cadastro de Produtos'!K565</f>
        <v>0</v>
      </c>
      <c r="C587" s="63">
        <f>'Cadastro de Produtos'!L565</f>
        <v>0</v>
      </c>
      <c r="D587" s="72" t="e">
        <f>VLOOKUP(B587,'Cadastro de Produtos'!K:Q,7,0)</f>
        <v>#N/A</v>
      </c>
      <c r="E587" s="73">
        <f>'Cadastro de Produtos'!P565</f>
        <v>0</v>
      </c>
    </row>
    <row r="588" spans="1:5" x14ac:dyDescent="0.3">
      <c r="A588" s="62">
        <f>'Cadastro de Produtos'!O566</f>
        <v>0</v>
      </c>
      <c r="B588" s="63">
        <f>'Cadastro de Produtos'!K566</f>
        <v>0</v>
      </c>
      <c r="C588" s="63">
        <f>'Cadastro de Produtos'!L566</f>
        <v>0</v>
      </c>
      <c r="D588" s="72" t="e">
        <f>VLOOKUP(B588,'Cadastro de Produtos'!K:Q,7,0)</f>
        <v>#N/A</v>
      </c>
      <c r="E588" s="73">
        <f>'Cadastro de Produtos'!P566</f>
        <v>0</v>
      </c>
    </row>
    <row r="589" spans="1:5" x14ac:dyDescent="0.3">
      <c r="A589" s="62">
        <f>'Cadastro de Produtos'!O567</f>
        <v>0</v>
      </c>
      <c r="B589" s="63">
        <f>'Cadastro de Produtos'!K567</f>
        <v>0</v>
      </c>
      <c r="C589" s="63">
        <f>'Cadastro de Produtos'!L567</f>
        <v>0</v>
      </c>
      <c r="D589" s="72" t="e">
        <f>VLOOKUP(B589,'Cadastro de Produtos'!K:Q,7,0)</f>
        <v>#N/A</v>
      </c>
      <c r="E589" s="73">
        <f>'Cadastro de Produtos'!P567</f>
        <v>0</v>
      </c>
    </row>
    <row r="590" spans="1:5" x14ac:dyDescent="0.3">
      <c r="A590" s="62">
        <f>'Cadastro de Produtos'!O568</f>
        <v>0</v>
      </c>
      <c r="B590" s="63">
        <f>'Cadastro de Produtos'!K568</f>
        <v>0</v>
      </c>
      <c r="C590" s="63">
        <f>'Cadastro de Produtos'!L568</f>
        <v>0</v>
      </c>
      <c r="D590" s="72" t="e">
        <f>VLOOKUP(B590,'Cadastro de Produtos'!K:Q,7,0)</f>
        <v>#N/A</v>
      </c>
      <c r="E590" s="73">
        <f>'Cadastro de Produtos'!P568</f>
        <v>0</v>
      </c>
    </row>
    <row r="591" spans="1:5" x14ac:dyDescent="0.3">
      <c r="A591" s="62">
        <f>'Cadastro de Produtos'!O569</f>
        <v>0</v>
      </c>
      <c r="B591" s="63">
        <f>'Cadastro de Produtos'!K569</f>
        <v>0</v>
      </c>
      <c r="C591" s="63">
        <f>'Cadastro de Produtos'!L569</f>
        <v>0</v>
      </c>
      <c r="D591" s="72" t="e">
        <f>VLOOKUP(B591,'Cadastro de Produtos'!K:Q,7,0)</f>
        <v>#N/A</v>
      </c>
      <c r="E591" s="73">
        <f>'Cadastro de Produtos'!P569</f>
        <v>0</v>
      </c>
    </row>
    <row r="592" spans="1:5" x14ac:dyDescent="0.3">
      <c r="A592" s="62">
        <f>'Cadastro de Produtos'!O570</f>
        <v>0</v>
      </c>
      <c r="B592" s="63">
        <f>'Cadastro de Produtos'!K570</f>
        <v>0</v>
      </c>
      <c r="C592" s="63">
        <f>'Cadastro de Produtos'!L570</f>
        <v>0</v>
      </c>
      <c r="D592" s="72" t="e">
        <f>VLOOKUP(B592,'Cadastro de Produtos'!K:Q,7,0)</f>
        <v>#N/A</v>
      </c>
      <c r="E592" s="73">
        <f>'Cadastro de Produtos'!P570</f>
        <v>0</v>
      </c>
    </row>
    <row r="593" spans="1:5" x14ac:dyDescent="0.3">
      <c r="A593" s="62">
        <f>'Cadastro de Produtos'!O571</f>
        <v>0</v>
      </c>
      <c r="B593" s="63">
        <f>'Cadastro de Produtos'!K571</f>
        <v>0</v>
      </c>
      <c r="C593" s="63">
        <f>'Cadastro de Produtos'!L571</f>
        <v>0</v>
      </c>
      <c r="D593" s="72" t="e">
        <f>VLOOKUP(B593,'Cadastro de Produtos'!K:Q,7,0)</f>
        <v>#N/A</v>
      </c>
      <c r="E593" s="73">
        <f>'Cadastro de Produtos'!P571</f>
        <v>0</v>
      </c>
    </row>
    <row r="594" spans="1:5" x14ac:dyDescent="0.3">
      <c r="A594" s="62">
        <f>'Cadastro de Produtos'!O572</f>
        <v>0</v>
      </c>
      <c r="B594" s="63">
        <f>'Cadastro de Produtos'!K572</f>
        <v>0</v>
      </c>
      <c r="C594" s="63">
        <f>'Cadastro de Produtos'!L572</f>
        <v>0</v>
      </c>
      <c r="D594" s="72" t="e">
        <f>VLOOKUP(B594,'Cadastro de Produtos'!K:Q,7,0)</f>
        <v>#N/A</v>
      </c>
      <c r="E594" s="73">
        <f>'Cadastro de Produtos'!P572</f>
        <v>0</v>
      </c>
    </row>
    <row r="595" spans="1:5" x14ac:dyDescent="0.3">
      <c r="A595" s="62">
        <f>'Cadastro de Produtos'!O573</f>
        <v>0</v>
      </c>
      <c r="B595" s="63">
        <f>'Cadastro de Produtos'!K573</f>
        <v>0</v>
      </c>
      <c r="C595" s="63">
        <f>'Cadastro de Produtos'!L573</f>
        <v>0</v>
      </c>
      <c r="D595" s="72" t="e">
        <f>VLOOKUP(B595,'Cadastro de Produtos'!K:Q,7,0)</f>
        <v>#N/A</v>
      </c>
      <c r="E595" s="73">
        <f>'Cadastro de Produtos'!P573</f>
        <v>0</v>
      </c>
    </row>
    <row r="596" spans="1:5" x14ac:dyDescent="0.3">
      <c r="A596" s="62">
        <f>'Cadastro de Produtos'!O574</f>
        <v>0</v>
      </c>
      <c r="B596" s="63">
        <f>'Cadastro de Produtos'!K574</f>
        <v>0</v>
      </c>
      <c r="C596" s="63">
        <f>'Cadastro de Produtos'!L574</f>
        <v>0</v>
      </c>
      <c r="D596" s="72" t="e">
        <f>VLOOKUP(B596,'Cadastro de Produtos'!K:Q,7,0)</f>
        <v>#N/A</v>
      </c>
      <c r="E596" s="73">
        <f>'Cadastro de Produtos'!P574</f>
        <v>0</v>
      </c>
    </row>
    <row r="597" spans="1:5" x14ac:dyDescent="0.3">
      <c r="A597" s="62">
        <f>'Cadastro de Produtos'!O575</f>
        <v>0</v>
      </c>
      <c r="B597" s="63">
        <f>'Cadastro de Produtos'!K575</f>
        <v>0</v>
      </c>
      <c r="C597" s="63">
        <f>'Cadastro de Produtos'!L575</f>
        <v>0</v>
      </c>
      <c r="D597" s="72" t="e">
        <f>VLOOKUP(B597,'Cadastro de Produtos'!K:Q,7,0)</f>
        <v>#N/A</v>
      </c>
      <c r="E597" s="73">
        <f>'Cadastro de Produtos'!P575</f>
        <v>0</v>
      </c>
    </row>
    <row r="598" spans="1:5" x14ac:dyDescent="0.3">
      <c r="A598" s="62">
        <f>'Cadastro de Produtos'!O576</f>
        <v>0</v>
      </c>
      <c r="B598" s="63">
        <f>'Cadastro de Produtos'!K576</f>
        <v>0</v>
      </c>
      <c r="C598" s="63">
        <f>'Cadastro de Produtos'!L576</f>
        <v>0</v>
      </c>
      <c r="D598" s="72" t="e">
        <f>VLOOKUP(B598,'Cadastro de Produtos'!K:Q,7,0)</f>
        <v>#N/A</v>
      </c>
      <c r="E598" s="73">
        <f>'Cadastro de Produtos'!P576</f>
        <v>0</v>
      </c>
    </row>
    <row r="599" spans="1:5" x14ac:dyDescent="0.3">
      <c r="A599" s="62">
        <f>'Cadastro de Produtos'!O577</f>
        <v>0</v>
      </c>
      <c r="B599" s="63">
        <f>'Cadastro de Produtos'!K577</f>
        <v>0</v>
      </c>
      <c r="C599" s="63">
        <f>'Cadastro de Produtos'!L577</f>
        <v>0</v>
      </c>
      <c r="D599" s="72" t="e">
        <f>VLOOKUP(B599,'Cadastro de Produtos'!K:Q,7,0)</f>
        <v>#N/A</v>
      </c>
      <c r="E599" s="73">
        <f>'Cadastro de Produtos'!P577</f>
        <v>0</v>
      </c>
    </row>
    <row r="600" spans="1:5" x14ac:dyDescent="0.3">
      <c r="A600" s="62">
        <f>'Cadastro de Produtos'!O578</f>
        <v>0</v>
      </c>
      <c r="B600" s="63">
        <f>'Cadastro de Produtos'!K578</f>
        <v>0</v>
      </c>
      <c r="C600" s="63">
        <f>'Cadastro de Produtos'!L578</f>
        <v>0</v>
      </c>
      <c r="D600" s="72" t="e">
        <f>VLOOKUP(B600,'Cadastro de Produtos'!K:Q,7,0)</f>
        <v>#N/A</v>
      </c>
      <c r="E600" s="73">
        <f>'Cadastro de Produtos'!P578</f>
        <v>0</v>
      </c>
    </row>
    <row r="601" spans="1:5" x14ac:dyDescent="0.3">
      <c r="A601" s="62">
        <f>'Cadastro de Produtos'!O579</f>
        <v>0</v>
      </c>
      <c r="B601" s="63">
        <f>'Cadastro de Produtos'!K579</f>
        <v>0</v>
      </c>
      <c r="C601" s="63">
        <f>'Cadastro de Produtos'!L579</f>
        <v>0</v>
      </c>
      <c r="D601" s="72" t="e">
        <f>VLOOKUP(B601,'Cadastro de Produtos'!K:Q,7,0)</f>
        <v>#N/A</v>
      </c>
      <c r="E601" s="73">
        <f>'Cadastro de Produtos'!P579</f>
        <v>0</v>
      </c>
    </row>
    <row r="602" spans="1:5" x14ac:dyDescent="0.3">
      <c r="A602" s="62">
        <f>'Cadastro de Produtos'!O580</f>
        <v>0</v>
      </c>
      <c r="B602" s="63">
        <f>'Cadastro de Produtos'!K580</f>
        <v>0</v>
      </c>
      <c r="C602" s="63">
        <f>'Cadastro de Produtos'!L580</f>
        <v>0</v>
      </c>
      <c r="D602" s="72" t="e">
        <f>VLOOKUP(B602,'Cadastro de Produtos'!K:Q,7,0)</f>
        <v>#N/A</v>
      </c>
      <c r="E602" s="73">
        <f>'Cadastro de Produtos'!P580</f>
        <v>0</v>
      </c>
    </row>
    <row r="603" spans="1:5" x14ac:dyDescent="0.3">
      <c r="A603" s="62">
        <f>'Cadastro de Produtos'!O581</f>
        <v>0</v>
      </c>
      <c r="B603" s="63">
        <f>'Cadastro de Produtos'!K581</f>
        <v>0</v>
      </c>
      <c r="C603" s="63">
        <f>'Cadastro de Produtos'!L581</f>
        <v>0</v>
      </c>
      <c r="D603" s="72" t="e">
        <f>VLOOKUP(B603,'Cadastro de Produtos'!K:Q,7,0)</f>
        <v>#N/A</v>
      </c>
      <c r="E603" s="73">
        <f>'Cadastro de Produtos'!P581</f>
        <v>0</v>
      </c>
    </row>
    <row r="604" spans="1:5" x14ac:dyDescent="0.3">
      <c r="A604" s="62">
        <f>'Cadastro de Produtos'!O582</f>
        <v>0</v>
      </c>
      <c r="B604" s="63">
        <f>'Cadastro de Produtos'!K582</f>
        <v>0</v>
      </c>
      <c r="C604" s="63">
        <f>'Cadastro de Produtos'!L582</f>
        <v>0</v>
      </c>
      <c r="D604" s="72" t="e">
        <f>VLOOKUP(B604,'Cadastro de Produtos'!K:Q,7,0)</f>
        <v>#N/A</v>
      </c>
      <c r="E604" s="73">
        <f>'Cadastro de Produtos'!P582</f>
        <v>0</v>
      </c>
    </row>
    <row r="605" spans="1:5" x14ac:dyDescent="0.3">
      <c r="A605" s="62">
        <f>'Cadastro de Produtos'!O583</f>
        <v>0</v>
      </c>
      <c r="B605" s="63">
        <f>'Cadastro de Produtos'!K583</f>
        <v>0</v>
      </c>
      <c r="C605" s="63">
        <f>'Cadastro de Produtos'!L583</f>
        <v>0</v>
      </c>
      <c r="D605" s="72" t="e">
        <f>VLOOKUP(B605,'Cadastro de Produtos'!K:Q,7,0)</f>
        <v>#N/A</v>
      </c>
      <c r="E605" s="73">
        <f>'Cadastro de Produtos'!P583</f>
        <v>0</v>
      </c>
    </row>
    <row r="606" spans="1:5" x14ac:dyDescent="0.3">
      <c r="A606" s="62">
        <f>'Cadastro de Produtos'!O584</f>
        <v>0</v>
      </c>
      <c r="B606" s="63">
        <f>'Cadastro de Produtos'!K584</f>
        <v>0</v>
      </c>
      <c r="C606" s="63">
        <f>'Cadastro de Produtos'!L584</f>
        <v>0</v>
      </c>
      <c r="D606" s="72" t="e">
        <f>VLOOKUP(B606,'Cadastro de Produtos'!K:Q,7,0)</f>
        <v>#N/A</v>
      </c>
      <c r="E606" s="73">
        <f>'Cadastro de Produtos'!P584</f>
        <v>0</v>
      </c>
    </row>
    <row r="607" spans="1:5" x14ac:dyDescent="0.3">
      <c r="A607" s="62">
        <f>'Cadastro de Produtos'!O585</f>
        <v>0</v>
      </c>
      <c r="B607" s="63">
        <f>'Cadastro de Produtos'!K585</f>
        <v>0</v>
      </c>
      <c r="C607" s="63">
        <f>'Cadastro de Produtos'!L585</f>
        <v>0</v>
      </c>
      <c r="D607" s="72" t="e">
        <f>VLOOKUP(B607,'Cadastro de Produtos'!K:Q,7,0)</f>
        <v>#N/A</v>
      </c>
      <c r="E607" s="73">
        <f>'Cadastro de Produtos'!P585</f>
        <v>0</v>
      </c>
    </row>
    <row r="608" spans="1:5" x14ac:dyDescent="0.3">
      <c r="A608" s="62">
        <f>'Cadastro de Produtos'!O586</f>
        <v>0</v>
      </c>
      <c r="B608" s="63">
        <f>'Cadastro de Produtos'!K586</f>
        <v>0</v>
      </c>
      <c r="C608" s="63">
        <f>'Cadastro de Produtos'!L586</f>
        <v>0</v>
      </c>
      <c r="D608" s="72" t="e">
        <f>VLOOKUP(B608,'Cadastro de Produtos'!K:Q,7,0)</f>
        <v>#N/A</v>
      </c>
      <c r="E608" s="73">
        <f>'Cadastro de Produtos'!P586</f>
        <v>0</v>
      </c>
    </row>
    <row r="609" spans="1:5" x14ac:dyDescent="0.3">
      <c r="A609" s="62">
        <f>'Cadastro de Produtos'!O587</f>
        <v>0</v>
      </c>
      <c r="B609" s="63">
        <f>'Cadastro de Produtos'!K587</f>
        <v>0</v>
      </c>
      <c r="C609" s="63">
        <f>'Cadastro de Produtos'!L587</f>
        <v>0</v>
      </c>
      <c r="D609" s="72" t="e">
        <f>VLOOKUP(B609,'Cadastro de Produtos'!K:Q,7,0)</f>
        <v>#N/A</v>
      </c>
      <c r="E609" s="73">
        <f>'Cadastro de Produtos'!P587</f>
        <v>0</v>
      </c>
    </row>
    <row r="610" spans="1:5" x14ac:dyDescent="0.3">
      <c r="A610" s="62">
        <f>'Cadastro de Produtos'!O588</f>
        <v>0</v>
      </c>
      <c r="B610" s="63">
        <f>'Cadastro de Produtos'!K588</f>
        <v>0</v>
      </c>
      <c r="C610" s="63">
        <f>'Cadastro de Produtos'!L588</f>
        <v>0</v>
      </c>
      <c r="D610" s="72" t="e">
        <f>VLOOKUP(B610,'Cadastro de Produtos'!K:Q,7,0)</f>
        <v>#N/A</v>
      </c>
      <c r="E610" s="73">
        <f>'Cadastro de Produtos'!P588</f>
        <v>0</v>
      </c>
    </row>
    <row r="611" spans="1:5" x14ac:dyDescent="0.3">
      <c r="A611" s="62">
        <f>'Cadastro de Produtos'!O589</f>
        <v>0</v>
      </c>
      <c r="B611" s="63">
        <f>'Cadastro de Produtos'!K589</f>
        <v>0</v>
      </c>
      <c r="C611" s="63">
        <f>'Cadastro de Produtos'!L589</f>
        <v>0</v>
      </c>
      <c r="D611" s="72" t="e">
        <f>VLOOKUP(B611,'Cadastro de Produtos'!K:Q,7,0)</f>
        <v>#N/A</v>
      </c>
      <c r="E611" s="73">
        <f>'Cadastro de Produtos'!P589</f>
        <v>0</v>
      </c>
    </row>
    <row r="612" spans="1:5" x14ac:dyDescent="0.3">
      <c r="A612" s="62">
        <f>'Cadastro de Produtos'!O590</f>
        <v>0</v>
      </c>
      <c r="B612" s="63">
        <f>'Cadastro de Produtos'!K590</f>
        <v>0</v>
      </c>
      <c r="C612" s="63">
        <f>'Cadastro de Produtos'!L590</f>
        <v>0</v>
      </c>
      <c r="D612" s="72" t="e">
        <f>VLOOKUP(B612,'Cadastro de Produtos'!K:Q,7,0)</f>
        <v>#N/A</v>
      </c>
      <c r="E612" s="73">
        <f>'Cadastro de Produtos'!P590</f>
        <v>0</v>
      </c>
    </row>
    <row r="613" spans="1:5" x14ac:dyDescent="0.3">
      <c r="A613" s="62">
        <f>'Cadastro de Produtos'!O591</f>
        <v>0</v>
      </c>
      <c r="B613" s="63">
        <f>'Cadastro de Produtos'!K591</f>
        <v>0</v>
      </c>
      <c r="C613" s="63">
        <f>'Cadastro de Produtos'!L591</f>
        <v>0</v>
      </c>
      <c r="D613" s="72" t="e">
        <f>VLOOKUP(B613,'Cadastro de Produtos'!K:Q,7,0)</f>
        <v>#N/A</v>
      </c>
      <c r="E613" s="73">
        <f>'Cadastro de Produtos'!P591</f>
        <v>0</v>
      </c>
    </row>
    <row r="614" spans="1:5" x14ac:dyDescent="0.3">
      <c r="A614" s="62">
        <f>'Cadastro de Produtos'!O592</f>
        <v>0</v>
      </c>
      <c r="B614" s="63">
        <f>'Cadastro de Produtos'!K592</f>
        <v>0</v>
      </c>
      <c r="C614" s="63">
        <f>'Cadastro de Produtos'!L592</f>
        <v>0</v>
      </c>
      <c r="D614" s="72" t="e">
        <f>VLOOKUP(B614,'Cadastro de Produtos'!K:Q,7,0)</f>
        <v>#N/A</v>
      </c>
      <c r="E614" s="73">
        <f>'Cadastro de Produtos'!P592</f>
        <v>0</v>
      </c>
    </row>
    <row r="615" spans="1:5" x14ac:dyDescent="0.3">
      <c r="A615" s="62">
        <f>'Cadastro de Produtos'!O593</f>
        <v>0</v>
      </c>
      <c r="B615" s="63">
        <f>'Cadastro de Produtos'!K593</f>
        <v>0</v>
      </c>
      <c r="C615" s="63">
        <f>'Cadastro de Produtos'!L593</f>
        <v>0</v>
      </c>
      <c r="D615" s="72" t="e">
        <f>VLOOKUP(B615,'Cadastro de Produtos'!K:Q,7,0)</f>
        <v>#N/A</v>
      </c>
      <c r="E615" s="73">
        <f>'Cadastro de Produtos'!P593</f>
        <v>0</v>
      </c>
    </row>
    <row r="616" spans="1:5" x14ac:dyDescent="0.3">
      <c r="A616" s="62">
        <f>'Cadastro de Produtos'!O594</f>
        <v>0</v>
      </c>
      <c r="B616" s="63">
        <f>'Cadastro de Produtos'!K594</f>
        <v>0</v>
      </c>
      <c r="C616" s="63">
        <f>'Cadastro de Produtos'!L594</f>
        <v>0</v>
      </c>
      <c r="D616" s="72" t="e">
        <f>VLOOKUP(B616,'Cadastro de Produtos'!K:Q,7,0)</f>
        <v>#N/A</v>
      </c>
      <c r="E616" s="73">
        <f>'Cadastro de Produtos'!P594</f>
        <v>0</v>
      </c>
    </row>
    <row r="617" spans="1:5" x14ac:dyDescent="0.3">
      <c r="A617" s="62">
        <f>'Cadastro de Produtos'!O595</f>
        <v>0</v>
      </c>
      <c r="B617" s="63">
        <f>'Cadastro de Produtos'!K595</f>
        <v>0</v>
      </c>
      <c r="C617" s="63">
        <f>'Cadastro de Produtos'!L595</f>
        <v>0</v>
      </c>
      <c r="D617" s="72" t="e">
        <f>VLOOKUP(B617,'Cadastro de Produtos'!K:Q,7,0)</f>
        <v>#N/A</v>
      </c>
      <c r="E617" s="73">
        <f>'Cadastro de Produtos'!P595</f>
        <v>0</v>
      </c>
    </row>
    <row r="618" spans="1:5" x14ac:dyDescent="0.3">
      <c r="A618" s="62">
        <f>'Cadastro de Produtos'!O596</f>
        <v>0</v>
      </c>
      <c r="B618" s="63">
        <f>'Cadastro de Produtos'!K596</f>
        <v>0</v>
      </c>
      <c r="C618" s="63">
        <f>'Cadastro de Produtos'!L596</f>
        <v>0</v>
      </c>
      <c r="D618" s="72" t="e">
        <f>VLOOKUP(B618,'Cadastro de Produtos'!K:Q,7,0)</f>
        <v>#N/A</v>
      </c>
      <c r="E618" s="73">
        <f>'Cadastro de Produtos'!P596</f>
        <v>0</v>
      </c>
    </row>
    <row r="619" spans="1:5" x14ac:dyDescent="0.3">
      <c r="A619" s="62">
        <f>'Cadastro de Produtos'!O597</f>
        <v>0</v>
      </c>
      <c r="B619" s="63">
        <f>'Cadastro de Produtos'!K597</f>
        <v>0</v>
      </c>
      <c r="C619" s="63">
        <f>'Cadastro de Produtos'!L597</f>
        <v>0</v>
      </c>
      <c r="D619" s="72" t="e">
        <f>VLOOKUP(B619,'Cadastro de Produtos'!K:Q,7,0)</f>
        <v>#N/A</v>
      </c>
      <c r="E619" s="73">
        <f>'Cadastro de Produtos'!P597</f>
        <v>0</v>
      </c>
    </row>
    <row r="620" spans="1:5" x14ac:dyDescent="0.3">
      <c r="A620" s="62">
        <f>'Cadastro de Produtos'!O598</f>
        <v>0</v>
      </c>
      <c r="B620" s="63">
        <f>'Cadastro de Produtos'!K598</f>
        <v>0</v>
      </c>
      <c r="C620" s="63">
        <f>'Cadastro de Produtos'!L598</f>
        <v>0</v>
      </c>
      <c r="D620" s="72" t="e">
        <f>VLOOKUP(B620,'Cadastro de Produtos'!K:Q,7,0)</f>
        <v>#N/A</v>
      </c>
      <c r="E620" s="73">
        <f>'Cadastro de Produtos'!P598</f>
        <v>0</v>
      </c>
    </row>
    <row r="621" spans="1:5" x14ac:dyDescent="0.3">
      <c r="A621" s="62">
        <f>'Cadastro de Produtos'!O599</f>
        <v>0</v>
      </c>
      <c r="B621" s="63">
        <f>'Cadastro de Produtos'!K599</f>
        <v>0</v>
      </c>
      <c r="C621" s="63">
        <f>'Cadastro de Produtos'!L599</f>
        <v>0</v>
      </c>
      <c r="D621" s="72" t="e">
        <f>VLOOKUP(B621,'Cadastro de Produtos'!K:Q,7,0)</f>
        <v>#N/A</v>
      </c>
      <c r="E621" s="73">
        <f>'Cadastro de Produtos'!P599</f>
        <v>0</v>
      </c>
    </row>
    <row r="622" spans="1:5" x14ac:dyDescent="0.3">
      <c r="A622" s="62">
        <f>'Cadastro de Produtos'!O600</f>
        <v>0</v>
      </c>
      <c r="B622" s="63">
        <f>'Cadastro de Produtos'!K600</f>
        <v>0</v>
      </c>
      <c r="C622" s="63">
        <f>'Cadastro de Produtos'!L600</f>
        <v>0</v>
      </c>
      <c r="D622" s="72" t="e">
        <f>VLOOKUP(B622,'Cadastro de Produtos'!K:Q,7,0)</f>
        <v>#N/A</v>
      </c>
      <c r="E622" s="73">
        <f>'Cadastro de Produtos'!P600</f>
        <v>0</v>
      </c>
    </row>
    <row r="623" spans="1:5" x14ac:dyDescent="0.3">
      <c r="A623" s="62">
        <f>'Cadastro de Produtos'!O601</f>
        <v>0</v>
      </c>
      <c r="B623" s="63">
        <f>'Cadastro de Produtos'!K601</f>
        <v>0</v>
      </c>
      <c r="C623" s="63">
        <f>'Cadastro de Produtos'!L601</f>
        <v>0</v>
      </c>
      <c r="D623" s="72" t="e">
        <f>VLOOKUP(B623,'Cadastro de Produtos'!K:Q,7,0)</f>
        <v>#N/A</v>
      </c>
      <c r="E623" s="73">
        <f>'Cadastro de Produtos'!P601</f>
        <v>0</v>
      </c>
    </row>
    <row r="624" spans="1:5" x14ac:dyDescent="0.3">
      <c r="A624" s="62">
        <f>'Cadastro de Produtos'!O602</f>
        <v>0</v>
      </c>
      <c r="B624" s="63">
        <f>'Cadastro de Produtos'!K602</f>
        <v>0</v>
      </c>
      <c r="C624" s="63">
        <f>'Cadastro de Produtos'!L602</f>
        <v>0</v>
      </c>
      <c r="D624" s="72" t="e">
        <f>VLOOKUP(B624,'Cadastro de Produtos'!K:Q,7,0)</f>
        <v>#N/A</v>
      </c>
      <c r="E624" s="73">
        <f>'Cadastro de Produtos'!P602</f>
        <v>0</v>
      </c>
    </row>
    <row r="625" spans="1:5" x14ac:dyDescent="0.3">
      <c r="A625" s="62">
        <f>'Cadastro de Produtos'!O603</f>
        <v>0</v>
      </c>
      <c r="B625" s="63">
        <f>'Cadastro de Produtos'!K603</f>
        <v>0</v>
      </c>
      <c r="C625" s="63">
        <f>'Cadastro de Produtos'!L603</f>
        <v>0</v>
      </c>
      <c r="D625" s="72" t="e">
        <f>VLOOKUP(B625,'Cadastro de Produtos'!K:Q,7,0)</f>
        <v>#N/A</v>
      </c>
      <c r="E625" s="73">
        <f>'Cadastro de Produtos'!P603</f>
        <v>0</v>
      </c>
    </row>
    <row r="626" spans="1:5" x14ac:dyDescent="0.3">
      <c r="A626" s="62">
        <f>'Cadastro de Produtos'!O604</f>
        <v>0</v>
      </c>
      <c r="B626" s="63">
        <f>'Cadastro de Produtos'!K604</f>
        <v>0</v>
      </c>
      <c r="C626" s="63">
        <f>'Cadastro de Produtos'!L604</f>
        <v>0</v>
      </c>
      <c r="D626" s="72" t="e">
        <f>VLOOKUP(B626,'Cadastro de Produtos'!K:Q,7,0)</f>
        <v>#N/A</v>
      </c>
      <c r="E626" s="73">
        <f>'Cadastro de Produtos'!P604</f>
        <v>0</v>
      </c>
    </row>
    <row r="627" spans="1:5" x14ac:dyDescent="0.3">
      <c r="A627" s="62">
        <f>'Cadastro de Produtos'!O605</f>
        <v>0</v>
      </c>
      <c r="B627" s="63">
        <f>'Cadastro de Produtos'!K605</f>
        <v>0</v>
      </c>
      <c r="C627" s="63">
        <f>'Cadastro de Produtos'!L605</f>
        <v>0</v>
      </c>
      <c r="D627" s="72" t="e">
        <f>VLOOKUP(B627,'Cadastro de Produtos'!K:Q,7,0)</f>
        <v>#N/A</v>
      </c>
      <c r="E627" s="73">
        <f>'Cadastro de Produtos'!P605</f>
        <v>0</v>
      </c>
    </row>
    <row r="628" spans="1:5" x14ac:dyDescent="0.3">
      <c r="A628" s="62">
        <f>'Cadastro de Produtos'!O606</f>
        <v>0</v>
      </c>
      <c r="B628" s="63">
        <f>'Cadastro de Produtos'!K606</f>
        <v>0</v>
      </c>
      <c r="C628" s="63">
        <f>'Cadastro de Produtos'!L606</f>
        <v>0</v>
      </c>
      <c r="D628" s="72" t="e">
        <f>VLOOKUP(B628,'Cadastro de Produtos'!K:Q,7,0)</f>
        <v>#N/A</v>
      </c>
      <c r="E628" s="73">
        <f>'Cadastro de Produtos'!P606</f>
        <v>0</v>
      </c>
    </row>
    <row r="629" spans="1:5" x14ac:dyDescent="0.3">
      <c r="A629" s="62">
        <f>'Cadastro de Produtos'!O607</f>
        <v>0</v>
      </c>
      <c r="B629" s="63">
        <f>'Cadastro de Produtos'!K607</f>
        <v>0</v>
      </c>
      <c r="C629" s="63">
        <f>'Cadastro de Produtos'!L607</f>
        <v>0</v>
      </c>
      <c r="D629" s="72" t="e">
        <f>VLOOKUP(B629,'Cadastro de Produtos'!K:Q,7,0)</f>
        <v>#N/A</v>
      </c>
      <c r="E629" s="73">
        <f>'Cadastro de Produtos'!P607</f>
        <v>0</v>
      </c>
    </row>
    <row r="630" spans="1:5" x14ac:dyDescent="0.3">
      <c r="A630" s="62">
        <f>'Cadastro de Produtos'!O608</f>
        <v>0</v>
      </c>
      <c r="B630" s="63">
        <f>'Cadastro de Produtos'!K608</f>
        <v>0</v>
      </c>
      <c r="C630" s="63">
        <f>'Cadastro de Produtos'!L608</f>
        <v>0</v>
      </c>
      <c r="D630" s="72" t="e">
        <f>VLOOKUP(B630,'Cadastro de Produtos'!K:Q,7,0)</f>
        <v>#N/A</v>
      </c>
      <c r="E630" s="73">
        <f>'Cadastro de Produtos'!P608</f>
        <v>0</v>
      </c>
    </row>
    <row r="631" spans="1:5" x14ac:dyDescent="0.3">
      <c r="A631" s="62">
        <f>'Cadastro de Produtos'!O609</f>
        <v>0</v>
      </c>
      <c r="B631" s="63">
        <f>'Cadastro de Produtos'!K609</f>
        <v>0</v>
      </c>
      <c r="C631" s="63">
        <f>'Cadastro de Produtos'!L609</f>
        <v>0</v>
      </c>
      <c r="D631" s="72" t="e">
        <f>VLOOKUP(B631,'Cadastro de Produtos'!K:Q,7,0)</f>
        <v>#N/A</v>
      </c>
      <c r="E631" s="73">
        <f>'Cadastro de Produtos'!P609</f>
        <v>0</v>
      </c>
    </row>
    <row r="632" spans="1:5" x14ac:dyDescent="0.3">
      <c r="A632" s="62">
        <f>'Cadastro de Produtos'!O610</f>
        <v>0</v>
      </c>
      <c r="B632" s="63">
        <f>'Cadastro de Produtos'!K610</f>
        <v>0</v>
      </c>
      <c r="C632" s="63">
        <f>'Cadastro de Produtos'!L610</f>
        <v>0</v>
      </c>
      <c r="D632" s="72" t="e">
        <f>VLOOKUP(B632,'Cadastro de Produtos'!K:Q,7,0)</f>
        <v>#N/A</v>
      </c>
      <c r="E632" s="73">
        <f>'Cadastro de Produtos'!P610</f>
        <v>0</v>
      </c>
    </row>
    <row r="633" spans="1:5" x14ac:dyDescent="0.3">
      <c r="A633" s="62">
        <f>'Cadastro de Produtos'!O611</f>
        <v>0</v>
      </c>
      <c r="B633" s="63">
        <f>'Cadastro de Produtos'!K611</f>
        <v>0</v>
      </c>
      <c r="C633" s="63">
        <f>'Cadastro de Produtos'!L611</f>
        <v>0</v>
      </c>
      <c r="D633" s="72" t="e">
        <f>VLOOKUP(B633,'Cadastro de Produtos'!K:Q,7,0)</f>
        <v>#N/A</v>
      </c>
      <c r="E633" s="73">
        <f>'Cadastro de Produtos'!P611</f>
        <v>0</v>
      </c>
    </row>
    <row r="634" spans="1:5" x14ac:dyDescent="0.3">
      <c r="A634" s="62">
        <f>'Cadastro de Produtos'!O612</f>
        <v>0</v>
      </c>
      <c r="B634" s="63">
        <f>'Cadastro de Produtos'!K612</f>
        <v>0</v>
      </c>
      <c r="C634" s="63">
        <f>'Cadastro de Produtos'!L612</f>
        <v>0</v>
      </c>
      <c r="D634" s="72" t="e">
        <f>VLOOKUP(B634,'Cadastro de Produtos'!K:Q,7,0)</f>
        <v>#N/A</v>
      </c>
      <c r="E634" s="73">
        <f>'Cadastro de Produtos'!P612</f>
        <v>0</v>
      </c>
    </row>
    <row r="635" spans="1:5" x14ac:dyDescent="0.3">
      <c r="A635" s="62">
        <f>'Cadastro de Produtos'!O613</f>
        <v>0</v>
      </c>
      <c r="B635" s="63">
        <f>'Cadastro de Produtos'!K613</f>
        <v>0</v>
      </c>
      <c r="C635" s="63">
        <f>'Cadastro de Produtos'!L613</f>
        <v>0</v>
      </c>
      <c r="D635" s="72" t="e">
        <f>VLOOKUP(B635,'Cadastro de Produtos'!K:Q,7,0)</f>
        <v>#N/A</v>
      </c>
      <c r="E635" s="73">
        <f>'Cadastro de Produtos'!P613</f>
        <v>0</v>
      </c>
    </row>
    <row r="636" spans="1:5" x14ac:dyDescent="0.3">
      <c r="A636" s="62">
        <f>'Cadastro de Produtos'!O614</f>
        <v>0</v>
      </c>
      <c r="B636" s="63">
        <f>'Cadastro de Produtos'!K614</f>
        <v>0</v>
      </c>
      <c r="C636" s="63">
        <f>'Cadastro de Produtos'!L614</f>
        <v>0</v>
      </c>
      <c r="D636" s="72" t="e">
        <f>VLOOKUP(B636,'Cadastro de Produtos'!K:Q,7,0)</f>
        <v>#N/A</v>
      </c>
      <c r="E636" s="73">
        <f>'Cadastro de Produtos'!P614</f>
        <v>0</v>
      </c>
    </row>
    <row r="637" spans="1:5" x14ac:dyDescent="0.3">
      <c r="A637" s="62">
        <f>'Cadastro de Produtos'!O615</f>
        <v>0</v>
      </c>
      <c r="B637" s="63">
        <f>'Cadastro de Produtos'!K615</f>
        <v>0</v>
      </c>
      <c r="C637" s="63">
        <f>'Cadastro de Produtos'!L615</f>
        <v>0</v>
      </c>
      <c r="D637" s="72" t="e">
        <f>VLOOKUP(B637,'Cadastro de Produtos'!K:Q,7,0)</f>
        <v>#N/A</v>
      </c>
      <c r="E637" s="73">
        <f>'Cadastro de Produtos'!P615</f>
        <v>0</v>
      </c>
    </row>
    <row r="638" spans="1:5" x14ac:dyDescent="0.3">
      <c r="A638" s="62">
        <f>'Cadastro de Produtos'!O616</f>
        <v>0</v>
      </c>
      <c r="B638" s="63">
        <f>'Cadastro de Produtos'!K616</f>
        <v>0</v>
      </c>
      <c r="C638" s="63">
        <f>'Cadastro de Produtos'!L616</f>
        <v>0</v>
      </c>
      <c r="D638" s="72" t="e">
        <f>VLOOKUP(B638,'Cadastro de Produtos'!K:Q,7,0)</f>
        <v>#N/A</v>
      </c>
      <c r="E638" s="73">
        <f>'Cadastro de Produtos'!P616</f>
        <v>0</v>
      </c>
    </row>
    <row r="639" spans="1:5" x14ac:dyDescent="0.3">
      <c r="A639" s="62">
        <f>'Cadastro de Produtos'!O617</f>
        <v>0</v>
      </c>
      <c r="B639" s="63">
        <f>'Cadastro de Produtos'!K617</f>
        <v>0</v>
      </c>
      <c r="C639" s="63">
        <f>'Cadastro de Produtos'!L617</f>
        <v>0</v>
      </c>
      <c r="D639" s="72" t="e">
        <f>VLOOKUP(B639,'Cadastro de Produtos'!K:Q,7,0)</f>
        <v>#N/A</v>
      </c>
      <c r="E639" s="73">
        <f>'Cadastro de Produtos'!P617</f>
        <v>0</v>
      </c>
    </row>
    <row r="640" spans="1:5" x14ac:dyDescent="0.3">
      <c r="A640" s="62">
        <f>'Cadastro de Produtos'!O618</f>
        <v>0</v>
      </c>
      <c r="B640" s="63">
        <f>'Cadastro de Produtos'!K618</f>
        <v>0</v>
      </c>
      <c r="C640" s="63">
        <f>'Cadastro de Produtos'!L618</f>
        <v>0</v>
      </c>
      <c r="D640" s="72" t="e">
        <f>VLOOKUP(B640,'Cadastro de Produtos'!K:Q,7,0)</f>
        <v>#N/A</v>
      </c>
      <c r="E640" s="73">
        <f>'Cadastro de Produtos'!P618</f>
        <v>0</v>
      </c>
    </row>
    <row r="641" spans="1:5" x14ac:dyDescent="0.3">
      <c r="A641" s="62">
        <f>'Cadastro de Produtos'!O619</f>
        <v>0</v>
      </c>
      <c r="B641" s="63">
        <f>'Cadastro de Produtos'!K619</f>
        <v>0</v>
      </c>
      <c r="C641" s="63">
        <f>'Cadastro de Produtos'!L619</f>
        <v>0</v>
      </c>
      <c r="D641" s="72" t="e">
        <f>VLOOKUP(B641,'Cadastro de Produtos'!K:Q,7,0)</f>
        <v>#N/A</v>
      </c>
      <c r="E641" s="73">
        <f>'Cadastro de Produtos'!P619</f>
        <v>0</v>
      </c>
    </row>
    <row r="642" spans="1:5" x14ac:dyDescent="0.3">
      <c r="A642" s="62">
        <f>'Cadastro de Produtos'!O620</f>
        <v>0</v>
      </c>
      <c r="B642" s="63">
        <f>'Cadastro de Produtos'!K620</f>
        <v>0</v>
      </c>
      <c r="C642" s="63">
        <f>'Cadastro de Produtos'!L620</f>
        <v>0</v>
      </c>
      <c r="D642" s="72" t="e">
        <f>VLOOKUP(B642,'Cadastro de Produtos'!K:Q,7,0)</f>
        <v>#N/A</v>
      </c>
      <c r="E642" s="73">
        <f>'Cadastro de Produtos'!P620</f>
        <v>0</v>
      </c>
    </row>
    <row r="643" spans="1:5" x14ac:dyDescent="0.3">
      <c r="A643" s="62">
        <f>'Cadastro de Produtos'!O621</f>
        <v>0</v>
      </c>
      <c r="B643" s="63">
        <f>'Cadastro de Produtos'!K621</f>
        <v>0</v>
      </c>
      <c r="C643" s="63">
        <f>'Cadastro de Produtos'!L621</f>
        <v>0</v>
      </c>
      <c r="D643" s="72" t="e">
        <f>VLOOKUP(B643,'Cadastro de Produtos'!K:Q,7,0)</f>
        <v>#N/A</v>
      </c>
      <c r="E643" s="73">
        <f>'Cadastro de Produtos'!P621</f>
        <v>0</v>
      </c>
    </row>
    <row r="644" spans="1:5" x14ac:dyDescent="0.3">
      <c r="A644" s="62">
        <f>'Cadastro de Produtos'!O622</f>
        <v>0</v>
      </c>
      <c r="B644" s="63">
        <f>'Cadastro de Produtos'!K622</f>
        <v>0</v>
      </c>
      <c r="C644" s="63">
        <f>'Cadastro de Produtos'!L622</f>
        <v>0</v>
      </c>
      <c r="D644" s="72" t="e">
        <f>VLOOKUP(B644,'Cadastro de Produtos'!K:Q,7,0)</f>
        <v>#N/A</v>
      </c>
      <c r="E644" s="73">
        <f>'Cadastro de Produtos'!P622</f>
        <v>0</v>
      </c>
    </row>
    <row r="645" spans="1:5" x14ac:dyDescent="0.3">
      <c r="A645" s="62">
        <f>'Cadastro de Produtos'!O623</f>
        <v>0</v>
      </c>
      <c r="B645" s="63">
        <f>'Cadastro de Produtos'!K623</f>
        <v>0</v>
      </c>
      <c r="C645" s="63">
        <f>'Cadastro de Produtos'!L623</f>
        <v>0</v>
      </c>
      <c r="D645" s="72" t="e">
        <f>VLOOKUP(B645,'Cadastro de Produtos'!K:Q,7,0)</f>
        <v>#N/A</v>
      </c>
      <c r="E645" s="73">
        <f>'Cadastro de Produtos'!P623</f>
        <v>0</v>
      </c>
    </row>
    <row r="646" spans="1:5" x14ac:dyDescent="0.3">
      <c r="A646" s="62">
        <f>'Cadastro de Produtos'!O624</f>
        <v>0</v>
      </c>
      <c r="B646" s="63">
        <f>'Cadastro de Produtos'!K624</f>
        <v>0</v>
      </c>
      <c r="C646" s="63">
        <f>'Cadastro de Produtos'!L624</f>
        <v>0</v>
      </c>
      <c r="D646" s="72" t="e">
        <f>VLOOKUP(B646,'Cadastro de Produtos'!K:Q,7,0)</f>
        <v>#N/A</v>
      </c>
      <c r="E646" s="73">
        <f>'Cadastro de Produtos'!P624</f>
        <v>0</v>
      </c>
    </row>
    <row r="647" spans="1:5" x14ac:dyDescent="0.3">
      <c r="A647" s="62">
        <f>'Cadastro de Produtos'!O625</f>
        <v>0</v>
      </c>
      <c r="B647" s="63">
        <f>'Cadastro de Produtos'!K625</f>
        <v>0</v>
      </c>
      <c r="C647" s="63">
        <f>'Cadastro de Produtos'!L625</f>
        <v>0</v>
      </c>
      <c r="D647" s="72" t="e">
        <f>VLOOKUP(B647,'Cadastro de Produtos'!K:Q,7,0)</f>
        <v>#N/A</v>
      </c>
      <c r="E647" s="73">
        <f>'Cadastro de Produtos'!P625</f>
        <v>0</v>
      </c>
    </row>
    <row r="648" spans="1:5" x14ac:dyDescent="0.3">
      <c r="A648" s="62">
        <f>'Cadastro de Produtos'!O626</f>
        <v>0</v>
      </c>
      <c r="B648" s="63">
        <f>'Cadastro de Produtos'!K626</f>
        <v>0</v>
      </c>
      <c r="C648" s="63">
        <f>'Cadastro de Produtos'!L626</f>
        <v>0</v>
      </c>
      <c r="D648" s="72" t="e">
        <f>VLOOKUP(B648,'Cadastro de Produtos'!K:Q,7,0)</f>
        <v>#N/A</v>
      </c>
      <c r="E648" s="73">
        <f>'Cadastro de Produtos'!P626</f>
        <v>0</v>
      </c>
    </row>
    <row r="649" spans="1:5" x14ac:dyDescent="0.3">
      <c r="A649" s="62">
        <f>'Cadastro de Produtos'!O627</f>
        <v>0</v>
      </c>
      <c r="B649" s="63">
        <f>'Cadastro de Produtos'!K627</f>
        <v>0</v>
      </c>
      <c r="C649" s="63">
        <f>'Cadastro de Produtos'!L627</f>
        <v>0</v>
      </c>
      <c r="D649" s="72" t="e">
        <f>VLOOKUP(B649,'Cadastro de Produtos'!K:Q,7,0)</f>
        <v>#N/A</v>
      </c>
      <c r="E649" s="73">
        <f>'Cadastro de Produtos'!P627</f>
        <v>0</v>
      </c>
    </row>
    <row r="650" spans="1:5" x14ac:dyDescent="0.3">
      <c r="A650" s="62">
        <f>'Cadastro de Produtos'!O628</f>
        <v>0</v>
      </c>
      <c r="B650" s="63">
        <f>'Cadastro de Produtos'!K628</f>
        <v>0</v>
      </c>
      <c r="C650" s="63">
        <f>'Cadastro de Produtos'!L628</f>
        <v>0</v>
      </c>
      <c r="D650" s="72" t="e">
        <f>VLOOKUP(B650,'Cadastro de Produtos'!K:Q,7,0)</f>
        <v>#N/A</v>
      </c>
      <c r="E650" s="73">
        <f>'Cadastro de Produtos'!P628</f>
        <v>0</v>
      </c>
    </row>
    <row r="651" spans="1:5" x14ac:dyDescent="0.3">
      <c r="A651" s="62">
        <f>'Cadastro de Produtos'!O629</f>
        <v>0</v>
      </c>
      <c r="B651" s="63">
        <f>'Cadastro de Produtos'!K629</f>
        <v>0</v>
      </c>
      <c r="C651" s="63">
        <f>'Cadastro de Produtos'!L629</f>
        <v>0</v>
      </c>
      <c r="D651" s="72" t="e">
        <f>VLOOKUP(B651,'Cadastro de Produtos'!K:Q,7,0)</f>
        <v>#N/A</v>
      </c>
      <c r="E651" s="73">
        <f>'Cadastro de Produtos'!P629</f>
        <v>0</v>
      </c>
    </row>
    <row r="652" spans="1:5" x14ac:dyDescent="0.3">
      <c r="A652" s="62">
        <f>'Cadastro de Produtos'!O630</f>
        <v>0</v>
      </c>
      <c r="B652" s="63">
        <f>'Cadastro de Produtos'!K630</f>
        <v>0</v>
      </c>
      <c r="C652" s="63">
        <f>'Cadastro de Produtos'!L630</f>
        <v>0</v>
      </c>
      <c r="D652" s="72" t="e">
        <f>VLOOKUP(B652,'Cadastro de Produtos'!K:Q,7,0)</f>
        <v>#N/A</v>
      </c>
      <c r="E652" s="73">
        <f>'Cadastro de Produtos'!P630</f>
        <v>0</v>
      </c>
    </row>
    <row r="653" spans="1:5" x14ac:dyDescent="0.3">
      <c r="A653" s="62">
        <f>'Cadastro de Produtos'!O631</f>
        <v>0</v>
      </c>
      <c r="B653" s="63">
        <f>'Cadastro de Produtos'!K631</f>
        <v>0</v>
      </c>
      <c r="C653" s="63">
        <f>'Cadastro de Produtos'!L631</f>
        <v>0</v>
      </c>
      <c r="D653" s="72" t="e">
        <f>VLOOKUP(B653,'Cadastro de Produtos'!K:Q,7,0)</f>
        <v>#N/A</v>
      </c>
      <c r="E653" s="73">
        <f>'Cadastro de Produtos'!P631</f>
        <v>0</v>
      </c>
    </row>
    <row r="654" spans="1:5" x14ac:dyDescent="0.3">
      <c r="A654" s="62">
        <f>'Cadastro de Produtos'!O632</f>
        <v>0</v>
      </c>
      <c r="B654" s="63">
        <f>'Cadastro de Produtos'!K632</f>
        <v>0</v>
      </c>
      <c r="C654" s="63">
        <f>'Cadastro de Produtos'!L632</f>
        <v>0</v>
      </c>
      <c r="D654" s="72" t="e">
        <f>VLOOKUP(B654,'Cadastro de Produtos'!K:Q,7,0)</f>
        <v>#N/A</v>
      </c>
      <c r="E654" s="73">
        <f>'Cadastro de Produtos'!P632</f>
        <v>0</v>
      </c>
    </row>
    <row r="655" spans="1:5" x14ac:dyDescent="0.3">
      <c r="A655" s="62">
        <f>'Cadastro de Produtos'!O633</f>
        <v>0</v>
      </c>
      <c r="B655" s="63">
        <f>'Cadastro de Produtos'!K633</f>
        <v>0</v>
      </c>
      <c r="C655" s="63">
        <f>'Cadastro de Produtos'!L633</f>
        <v>0</v>
      </c>
      <c r="D655" s="72" t="e">
        <f>VLOOKUP(B655,'Cadastro de Produtos'!K:Q,7,0)</f>
        <v>#N/A</v>
      </c>
      <c r="E655" s="73">
        <f>'Cadastro de Produtos'!P633</f>
        <v>0</v>
      </c>
    </row>
    <row r="656" spans="1:5" x14ac:dyDescent="0.3">
      <c r="A656" s="62">
        <f>'Cadastro de Produtos'!O634</f>
        <v>0</v>
      </c>
      <c r="B656" s="63">
        <f>'Cadastro de Produtos'!K634</f>
        <v>0</v>
      </c>
      <c r="C656" s="63">
        <f>'Cadastro de Produtos'!L634</f>
        <v>0</v>
      </c>
      <c r="D656" s="72" t="e">
        <f>VLOOKUP(B656,'Cadastro de Produtos'!K:Q,7,0)</f>
        <v>#N/A</v>
      </c>
      <c r="E656" s="73">
        <f>'Cadastro de Produtos'!P634</f>
        <v>0</v>
      </c>
    </row>
    <row r="657" spans="1:5" x14ac:dyDescent="0.3">
      <c r="A657" s="62">
        <f>'Cadastro de Produtos'!O635</f>
        <v>0</v>
      </c>
      <c r="B657" s="63">
        <f>'Cadastro de Produtos'!K635</f>
        <v>0</v>
      </c>
      <c r="C657" s="63">
        <f>'Cadastro de Produtos'!L635</f>
        <v>0</v>
      </c>
      <c r="D657" s="72" t="e">
        <f>VLOOKUP(B657,'Cadastro de Produtos'!K:Q,7,0)</f>
        <v>#N/A</v>
      </c>
      <c r="E657" s="73">
        <f>'Cadastro de Produtos'!P635</f>
        <v>0</v>
      </c>
    </row>
    <row r="658" spans="1:5" x14ac:dyDescent="0.3">
      <c r="A658" s="62">
        <f>'Cadastro de Produtos'!O636</f>
        <v>0</v>
      </c>
      <c r="B658" s="63">
        <f>'Cadastro de Produtos'!K636</f>
        <v>0</v>
      </c>
      <c r="C658" s="63">
        <f>'Cadastro de Produtos'!L636</f>
        <v>0</v>
      </c>
      <c r="D658" s="72" t="e">
        <f>VLOOKUP(B658,'Cadastro de Produtos'!K:Q,7,0)</f>
        <v>#N/A</v>
      </c>
      <c r="E658" s="73">
        <f>'Cadastro de Produtos'!P636</f>
        <v>0</v>
      </c>
    </row>
    <row r="659" spans="1:5" x14ac:dyDescent="0.3">
      <c r="A659" s="62">
        <f>'Cadastro de Produtos'!O637</f>
        <v>0</v>
      </c>
      <c r="B659" s="63">
        <f>'Cadastro de Produtos'!K637</f>
        <v>0</v>
      </c>
      <c r="C659" s="63">
        <f>'Cadastro de Produtos'!L637</f>
        <v>0</v>
      </c>
      <c r="D659" s="72" t="e">
        <f>VLOOKUP(B659,'Cadastro de Produtos'!K:Q,7,0)</f>
        <v>#N/A</v>
      </c>
      <c r="E659" s="73">
        <f>'Cadastro de Produtos'!P637</f>
        <v>0</v>
      </c>
    </row>
    <row r="660" spans="1:5" x14ac:dyDescent="0.3">
      <c r="A660" s="62">
        <f>'Cadastro de Produtos'!O638</f>
        <v>0</v>
      </c>
      <c r="B660" s="63">
        <f>'Cadastro de Produtos'!K638</f>
        <v>0</v>
      </c>
      <c r="C660" s="63">
        <f>'Cadastro de Produtos'!L638</f>
        <v>0</v>
      </c>
      <c r="D660" s="72" t="e">
        <f>VLOOKUP(B660,'Cadastro de Produtos'!K:Q,7,0)</f>
        <v>#N/A</v>
      </c>
      <c r="E660" s="73">
        <f>'Cadastro de Produtos'!P638</f>
        <v>0</v>
      </c>
    </row>
    <row r="661" spans="1:5" x14ac:dyDescent="0.3">
      <c r="A661" s="62">
        <f>'Cadastro de Produtos'!O639</f>
        <v>0</v>
      </c>
      <c r="B661" s="63">
        <f>'Cadastro de Produtos'!K639</f>
        <v>0</v>
      </c>
      <c r="C661" s="63">
        <f>'Cadastro de Produtos'!L639</f>
        <v>0</v>
      </c>
      <c r="D661" s="72" t="e">
        <f>VLOOKUP(B661,'Cadastro de Produtos'!K:Q,7,0)</f>
        <v>#N/A</v>
      </c>
      <c r="E661" s="73">
        <f>'Cadastro de Produtos'!P639</f>
        <v>0</v>
      </c>
    </row>
    <row r="662" spans="1:5" x14ac:dyDescent="0.3">
      <c r="A662" s="62">
        <f>'Cadastro de Produtos'!O640</f>
        <v>0</v>
      </c>
      <c r="B662" s="63">
        <f>'Cadastro de Produtos'!K640</f>
        <v>0</v>
      </c>
      <c r="C662" s="63">
        <f>'Cadastro de Produtos'!L640</f>
        <v>0</v>
      </c>
      <c r="D662" s="72" t="e">
        <f>VLOOKUP(B662,'Cadastro de Produtos'!K:Q,7,0)</f>
        <v>#N/A</v>
      </c>
      <c r="E662" s="73">
        <f>'Cadastro de Produtos'!P640</f>
        <v>0</v>
      </c>
    </row>
    <row r="663" spans="1:5" x14ac:dyDescent="0.3">
      <c r="A663" s="62">
        <f>'Cadastro de Produtos'!O641</f>
        <v>0</v>
      </c>
      <c r="B663" s="63">
        <f>'Cadastro de Produtos'!K641</f>
        <v>0</v>
      </c>
      <c r="C663" s="63">
        <f>'Cadastro de Produtos'!L641</f>
        <v>0</v>
      </c>
      <c r="D663" s="72" t="e">
        <f>VLOOKUP(B663,'Cadastro de Produtos'!K:Q,7,0)</f>
        <v>#N/A</v>
      </c>
      <c r="E663" s="73">
        <f>'Cadastro de Produtos'!P641</f>
        <v>0</v>
      </c>
    </row>
    <row r="664" spans="1:5" x14ac:dyDescent="0.3">
      <c r="A664" s="62">
        <f>'Cadastro de Produtos'!O642</f>
        <v>0</v>
      </c>
      <c r="B664" s="63">
        <f>'Cadastro de Produtos'!K642</f>
        <v>0</v>
      </c>
      <c r="C664" s="63">
        <f>'Cadastro de Produtos'!L642</f>
        <v>0</v>
      </c>
      <c r="D664" s="72" t="e">
        <f>VLOOKUP(B664,'Cadastro de Produtos'!K:Q,7,0)</f>
        <v>#N/A</v>
      </c>
      <c r="E664" s="73">
        <f>'Cadastro de Produtos'!P642</f>
        <v>0</v>
      </c>
    </row>
    <row r="665" spans="1:5" x14ac:dyDescent="0.3">
      <c r="A665" s="62">
        <f>'Cadastro de Produtos'!O643</f>
        <v>0</v>
      </c>
      <c r="B665" s="63">
        <f>'Cadastro de Produtos'!K643</f>
        <v>0</v>
      </c>
      <c r="C665" s="63">
        <f>'Cadastro de Produtos'!L643</f>
        <v>0</v>
      </c>
      <c r="D665" s="72" t="e">
        <f>VLOOKUP(B665,'Cadastro de Produtos'!K:Q,7,0)</f>
        <v>#N/A</v>
      </c>
      <c r="E665" s="73">
        <f>'Cadastro de Produtos'!P643</f>
        <v>0</v>
      </c>
    </row>
    <row r="666" spans="1:5" x14ac:dyDescent="0.3">
      <c r="A666" s="62">
        <f>'Cadastro de Produtos'!O644</f>
        <v>0</v>
      </c>
      <c r="B666" s="63">
        <f>'Cadastro de Produtos'!K644</f>
        <v>0</v>
      </c>
      <c r="C666" s="63">
        <f>'Cadastro de Produtos'!L644</f>
        <v>0</v>
      </c>
      <c r="D666" s="72" t="e">
        <f>VLOOKUP(B666,'Cadastro de Produtos'!K:Q,7,0)</f>
        <v>#N/A</v>
      </c>
      <c r="E666" s="73">
        <f>'Cadastro de Produtos'!P644</f>
        <v>0</v>
      </c>
    </row>
    <row r="667" spans="1:5" x14ac:dyDescent="0.3">
      <c r="A667" s="62">
        <f>'Cadastro de Produtos'!O645</f>
        <v>0</v>
      </c>
      <c r="B667" s="63">
        <f>'Cadastro de Produtos'!K645</f>
        <v>0</v>
      </c>
      <c r="C667" s="63">
        <f>'Cadastro de Produtos'!L645</f>
        <v>0</v>
      </c>
      <c r="D667" s="72" t="e">
        <f>VLOOKUP(B667,'Cadastro de Produtos'!K:Q,7,0)</f>
        <v>#N/A</v>
      </c>
      <c r="E667" s="73">
        <f>'Cadastro de Produtos'!P645</f>
        <v>0</v>
      </c>
    </row>
    <row r="668" spans="1:5" x14ac:dyDescent="0.3">
      <c r="A668" s="62">
        <f>'Cadastro de Produtos'!O646</f>
        <v>0</v>
      </c>
      <c r="B668" s="63">
        <f>'Cadastro de Produtos'!K646</f>
        <v>0</v>
      </c>
      <c r="C668" s="63">
        <f>'Cadastro de Produtos'!L646</f>
        <v>0</v>
      </c>
      <c r="D668" s="72" t="e">
        <f>VLOOKUP(B668,'Cadastro de Produtos'!K:Q,7,0)</f>
        <v>#N/A</v>
      </c>
      <c r="E668" s="73">
        <f>'Cadastro de Produtos'!P646</f>
        <v>0</v>
      </c>
    </row>
    <row r="669" spans="1:5" x14ac:dyDescent="0.3">
      <c r="A669" s="62">
        <f>'Cadastro de Produtos'!O647</f>
        <v>0</v>
      </c>
      <c r="B669" s="63">
        <f>'Cadastro de Produtos'!K647</f>
        <v>0</v>
      </c>
      <c r="C669" s="63">
        <f>'Cadastro de Produtos'!L647</f>
        <v>0</v>
      </c>
      <c r="D669" s="72" t="e">
        <f>VLOOKUP(B669,'Cadastro de Produtos'!K:Q,7,0)</f>
        <v>#N/A</v>
      </c>
      <c r="E669" s="73">
        <f>'Cadastro de Produtos'!P647</f>
        <v>0</v>
      </c>
    </row>
    <row r="670" spans="1:5" x14ac:dyDescent="0.3">
      <c r="A670" s="62">
        <f>'Cadastro de Produtos'!O648</f>
        <v>0</v>
      </c>
      <c r="B670" s="63">
        <f>'Cadastro de Produtos'!K648</f>
        <v>0</v>
      </c>
      <c r="C670" s="63">
        <f>'Cadastro de Produtos'!L648</f>
        <v>0</v>
      </c>
      <c r="D670" s="72" t="e">
        <f>VLOOKUP(B670,'Cadastro de Produtos'!K:Q,7,0)</f>
        <v>#N/A</v>
      </c>
      <c r="E670" s="73">
        <f>'Cadastro de Produtos'!P648</f>
        <v>0</v>
      </c>
    </row>
    <row r="671" spans="1:5" x14ac:dyDescent="0.3">
      <c r="A671" s="62">
        <f>'Cadastro de Produtos'!O649</f>
        <v>0</v>
      </c>
      <c r="B671" s="63">
        <f>'Cadastro de Produtos'!K649</f>
        <v>0</v>
      </c>
      <c r="C671" s="63">
        <f>'Cadastro de Produtos'!L649</f>
        <v>0</v>
      </c>
      <c r="D671" s="72" t="e">
        <f>VLOOKUP(B671,'Cadastro de Produtos'!K:Q,7,0)</f>
        <v>#N/A</v>
      </c>
      <c r="E671" s="73">
        <f>'Cadastro de Produtos'!P649</f>
        <v>0</v>
      </c>
    </row>
    <row r="672" spans="1:5" x14ac:dyDescent="0.3">
      <c r="A672" s="62">
        <f>'Cadastro de Produtos'!O650</f>
        <v>0</v>
      </c>
      <c r="B672" s="63">
        <f>'Cadastro de Produtos'!K650</f>
        <v>0</v>
      </c>
      <c r="C672" s="63">
        <f>'Cadastro de Produtos'!L650</f>
        <v>0</v>
      </c>
      <c r="D672" s="72" t="e">
        <f>VLOOKUP(B672,'Cadastro de Produtos'!K:Q,7,0)</f>
        <v>#N/A</v>
      </c>
      <c r="E672" s="73">
        <f>'Cadastro de Produtos'!P650</f>
        <v>0</v>
      </c>
    </row>
    <row r="673" spans="1:5" x14ac:dyDescent="0.3">
      <c r="A673" s="62">
        <f>'Cadastro de Produtos'!O651</f>
        <v>0</v>
      </c>
      <c r="B673" s="63">
        <f>'Cadastro de Produtos'!K651</f>
        <v>0</v>
      </c>
      <c r="C673" s="63">
        <f>'Cadastro de Produtos'!L651</f>
        <v>0</v>
      </c>
      <c r="D673" s="72" t="e">
        <f>VLOOKUP(B673,'Cadastro de Produtos'!K:Q,7,0)</f>
        <v>#N/A</v>
      </c>
      <c r="E673" s="73">
        <f>'Cadastro de Produtos'!P651</f>
        <v>0</v>
      </c>
    </row>
    <row r="674" spans="1:5" x14ac:dyDescent="0.3">
      <c r="A674" s="62">
        <f>'Cadastro de Produtos'!O652</f>
        <v>0</v>
      </c>
      <c r="B674" s="63">
        <f>'Cadastro de Produtos'!K652</f>
        <v>0</v>
      </c>
      <c r="C674" s="63">
        <f>'Cadastro de Produtos'!L652</f>
        <v>0</v>
      </c>
      <c r="D674" s="72" t="e">
        <f>VLOOKUP(B674,'Cadastro de Produtos'!K:Q,7,0)</f>
        <v>#N/A</v>
      </c>
      <c r="E674" s="73">
        <f>'Cadastro de Produtos'!P652</f>
        <v>0</v>
      </c>
    </row>
    <row r="675" spans="1:5" x14ac:dyDescent="0.3">
      <c r="A675" s="62">
        <f>'Cadastro de Produtos'!O653</f>
        <v>0</v>
      </c>
      <c r="B675" s="63">
        <f>'Cadastro de Produtos'!K653</f>
        <v>0</v>
      </c>
      <c r="C675" s="63">
        <f>'Cadastro de Produtos'!L653</f>
        <v>0</v>
      </c>
      <c r="D675" s="72" t="e">
        <f>VLOOKUP(B675,'Cadastro de Produtos'!K:Q,7,0)</f>
        <v>#N/A</v>
      </c>
      <c r="E675" s="73">
        <f>'Cadastro de Produtos'!P653</f>
        <v>0</v>
      </c>
    </row>
    <row r="676" spans="1:5" x14ac:dyDescent="0.3">
      <c r="A676" s="62">
        <f>'Cadastro de Produtos'!O654</f>
        <v>0</v>
      </c>
      <c r="B676" s="63">
        <f>'Cadastro de Produtos'!K654</f>
        <v>0</v>
      </c>
      <c r="C676" s="63">
        <f>'Cadastro de Produtos'!L654</f>
        <v>0</v>
      </c>
      <c r="D676" s="72" t="e">
        <f>VLOOKUP(B676,'Cadastro de Produtos'!K:Q,7,0)</f>
        <v>#N/A</v>
      </c>
      <c r="E676" s="73">
        <f>'Cadastro de Produtos'!P654</f>
        <v>0</v>
      </c>
    </row>
    <row r="677" spans="1:5" x14ac:dyDescent="0.3">
      <c r="A677" s="62">
        <f>'Cadastro de Produtos'!O655</f>
        <v>0</v>
      </c>
      <c r="B677" s="63">
        <f>'Cadastro de Produtos'!K655</f>
        <v>0</v>
      </c>
      <c r="C677" s="63">
        <f>'Cadastro de Produtos'!L655</f>
        <v>0</v>
      </c>
      <c r="D677" s="72" t="e">
        <f>VLOOKUP(B677,'Cadastro de Produtos'!K:Q,7,0)</f>
        <v>#N/A</v>
      </c>
      <c r="E677" s="73">
        <f>'Cadastro de Produtos'!P655</f>
        <v>0</v>
      </c>
    </row>
    <row r="678" spans="1:5" x14ac:dyDescent="0.3">
      <c r="A678" s="62">
        <f>'Cadastro de Produtos'!O656</f>
        <v>0</v>
      </c>
      <c r="B678" s="63">
        <f>'Cadastro de Produtos'!K656</f>
        <v>0</v>
      </c>
      <c r="C678" s="63">
        <f>'Cadastro de Produtos'!L656</f>
        <v>0</v>
      </c>
      <c r="D678" s="72" t="e">
        <f>VLOOKUP(B678,'Cadastro de Produtos'!K:Q,7,0)</f>
        <v>#N/A</v>
      </c>
      <c r="E678" s="73">
        <f>'Cadastro de Produtos'!P656</f>
        <v>0</v>
      </c>
    </row>
    <row r="679" spans="1:5" x14ac:dyDescent="0.3">
      <c r="A679" s="62">
        <f>'Cadastro de Produtos'!O657</f>
        <v>0</v>
      </c>
      <c r="B679" s="63">
        <f>'Cadastro de Produtos'!K657</f>
        <v>0</v>
      </c>
      <c r="C679" s="63">
        <f>'Cadastro de Produtos'!L657</f>
        <v>0</v>
      </c>
      <c r="D679" s="72" t="e">
        <f>VLOOKUP(B679,'Cadastro de Produtos'!K:Q,7,0)</f>
        <v>#N/A</v>
      </c>
      <c r="E679" s="73">
        <f>'Cadastro de Produtos'!P657</f>
        <v>0</v>
      </c>
    </row>
    <row r="680" spans="1:5" x14ac:dyDescent="0.3">
      <c r="A680" s="62">
        <f>'Cadastro de Produtos'!O658</f>
        <v>0</v>
      </c>
      <c r="B680" s="63">
        <f>'Cadastro de Produtos'!K658</f>
        <v>0</v>
      </c>
      <c r="C680" s="63">
        <f>'Cadastro de Produtos'!L658</f>
        <v>0</v>
      </c>
      <c r="D680" s="72" t="e">
        <f>VLOOKUP(B680,'Cadastro de Produtos'!K:Q,7,0)</f>
        <v>#N/A</v>
      </c>
      <c r="E680" s="73">
        <f>'Cadastro de Produtos'!P658</f>
        <v>0</v>
      </c>
    </row>
    <row r="681" spans="1:5" x14ac:dyDescent="0.3">
      <c r="A681" s="62">
        <f>'Cadastro de Produtos'!O659</f>
        <v>0</v>
      </c>
      <c r="B681" s="63">
        <f>'Cadastro de Produtos'!K659</f>
        <v>0</v>
      </c>
      <c r="C681" s="63">
        <f>'Cadastro de Produtos'!L659</f>
        <v>0</v>
      </c>
      <c r="D681" s="72" t="e">
        <f>VLOOKUP(B681,'Cadastro de Produtos'!K:Q,7,0)</f>
        <v>#N/A</v>
      </c>
      <c r="E681" s="73">
        <f>'Cadastro de Produtos'!P659</f>
        <v>0</v>
      </c>
    </row>
    <row r="682" spans="1:5" x14ac:dyDescent="0.3">
      <c r="A682" s="62">
        <f>'Cadastro de Produtos'!O660</f>
        <v>0</v>
      </c>
      <c r="B682" s="63">
        <f>'Cadastro de Produtos'!K660</f>
        <v>0</v>
      </c>
      <c r="C682" s="63">
        <f>'Cadastro de Produtos'!L660</f>
        <v>0</v>
      </c>
      <c r="D682" s="72" t="e">
        <f>VLOOKUP(B682,'Cadastro de Produtos'!K:Q,7,0)</f>
        <v>#N/A</v>
      </c>
      <c r="E682" s="73">
        <f>'Cadastro de Produtos'!P660</f>
        <v>0</v>
      </c>
    </row>
    <row r="683" spans="1:5" x14ac:dyDescent="0.3">
      <c r="A683" s="62">
        <f>'Cadastro de Produtos'!O661</f>
        <v>0</v>
      </c>
      <c r="B683" s="63">
        <f>'Cadastro de Produtos'!K661</f>
        <v>0</v>
      </c>
      <c r="C683" s="63">
        <f>'Cadastro de Produtos'!L661</f>
        <v>0</v>
      </c>
      <c r="D683" s="72" t="e">
        <f>VLOOKUP(B683,'Cadastro de Produtos'!K:Q,7,0)</f>
        <v>#N/A</v>
      </c>
      <c r="E683" s="73">
        <f>'Cadastro de Produtos'!P661</f>
        <v>0</v>
      </c>
    </row>
    <row r="684" spans="1:5" x14ac:dyDescent="0.3">
      <c r="A684" s="62">
        <f>'Cadastro de Produtos'!O662</f>
        <v>0</v>
      </c>
      <c r="B684" s="63">
        <f>'Cadastro de Produtos'!K662</f>
        <v>0</v>
      </c>
      <c r="C684" s="63">
        <f>'Cadastro de Produtos'!L662</f>
        <v>0</v>
      </c>
      <c r="D684" s="72" t="e">
        <f>VLOOKUP(B684,'Cadastro de Produtos'!K:Q,7,0)</f>
        <v>#N/A</v>
      </c>
      <c r="E684" s="73">
        <f>'Cadastro de Produtos'!P662</f>
        <v>0</v>
      </c>
    </row>
    <row r="685" spans="1:5" x14ac:dyDescent="0.3">
      <c r="A685" s="62">
        <f>'Cadastro de Produtos'!O663</f>
        <v>0</v>
      </c>
      <c r="B685" s="63">
        <f>'Cadastro de Produtos'!K663</f>
        <v>0</v>
      </c>
      <c r="C685" s="63">
        <f>'Cadastro de Produtos'!L663</f>
        <v>0</v>
      </c>
      <c r="D685" s="72" t="e">
        <f>VLOOKUP(B685,'Cadastro de Produtos'!K:Q,7,0)</f>
        <v>#N/A</v>
      </c>
      <c r="E685" s="73">
        <f>'Cadastro de Produtos'!P663</f>
        <v>0</v>
      </c>
    </row>
    <row r="686" spans="1:5" x14ac:dyDescent="0.3">
      <c r="A686" s="62">
        <f>'Cadastro de Produtos'!O664</f>
        <v>0</v>
      </c>
      <c r="B686" s="63">
        <f>'Cadastro de Produtos'!K664</f>
        <v>0</v>
      </c>
      <c r="C686" s="63">
        <f>'Cadastro de Produtos'!L664</f>
        <v>0</v>
      </c>
      <c r="D686" s="72" t="e">
        <f>VLOOKUP(B686,'Cadastro de Produtos'!K:Q,7,0)</f>
        <v>#N/A</v>
      </c>
      <c r="E686" s="73">
        <f>'Cadastro de Produtos'!P664</f>
        <v>0</v>
      </c>
    </row>
    <row r="687" spans="1:5" x14ac:dyDescent="0.3">
      <c r="A687" s="62">
        <f>'Cadastro de Produtos'!O665</f>
        <v>0</v>
      </c>
      <c r="B687" s="63">
        <f>'Cadastro de Produtos'!K665</f>
        <v>0</v>
      </c>
      <c r="C687" s="63">
        <f>'Cadastro de Produtos'!L665</f>
        <v>0</v>
      </c>
      <c r="D687" s="72" t="e">
        <f>VLOOKUP(B687,'Cadastro de Produtos'!K:Q,7,0)</f>
        <v>#N/A</v>
      </c>
      <c r="E687" s="73">
        <f>'Cadastro de Produtos'!P665</f>
        <v>0</v>
      </c>
    </row>
    <row r="688" spans="1:5" x14ac:dyDescent="0.3">
      <c r="A688" s="62">
        <f>'Cadastro de Produtos'!O666</f>
        <v>0</v>
      </c>
      <c r="B688" s="63">
        <f>'Cadastro de Produtos'!K666</f>
        <v>0</v>
      </c>
      <c r="C688" s="63">
        <f>'Cadastro de Produtos'!L666</f>
        <v>0</v>
      </c>
      <c r="D688" s="72" t="e">
        <f>VLOOKUP(B688,'Cadastro de Produtos'!K:Q,7,0)</f>
        <v>#N/A</v>
      </c>
      <c r="E688" s="73">
        <f>'Cadastro de Produtos'!P666</f>
        <v>0</v>
      </c>
    </row>
    <row r="689" spans="1:5" x14ac:dyDescent="0.3">
      <c r="A689" s="62">
        <f>'Cadastro de Produtos'!O667</f>
        <v>0</v>
      </c>
      <c r="B689" s="63">
        <f>'Cadastro de Produtos'!K667</f>
        <v>0</v>
      </c>
      <c r="C689" s="63">
        <f>'Cadastro de Produtos'!L667</f>
        <v>0</v>
      </c>
      <c r="D689" s="72" t="e">
        <f>VLOOKUP(B689,'Cadastro de Produtos'!K:Q,7,0)</f>
        <v>#N/A</v>
      </c>
      <c r="E689" s="73">
        <f>'Cadastro de Produtos'!P667</f>
        <v>0</v>
      </c>
    </row>
    <row r="690" spans="1:5" x14ac:dyDescent="0.3">
      <c r="A690" s="62">
        <f>'Cadastro de Produtos'!O668</f>
        <v>0</v>
      </c>
      <c r="B690" s="63">
        <f>'Cadastro de Produtos'!K668</f>
        <v>0</v>
      </c>
      <c r="C690" s="63">
        <f>'Cadastro de Produtos'!L668</f>
        <v>0</v>
      </c>
      <c r="D690" s="72" t="e">
        <f>VLOOKUP(B690,'Cadastro de Produtos'!K:Q,7,0)</f>
        <v>#N/A</v>
      </c>
      <c r="E690" s="73">
        <f>'Cadastro de Produtos'!P668</f>
        <v>0</v>
      </c>
    </row>
    <row r="691" spans="1:5" x14ac:dyDescent="0.3">
      <c r="A691" s="62">
        <f>'Cadastro de Produtos'!O669</f>
        <v>0</v>
      </c>
      <c r="B691" s="63">
        <f>'Cadastro de Produtos'!K669</f>
        <v>0</v>
      </c>
      <c r="C691" s="63">
        <f>'Cadastro de Produtos'!L669</f>
        <v>0</v>
      </c>
      <c r="D691" s="72" t="e">
        <f>VLOOKUP(B691,'Cadastro de Produtos'!K:Q,7,0)</f>
        <v>#N/A</v>
      </c>
      <c r="E691" s="73">
        <f>'Cadastro de Produtos'!P669</f>
        <v>0</v>
      </c>
    </row>
    <row r="692" spans="1:5" x14ac:dyDescent="0.3">
      <c r="A692" s="62">
        <f>'Cadastro de Produtos'!O670</f>
        <v>0</v>
      </c>
      <c r="B692" s="63">
        <f>'Cadastro de Produtos'!K670</f>
        <v>0</v>
      </c>
      <c r="C692" s="63">
        <f>'Cadastro de Produtos'!L670</f>
        <v>0</v>
      </c>
      <c r="D692" s="72" t="e">
        <f>VLOOKUP(B692,'Cadastro de Produtos'!K:Q,7,0)</f>
        <v>#N/A</v>
      </c>
      <c r="E692" s="73">
        <f>'Cadastro de Produtos'!P670</f>
        <v>0</v>
      </c>
    </row>
    <row r="693" spans="1:5" x14ac:dyDescent="0.3">
      <c r="A693" s="62">
        <f>'Cadastro de Produtos'!O671</f>
        <v>0</v>
      </c>
      <c r="B693" s="63">
        <f>'Cadastro de Produtos'!K671</f>
        <v>0</v>
      </c>
      <c r="C693" s="63">
        <f>'Cadastro de Produtos'!L671</f>
        <v>0</v>
      </c>
      <c r="D693" s="72" t="e">
        <f>VLOOKUP(B693,'Cadastro de Produtos'!K:Q,7,0)</f>
        <v>#N/A</v>
      </c>
      <c r="E693" s="73">
        <f>'Cadastro de Produtos'!P671</f>
        <v>0</v>
      </c>
    </row>
    <row r="694" spans="1:5" x14ac:dyDescent="0.3">
      <c r="A694" s="62">
        <f>'Cadastro de Produtos'!O672</f>
        <v>0</v>
      </c>
      <c r="B694" s="63">
        <f>'Cadastro de Produtos'!K672</f>
        <v>0</v>
      </c>
      <c r="C694" s="63">
        <f>'Cadastro de Produtos'!L672</f>
        <v>0</v>
      </c>
      <c r="D694" s="72" t="e">
        <f>VLOOKUP(B694,'Cadastro de Produtos'!K:Q,7,0)</f>
        <v>#N/A</v>
      </c>
      <c r="E694" s="73">
        <f>'Cadastro de Produtos'!P672</f>
        <v>0</v>
      </c>
    </row>
    <row r="695" spans="1:5" x14ac:dyDescent="0.3">
      <c r="A695" s="62">
        <f>'Cadastro de Produtos'!O673</f>
        <v>0</v>
      </c>
      <c r="B695" s="63">
        <f>'Cadastro de Produtos'!K673</f>
        <v>0</v>
      </c>
      <c r="C695" s="63">
        <f>'Cadastro de Produtos'!L673</f>
        <v>0</v>
      </c>
      <c r="D695" s="72" t="e">
        <f>VLOOKUP(B695,'Cadastro de Produtos'!K:Q,7,0)</f>
        <v>#N/A</v>
      </c>
      <c r="E695" s="73">
        <f>'Cadastro de Produtos'!P673</f>
        <v>0</v>
      </c>
    </row>
    <row r="696" spans="1:5" x14ac:dyDescent="0.3">
      <c r="A696" s="62">
        <f>'Cadastro de Produtos'!O674</f>
        <v>0</v>
      </c>
      <c r="B696" s="63">
        <f>'Cadastro de Produtos'!K674</f>
        <v>0</v>
      </c>
      <c r="C696" s="63">
        <f>'Cadastro de Produtos'!L674</f>
        <v>0</v>
      </c>
      <c r="D696" s="72" t="e">
        <f>VLOOKUP(B696,'Cadastro de Produtos'!K:Q,7,0)</f>
        <v>#N/A</v>
      </c>
      <c r="E696" s="73">
        <f>'Cadastro de Produtos'!P674</f>
        <v>0</v>
      </c>
    </row>
    <row r="697" spans="1:5" x14ac:dyDescent="0.3">
      <c r="A697" s="62">
        <f>'Cadastro de Produtos'!O675</f>
        <v>0</v>
      </c>
      <c r="B697" s="63">
        <f>'Cadastro de Produtos'!K675</f>
        <v>0</v>
      </c>
      <c r="C697" s="63">
        <f>'Cadastro de Produtos'!L675</f>
        <v>0</v>
      </c>
      <c r="D697" s="72" t="e">
        <f>VLOOKUP(B697,'Cadastro de Produtos'!K:Q,7,0)</f>
        <v>#N/A</v>
      </c>
      <c r="E697" s="73">
        <f>'Cadastro de Produtos'!P675</f>
        <v>0</v>
      </c>
    </row>
    <row r="698" spans="1:5" x14ac:dyDescent="0.3">
      <c r="A698" s="62">
        <f>'Cadastro de Produtos'!O676</f>
        <v>0</v>
      </c>
      <c r="B698" s="63">
        <f>'Cadastro de Produtos'!K676</f>
        <v>0</v>
      </c>
      <c r="C698" s="63">
        <f>'Cadastro de Produtos'!L676</f>
        <v>0</v>
      </c>
      <c r="D698" s="72" t="e">
        <f>VLOOKUP(B698,'Cadastro de Produtos'!K:Q,7,0)</f>
        <v>#N/A</v>
      </c>
      <c r="E698" s="73">
        <f>'Cadastro de Produtos'!P676</f>
        <v>0</v>
      </c>
    </row>
    <row r="699" spans="1:5" x14ac:dyDescent="0.3">
      <c r="A699" s="62">
        <f>'Cadastro de Produtos'!O677</f>
        <v>0</v>
      </c>
      <c r="B699" s="63">
        <f>'Cadastro de Produtos'!K677</f>
        <v>0</v>
      </c>
      <c r="C699" s="63">
        <f>'Cadastro de Produtos'!L677</f>
        <v>0</v>
      </c>
      <c r="D699" s="72" t="e">
        <f>VLOOKUP(B699,'Cadastro de Produtos'!K:Q,7,0)</f>
        <v>#N/A</v>
      </c>
      <c r="E699" s="73">
        <f>'Cadastro de Produtos'!P677</f>
        <v>0</v>
      </c>
    </row>
    <row r="700" spans="1:5" x14ac:dyDescent="0.3">
      <c r="A700" s="62">
        <f>'Cadastro de Produtos'!O678</f>
        <v>0</v>
      </c>
      <c r="B700" s="63">
        <f>'Cadastro de Produtos'!K678</f>
        <v>0</v>
      </c>
      <c r="C700" s="63">
        <f>'Cadastro de Produtos'!L678</f>
        <v>0</v>
      </c>
      <c r="D700" s="72" t="e">
        <f>VLOOKUP(B700,'Cadastro de Produtos'!K:Q,7,0)</f>
        <v>#N/A</v>
      </c>
      <c r="E700" s="73">
        <f>'Cadastro de Produtos'!P678</f>
        <v>0</v>
      </c>
    </row>
    <row r="701" spans="1:5" x14ac:dyDescent="0.3">
      <c r="A701" s="62">
        <f>'Cadastro de Produtos'!O679</f>
        <v>0</v>
      </c>
      <c r="B701" s="63">
        <f>'Cadastro de Produtos'!K679</f>
        <v>0</v>
      </c>
      <c r="C701" s="63">
        <f>'Cadastro de Produtos'!L679</f>
        <v>0</v>
      </c>
      <c r="D701" s="72" t="e">
        <f>VLOOKUP(B701,'Cadastro de Produtos'!K:Q,7,0)</f>
        <v>#N/A</v>
      </c>
      <c r="E701" s="73">
        <f>'Cadastro de Produtos'!P679</f>
        <v>0</v>
      </c>
    </row>
    <row r="702" spans="1:5" x14ac:dyDescent="0.3">
      <c r="A702" s="62">
        <f>'Cadastro de Produtos'!O680</f>
        <v>0</v>
      </c>
      <c r="B702" s="63">
        <f>'Cadastro de Produtos'!K680</f>
        <v>0</v>
      </c>
      <c r="C702" s="63">
        <f>'Cadastro de Produtos'!L680</f>
        <v>0</v>
      </c>
      <c r="D702" s="72" t="e">
        <f>VLOOKUP(B702,'Cadastro de Produtos'!K:Q,7,0)</f>
        <v>#N/A</v>
      </c>
      <c r="E702" s="73">
        <f>'Cadastro de Produtos'!P680</f>
        <v>0</v>
      </c>
    </row>
    <row r="703" spans="1:5" x14ac:dyDescent="0.3">
      <c r="A703" s="62">
        <f>'Cadastro de Produtos'!O681</f>
        <v>0</v>
      </c>
      <c r="B703" s="63">
        <f>'Cadastro de Produtos'!K681</f>
        <v>0</v>
      </c>
      <c r="C703" s="63">
        <f>'Cadastro de Produtos'!L681</f>
        <v>0</v>
      </c>
      <c r="D703" s="72" t="e">
        <f>VLOOKUP(B703,'Cadastro de Produtos'!K:Q,7,0)</f>
        <v>#N/A</v>
      </c>
      <c r="E703" s="73">
        <f>'Cadastro de Produtos'!P681</f>
        <v>0</v>
      </c>
    </row>
    <row r="704" spans="1:5" x14ac:dyDescent="0.3">
      <c r="A704" s="62">
        <f>'Cadastro de Produtos'!O682</f>
        <v>0</v>
      </c>
      <c r="B704" s="63">
        <f>'Cadastro de Produtos'!K682</f>
        <v>0</v>
      </c>
      <c r="C704" s="63">
        <f>'Cadastro de Produtos'!L682</f>
        <v>0</v>
      </c>
      <c r="D704" s="72" t="e">
        <f>VLOOKUP(B704,'Cadastro de Produtos'!K:Q,7,0)</f>
        <v>#N/A</v>
      </c>
      <c r="E704" s="73">
        <f>'Cadastro de Produtos'!P682</f>
        <v>0</v>
      </c>
    </row>
    <row r="705" spans="1:5" x14ac:dyDescent="0.3">
      <c r="A705" s="62">
        <f>'Cadastro de Produtos'!O683</f>
        <v>0</v>
      </c>
      <c r="B705" s="63">
        <f>'Cadastro de Produtos'!K683</f>
        <v>0</v>
      </c>
      <c r="C705" s="63">
        <f>'Cadastro de Produtos'!L683</f>
        <v>0</v>
      </c>
      <c r="D705" s="72" t="e">
        <f>VLOOKUP(B705,'Cadastro de Produtos'!K:Q,7,0)</f>
        <v>#N/A</v>
      </c>
      <c r="E705" s="73">
        <f>'Cadastro de Produtos'!P683</f>
        <v>0</v>
      </c>
    </row>
    <row r="706" spans="1:5" x14ac:dyDescent="0.3">
      <c r="A706" s="62">
        <f>'Cadastro de Produtos'!O684</f>
        <v>0</v>
      </c>
      <c r="B706" s="63">
        <f>'Cadastro de Produtos'!K684</f>
        <v>0</v>
      </c>
      <c r="C706" s="63">
        <f>'Cadastro de Produtos'!L684</f>
        <v>0</v>
      </c>
      <c r="D706" s="72" t="e">
        <f>VLOOKUP(B706,'Cadastro de Produtos'!K:Q,7,0)</f>
        <v>#N/A</v>
      </c>
      <c r="E706" s="73">
        <f>'Cadastro de Produtos'!P684</f>
        <v>0</v>
      </c>
    </row>
    <row r="707" spans="1:5" x14ac:dyDescent="0.3">
      <c r="A707" s="62">
        <f>'Cadastro de Produtos'!O685</f>
        <v>0</v>
      </c>
      <c r="B707" s="63">
        <f>'Cadastro de Produtos'!K685</f>
        <v>0</v>
      </c>
      <c r="C707" s="63">
        <f>'Cadastro de Produtos'!L685</f>
        <v>0</v>
      </c>
      <c r="D707" s="72" t="e">
        <f>VLOOKUP(B707,'Cadastro de Produtos'!K:Q,7,0)</f>
        <v>#N/A</v>
      </c>
      <c r="E707" s="73">
        <f>'Cadastro de Produtos'!P685</f>
        <v>0</v>
      </c>
    </row>
    <row r="708" spans="1:5" x14ac:dyDescent="0.3">
      <c r="A708" s="62">
        <f>'Cadastro de Produtos'!O686</f>
        <v>0</v>
      </c>
      <c r="B708" s="63">
        <f>'Cadastro de Produtos'!K686</f>
        <v>0</v>
      </c>
      <c r="C708" s="63">
        <f>'Cadastro de Produtos'!L686</f>
        <v>0</v>
      </c>
      <c r="D708" s="72" t="e">
        <f>VLOOKUP(B708,'Cadastro de Produtos'!K:Q,7,0)</f>
        <v>#N/A</v>
      </c>
      <c r="E708" s="73">
        <f>'Cadastro de Produtos'!P686</f>
        <v>0</v>
      </c>
    </row>
    <row r="709" spans="1:5" x14ac:dyDescent="0.3">
      <c r="A709" s="62">
        <f>'Cadastro de Produtos'!O687</f>
        <v>0</v>
      </c>
      <c r="B709" s="63">
        <f>'Cadastro de Produtos'!K687</f>
        <v>0</v>
      </c>
      <c r="C709" s="63">
        <f>'Cadastro de Produtos'!L687</f>
        <v>0</v>
      </c>
      <c r="D709" s="72" t="e">
        <f>VLOOKUP(B709,'Cadastro de Produtos'!K:Q,7,0)</f>
        <v>#N/A</v>
      </c>
      <c r="E709" s="73">
        <f>'Cadastro de Produtos'!P687</f>
        <v>0</v>
      </c>
    </row>
    <row r="710" spans="1:5" x14ac:dyDescent="0.3">
      <c r="A710" s="62">
        <f>'Cadastro de Produtos'!O688</f>
        <v>0</v>
      </c>
      <c r="B710" s="63">
        <f>'Cadastro de Produtos'!K688</f>
        <v>0</v>
      </c>
      <c r="C710" s="63">
        <f>'Cadastro de Produtos'!L688</f>
        <v>0</v>
      </c>
      <c r="D710" s="72" t="e">
        <f>VLOOKUP(B710,'Cadastro de Produtos'!K:Q,7,0)</f>
        <v>#N/A</v>
      </c>
      <c r="E710" s="73">
        <f>'Cadastro de Produtos'!P688</f>
        <v>0</v>
      </c>
    </row>
    <row r="711" spans="1:5" x14ac:dyDescent="0.3">
      <c r="A711" s="62">
        <f>'Cadastro de Produtos'!O689</f>
        <v>0</v>
      </c>
      <c r="B711" s="63">
        <f>'Cadastro de Produtos'!K689</f>
        <v>0</v>
      </c>
      <c r="C711" s="63">
        <f>'Cadastro de Produtos'!L689</f>
        <v>0</v>
      </c>
      <c r="D711" s="72" t="e">
        <f>VLOOKUP(B711,'Cadastro de Produtos'!K:Q,7,0)</f>
        <v>#N/A</v>
      </c>
      <c r="E711" s="73">
        <f>'Cadastro de Produtos'!P689</f>
        <v>0</v>
      </c>
    </row>
    <row r="712" spans="1:5" x14ac:dyDescent="0.3">
      <c r="A712" s="62">
        <f>'Cadastro de Produtos'!O690</f>
        <v>0</v>
      </c>
      <c r="B712" s="63">
        <f>'Cadastro de Produtos'!K690</f>
        <v>0</v>
      </c>
      <c r="C712" s="63">
        <f>'Cadastro de Produtos'!L690</f>
        <v>0</v>
      </c>
      <c r="D712" s="72" t="e">
        <f>VLOOKUP(B712,'Cadastro de Produtos'!K:Q,7,0)</f>
        <v>#N/A</v>
      </c>
      <c r="E712" s="73">
        <f>'Cadastro de Produtos'!P690</f>
        <v>0</v>
      </c>
    </row>
    <row r="713" spans="1:5" x14ac:dyDescent="0.3">
      <c r="A713" s="62">
        <f>'Cadastro de Produtos'!O691</f>
        <v>0</v>
      </c>
      <c r="B713" s="63">
        <f>'Cadastro de Produtos'!K691</f>
        <v>0</v>
      </c>
      <c r="C713" s="63">
        <f>'Cadastro de Produtos'!L691</f>
        <v>0</v>
      </c>
      <c r="D713" s="72" t="e">
        <f>VLOOKUP(B713,'Cadastro de Produtos'!K:Q,7,0)</f>
        <v>#N/A</v>
      </c>
      <c r="E713" s="73">
        <f>'Cadastro de Produtos'!P691</f>
        <v>0</v>
      </c>
    </row>
    <row r="714" spans="1:5" x14ac:dyDescent="0.3">
      <c r="A714" s="62">
        <f>'Cadastro de Produtos'!O692</f>
        <v>0</v>
      </c>
      <c r="B714" s="63">
        <f>'Cadastro de Produtos'!K692</f>
        <v>0</v>
      </c>
      <c r="C714" s="63">
        <f>'Cadastro de Produtos'!L692</f>
        <v>0</v>
      </c>
      <c r="D714" s="72" t="e">
        <f>VLOOKUP(B714,'Cadastro de Produtos'!K:Q,7,0)</f>
        <v>#N/A</v>
      </c>
      <c r="E714" s="73">
        <f>'Cadastro de Produtos'!P692</f>
        <v>0</v>
      </c>
    </row>
    <row r="715" spans="1:5" x14ac:dyDescent="0.3">
      <c r="A715" s="62">
        <f>'Cadastro de Produtos'!O693</f>
        <v>0</v>
      </c>
      <c r="B715" s="63">
        <f>'Cadastro de Produtos'!K693</f>
        <v>0</v>
      </c>
      <c r="C715" s="63">
        <f>'Cadastro de Produtos'!L693</f>
        <v>0</v>
      </c>
      <c r="D715" s="72" t="e">
        <f>VLOOKUP(B715,'Cadastro de Produtos'!K:Q,7,0)</f>
        <v>#N/A</v>
      </c>
      <c r="E715" s="73">
        <f>'Cadastro de Produtos'!P693</f>
        <v>0</v>
      </c>
    </row>
    <row r="716" spans="1:5" x14ac:dyDescent="0.3">
      <c r="A716" s="62">
        <f>'Cadastro de Produtos'!O694</f>
        <v>0</v>
      </c>
      <c r="B716" s="63">
        <f>'Cadastro de Produtos'!K694</f>
        <v>0</v>
      </c>
      <c r="C716" s="63">
        <f>'Cadastro de Produtos'!L694</f>
        <v>0</v>
      </c>
      <c r="D716" s="72" t="e">
        <f>VLOOKUP(B716,'Cadastro de Produtos'!K:Q,7,0)</f>
        <v>#N/A</v>
      </c>
      <c r="E716" s="73">
        <f>'Cadastro de Produtos'!P694</f>
        <v>0</v>
      </c>
    </row>
    <row r="717" spans="1:5" x14ac:dyDescent="0.3">
      <c r="A717" s="62">
        <f>'Cadastro de Produtos'!O695</f>
        <v>0</v>
      </c>
      <c r="B717" s="63">
        <f>'Cadastro de Produtos'!K695</f>
        <v>0</v>
      </c>
      <c r="C717" s="63">
        <f>'Cadastro de Produtos'!L695</f>
        <v>0</v>
      </c>
      <c r="D717" s="72" t="e">
        <f>VLOOKUP(B717,'Cadastro de Produtos'!K:Q,7,0)</f>
        <v>#N/A</v>
      </c>
      <c r="E717" s="73">
        <f>'Cadastro de Produtos'!P695</f>
        <v>0</v>
      </c>
    </row>
    <row r="718" spans="1:5" x14ac:dyDescent="0.3">
      <c r="A718" s="62">
        <f>'Cadastro de Produtos'!O696</f>
        <v>0</v>
      </c>
      <c r="B718" s="63">
        <f>'Cadastro de Produtos'!K696</f>
        <v>0</v>
      </c>
      <c r="C718" s="63">
        <f>'Cadastro de Produtos'!L696</f>
        <v>0</v>
      </c>
      <c r="D718" s="72" t="e">
        <f>VLOOKUP(B718,'Cadastro de Produtos'!K:Q,7,0)</f>
        <v>#N/A</v>
      </c>
      <c r="E718" s="73">
        <f>'Cadastro de Produtos'!P696</f>
        <v>0</v>
      </c>
    </row>
    <row r="719" spans="1:5" x14ac:dyDescent="0.3">
      <c r="A719" s="62">
        <f>'Cadastro de Produtos'!O697</f>
        <v>0</v>
      </c>
      <c r="B719" s="63">
        <f>'Cadastro de Produtos'!K697</f>
        <v>0</v>
      </c>
      <c r="C719" s="63">
        <f>'Cadastro de Produtos'!L697</f>
        <v>0</v>
      </c>
      <c r="D719" s="72" t="e">
        <f>VLOOKUP(B719,'Cadastro de Produtos'!K:Q,7,0)</f>
        <v>#N/A</v>
      </c>
      <c r="E719" s="73">
        <f>'Cadastro de Produtos'!P697</f>
        <v>0</v>
      </c>
    </row>
    <row r="720" spans="1:5" x14ac:dyDescent="0.3">
      <c r="A720" s="62">
        <f>'Cadastro de Produtos'!O698</f>
        <v>0</v>
      </c>
      <c r="B720" s="63">
        <f>'Cadastro de Produtos'!K698</f>
        <v>0</v>
      </c>
      <c r="C720" s="63">
        <f>'Cadastro de Produtos'!L698</f>
        <v>0</v>
      </c>
      <c r="D720" s="72" t="e">
        <f>VLOOKUP(B720,'Cadastro de Produtos'!K:Q,7,0)</f>
        <v>#N/A</v>
      </c>
      <c r="E720" s="73">
        <f>'Cadastro de Produtos'!P698</f>
        <v>0</v>
      </c>
    </row>
    <row r="721" spans="1:5" x14ac:dyDescent="0.3">
      <c r="A721" s="62">
        <f>'Cadastro de Produtos'!O699</f>
        <v>0</v>
      </c>
      <c r="B721" s="63">
        <f>'Cadastro de Produtos'!K699</f>
        <v>0</v>
      </c>
      <c r="C721" s="63">
        <f>'Cadastro de Produtos'!L699</f>
        <v>0</v>
      </c>
      <c r="D721" s="72" t="e">
        <f>VLOOKUP(B721,'Cadastro de Produtos'!K:Q,7,0)</f>
        <v>#N/A</v>
      </c>
      <c r="E721" s="73">
        <f>'Cadastro de Produtos'!P699</f>
        <v>0</v>
      </c>
    </row>
    <row r="722" spans="1:5" x14ac:dyDescent="0.3">
      <c r="A722" s="62">
        <f>'Cadastro de Produtos'!O700</f>
        <v>0</v>
      </c>
      <c r="B722" s="63">
        <f>'Cadastro de Produtos'!K700</f>
        <v>0</v>
      </c>
      <c r="C722" s="63">
        <f>'Cadastro de Produtos'!L700</f>
        <v>0</v>
      </c>
      <c r="D722" s="72" t="e">
        <f>VLOOKUP(B722,'Cadastro de Produtos'!K:Q,7,0)</f>
        <v>#N/A</v>
      </c>
      <c r="E722" s="73">
        <f>'Cadastro de Produtos'!P700</f>
        <v>0</v>
      </c>
    </row>
    <row r="723" spans="1:5" x14ac:dyDescent="0.3">
      <c r="A723" s="62">
        <f>'Cadastro de Produtos'!O701</f>
        <v>0</v>
      </c>
      <c r="B723" s="63">
        <f>'Cadastro de Produtos'!K701</f>
        <v>0</v>
      </c>
      <c r="C723" s="63">
        <f>'Cadastro de Produtos'!L701</f>
        <v>0</v>
      </c>
      <c r="D723" s="72" t="e">
        <f>VLOOKUP(B723,'Cadastro de Produtos'!K:Q,7,0)</f>
        <v>#N/A</v>
      </c>
      <c r="E723" s="73">
        <f>'Cadastro de Produtos'!P701</f>
        <v>0</v>
      </c>
    </row>
    <row r="724" spans="1:5" x14ac:dyDescent="0.3">
      <c r="A724" s="62">
        <f>'Cadastro de Produtos'!O702</f>
        <v>0</v>
      </c>
      <c r="B724" s="63">
        <f>'Cadastro de Produtos'!K702</f>
        <v>0</v>
      </c>
      <c r="C724" s="63">
        <f>'Cadastro de Produtos'!L702</f>
        <v>0</v>
      </c>
      <c r="D724" s="72" t="e">
        <f>VLOOKUP(B724,'Cadastro de Produtos'!K:Q,7,0)</f>
        <v>#N/A</v>
      </c>
      <c r="E724" s="73">
        <f>'Cadastro de Produtos'!P702</f>
        <v>0</v>
      </c>
    </row>
    <row r="725" spans="1:5" x14ac:dyDescent="0.3">
      <c r="A725" s="62">
        <f>'Cadastro de Produtos'!O703</f>
        <v>0</v>
      </c>
      <c r="B725" s="63">
        <f>'Cadastro de Produtos'!K703</f>
        <v>0</v>
      </c>
      <c r="C725" s="63">
        <f>'Cadastro de Produtos'!L703</f>
        <v>0</v>
      </c>
      <c r="D725" s="72" t="e">
        <f>VLOOKUP(B725,'Cadastro de Produtos'!K:Q,7,0)</f>
        <v>#N/A</v>
      </c>
      <c r="E725" s="73">
        <f>'Cadastro de Produtos'!P703</f>
        <v>0</v>
      </c>
    </row>
    <row r="726" spans="1:5" x14ac:dyDescent="0.3">
      <c r="A726" s="62">
        <f>'Cadastro de Produtos'!O704</f>
        <v>0</v>
      </c>
      <c r="B726" s="63">
        <f>'Cadastro de Produtos'!K704</f>
        <v>0</v>
      </c>
      <c r="C726" s="63">
        <f>'Cadastro de Produtos'!L704</f>
        <v>0</v>
      </c>
      <c r="D726" s="72" t="e">
        <f>VLOOKUP(B726,'Cadastro de Produtos'!K:Q,7,0)</f>
        <v>#N/A</v>
      </c>
      <c r="E726" s="73">
        <f>'Cadastro de Produtos'!P704</f>
        <v>0</v>
      </c>
    </row>
    <row r="727" spans="1:5" x14ac:dyDescent="0.3">
      <c r="A727" s="62">
        <f>'Cadastro de Produtos'!O705</f>
        <v>0</v>
      </c>
      <c r="B727" s="63">
        <f>'Cadastro de Produtos'!K705</f>
        <v>0</v>
      </c>
      <c r="C727" s="63">
        <f>'Cadastro de Produtos'!L705</f>
        <v>0</v>
      </c>
      <c r="D727" s="72" t="e">
        <f>VLOOKUP(B727,'Cadastro de Produtos'!K:Q,7,0)</f>
        <v>#N/A</v>
      </c>
      <c r="E727" s="73">
        <f>'Cadastro de Produtos'!P705</f>
        <v>0</v>
      </c>
    </row>
    <row r="728" spans="1:5" x14ac:dyDescent="0.3">
      <c r="A728" s="62">
        <f>'Cadastro de Produtos'!O706</f>
        <v>0</v>
      </c>
      <c r="B728" s="63">
        <f>'Cadastro de Produtos'!K706</f>
        <v>0</v>
      </c>
      <c r="C728" s="63">
        <f>'Cadastro de Produtos'!L706</f>
        <v>0</v>
      </c>
      <c r="D728" s="72" t="e">
        <f>VLOOKUP(B728,'Cadastro de Produtos'!K:Q,7,0)</f>
        <v>#N/A</v>
      </c>
      <c r="E728" s="73">
        <f>'Cadastro de Produtos'!P706</f>
        <v>0</v>
      </c>
    </row>
    <row r="729" spans="1:5" x14ac:dyDescent="0.3">
      <c r="A729" s="62">
        <f>'Cadastro de Produtos'!O707</f>
        <v>0</v>
      </c>
      <c r="B729" s="63">
        <f>'Cadastro de Produtos'!K707</f>
        <v>0</v>
      </c>
      <c r="C729" s="63">
        <f>'Cadastro de Produtos'!L707</f>
        <v>0</v>
      </c>
      <c r="D729" s="72" t="e">
        <f>VLOOKUP(B729,'Cadastro de Produtos'!K:Q,7,0)</f>
        <v>#N/A</v>
      </c>
      <c r="E729" s="73">
        <f>'Cadastro de Produtos'!P707</f>
        <v>0</v>
      </c>
    </row>
    <row r="730" spans="1:5" x14ac:dyDescent="0.3">
      <c r="A730" s="62">
        <f>'Cadastro de Produtos'!O708</f>
        <v>0</v>
      </c>
      <c r="B730" s="63">
        <f>'Cadastro de Produtos'!K708</f>
        <v>0</v>
      </c>
      <c r="C730" s="63">
        <f>'Cadastro de Produtos'!L708</f>
        <v>0</v>
      </c>
      <c r="D730" s="72" t="e">
        <f>VLOOKUP(B730,'Cadastro de Produtos'!K:Q,7,0)</f>
        <v>#N/A</v>
      </c>
      <c r="E730" s="73">
        <f>'Cadastro de Produtos'!P708</f>
        <v>0</v>
      </c>
    </row>
    <row r="731" spans="1:5" x14ac:dyDescent="0.3">
      <c r="A731" s="62">
        <f>'Cadastro de Produtos'!O709</f>
        <v>0</v>
      </c>
      <c r="B731" s="63">
        <f>'Cadastro de Produtos'!K709</f>
        <v>0</v>
      </c>
      <c r="C731" s="63">
        <f>'Cadastro de Produtos'!L709</f>
        <v>0</v>
      </c>
      <c r="D731" s="72" t="e">
        <f>VLOOKUP(B731,'Cadastro de Produtos'!K:Q,7,0)</f>
        <v>#N/A</v>
      </c>
      <c r="E731" s="73">
        <f>'Cadastro de Produtos'!P709</f>
        <v>0</v>
      </c>
    </row>
    <row r="732" spans="1:5" x14ac:dyDescent="0.3">
      <c r="A732" s="62">
        <f>'Cadastro de Produtos'!O710</f>
        <v>0</v>
      </c>
      <c r="B732" s="63">
        <f>'Cadastro de Produtos'!K710</f>
        <v>0</v>
      </c>
      <c r="C732" s="63">
        <f>'Cadastro de Produtos'!L710</f>
        <v>0</v>
      </c>
      <c r="D732" s="72" t="e">
        <f>VLOOKUP(B732,'Cadastro de Produtos'!K:Q,7,0)</f>
        <v>#N/A</v>
      </c>
      <c r="E732" s="73">
        <f>'Cadastro de Produtos'!P710</f>
        <v>0</v>
      </c>
    </row>
    <row r="733" spans="1:5" x14ac:dyDescent="0.3">
      <c r="A733" s="62">
        <f>'Cadastro de Produtos'!O711</f>
        <v>0</v>
      </c>
      <c r="B733" s="63">
        <f>'Cadastro de Produtos'!K711</f>
        <v>0</v>
      </c>
      <c r="C733" s="63">
        <f>'Cadastro de Produtos'!L711</f>
        <v>0</v>
      </c>
      <c r="D733" s="72" t="e">
        <f>VLOOKUP(B733,'Cadastro de Produtos'!K:Q,7,0)</f>
        <v>#N/A</v>
      </c>
      <c r="E733" s="73">
        <f>'Cadastro de Produtos'!P711</f>
        <v>0</v>
      </c>
    </row>
    <row r="734" spans="1:5" x14ac:dyDescent="0.3">
      <c r="A734" s="62">
        <f>'Cadastro de Produtos'!O712</f>
        <v>0</v>
      </c>
      <c r="B734" s="63">
        <f>'Cadastro de Produtos'!K712</f>
        <v>0</v>
      </c>
      <c r="C734" s="63">
        <f>'Cadastro de Produtos'!L712</f>
        <v>0</v>
      </c>
      <c r="D734" s="72" t="e">
        <f>VLOOKUP(B734,'Cadastro de Produtos'!K:Q,7,0)</f>
        <v>#N/A</v>
      </c>
      <c r="E734" s="73">
        <f>'Cadastro de Produtos'!P712</f>
        <v>0</v>
      </c>
    </row>
    <row r="735" spans="1:5" x14ac:dyDescent="0.3">
      <c r="A735" s="62">
        <f>'Cadastro de Produtos'!O713</f>
        <v>0</v>
      </c>
      <c r="B735" s="63">
        <f>'Cadastro de Produtos'!K713</f>
        <v>0</v>
      </c>
      <c r="C735" s="63">
        <f>'Cadastro de Produtos'!L713</f>
        <v>0</v>
      </c>
      <c r="D735" s="72" t="e">
        <f>VLOOKUP(B735,'Cadastro de Produtos'!K:Q,7,0)</f>
        <v>#N/A</v>
      </c>
      <c r="E735" s="73">
        <f>'Cadastro de Produtos'!P713</f>
        <v>0</v>
      </c>
    </row>
    <row r="736" spans="1:5" x14ac:dyDescent="0.3">
      <c r="A736" s="62">
        <f>'Cadastro de Produtos'!O714</f>
        <v>0</v>
      </c>
      <c r="B736" s="63">
        <f>'Cadastro de Produtos'!K714</f>
        <v>0</v>
      </c>
      <c r="C736" s="63">
        <f>'Cadastro de Produtos'!L714</f>
        <v>0</v>
      </c>
      <c r="D736" s="72" t="e">
        <f>VLOOKUP(B736,'Cadastro de Produtos'!K:Q,7,0)</f>
        <v>#N/A</v>
      </c>
      <c r="E736" s="73">
        <f>'Cadastro de Produtos'!P714</f>
        <v>0</v>
      </c>
    </row>
    <row r="737" spans="1:5" x14ac:dyDescent="0.3">
      <c r="A737" s="62">
        <f>'Cadastro de Produtos'!O715</f>
        <v>0</v>
      </c>
      <c r="B737" s="63">
        <f>'Cadastro de Produtos'!K715</f>
        <v>0</v>
      </c>
      <c r="C737" s="63">
        <f>'Cadastro de Produtos'!L715</f>
        <v>0</v>
      </c>
      <c r="D737" s="72" t="e">
        <f>VLOOKUP(B737,'Cadastro de Produtos'!K:Q,7,0)</f>
        <v>#N/A</v>
      </c>
      <c r="E737" s="73">
        <f>'Cadastro de Produtos'!P715</f>
        <v>0</v>
      </c>
    </row>
    <row r="738" spans="1:5" x14ac:dyDescent="0.3">
      <c r="A738" s="62">
        <f>'Cadastro de Produtos'!O716</f>
        <v>0</v>
      </c>
      <c r="B738" s="63">
        <f>'Cadastro de Produtos'!K716</f>
        <v>0</v>
      </c>
      <c r="C738" s="63">
        <f>'Cadastro de Produtos'!L716</f>
        <v>0</v>
      </c>
      <c r="D738" s="72" t="e">
        <f>VLOOKUP(B738,'Cadastro de Produtos'!K:Q,7,0)</f>
        <v>#N/A</v>
      </c>
      <c r="E738" s="73">
        <f>'Cadastro de Produtos'!P716</f>
        <v>0</v>
      </c>
    </row>
    <row r="739" spans="1:5" x14ac:dyDescent="0.3">
      <c r="A739" s="62">
        <f>'Cadastro de Produtos'!O717</f>
        <v>0</v>
      </c>
      <c r="B739" s="63">
        <f>'Cadastro de Produtos'!K717</f>
        <v>0</v>
      </c>
      <c r="C739" s="63">
        <f>'Cadastro de Produtos'!L717</f>
        <v>0</v>
      </c>
      <c r="D739" s="72" t="e">
        <f>VLOOKUP(B739,'Cadastro de Produtos'!K:Q,7,0)</f>
        <v>#N/A</v>
      </c>
      <c r="E739" s="73">
        <f>'Cadastro de Produtos'!P717</f>
        <v>0</v>
      </c>
    </row>
    <row r="740" spans="1:5" x14ac:dyDescent="0.3">
      <c r="A740" s="62">
        <f>'Cadastro de Produtos'!O718</f>
        <v>0</v>
      </c>
      <c r="B740" s="63">
        <f>'Cadastro de Produtos'!K718</f>
        <v>0</v>
      </c>
      <c r="C740" s="63">
        <f>'Cadastro de Produtos'!L718</f>
        <v>0</v>
      </c>
      <c r="D740" s="72" t="e">
        <f>VLOOKUP(B740,'Cadastro de Produtos'!K:Q,7,0)</f>
        <v>#N/A</v>
      </c>
      <c r="E740" s="73">
        <f>'Cadastro de Produtos'!P718</f>
        <v>0</v>
      </c>
    </row>
    <row r="741" spans="1:5" x14ac:dyDescent="0.3">
      <c r="A741" s="62">
        <f>'Cadastro de Produtos'!O719</f>
        <v>0</v>
      </c>
      <c r="B741" s="63">
        <f>'Cadastro de Produtos'!K719</f>
        <v>0</v>
      </c>
      <c r="C741" s="63">
        <f>'Cadastro de Produtos'!L719</f>
        <v>0</v>
      </c>
      <c r="D741" s="72" t="e">
        <f>VLOOKUP(B741,'Cadastro de Produtos'!K:Q,7,0)</f>
        <v>#N/A</v>
      </c>
      <c r="E741" s="73">
        <f>'Cadastro de Produtos'!P719</f>
        <v>0</v>
      </c>
    </row>
    <row r="742" spans="1:5" x14ac:dyDescent="0.3">
      <c r="A742" s="62">
        <f>'Cadastro de Produtos'!O720</f>
        <v>0</v>
      </c>
      <c r="B742" s="63">
        <f>'Cadastro de Produtos'!K720</f>
        <v>0</v>
      </c>
      <c r="C742" s="63">
        <f>'Cadastro de Produtos'!L720</f>
        <v>0</v>
      </c>
      <c r="D742" s="72" t="e">
        <f>VLOOKUP(B742,'Cadastro de Produtos'!K:Q,7,0)</f>
        <v>#N/A</v>
      </c>
      <c r="E742" s="73">
        <f>'Cadastro de Produtos'!P720</f>
        <v>0</v>
      </c>
    </row>
    <row r="743" spans="1:5" x14ac:dyDescent="0.3">
      <c r="A743" s="62">
        <f>'Cadastro de Produtos'!O721</f>
        <v>0</v>
      </c>
      <c r="B743" s="63">
        <f>'Cadastro de Produtos'!K721</f>
        <v>0</v>
      </c>
      <c r="C743" s="63">
        <f>'Cadastro de Produtos'!L721</f>
        <v>0</v>
      </c>
      <c r="D743" s="72" t="e">
        <f>VLOOKUP(B743,'Cadastro de Produtos'!K:Q,7,0)</f>
        <v>#N/A</v>
      </c>
      <c r="E743" s="73">
        <f>'Cadastro de Produtos'!P721</f>
        <v>0</v>
      </c>
    </row>
    <row r="744" spans="1:5" x14ac:dyDescent="0.3">
      <c r="A744" s="62">
        <f>'Cadastro de Produtos'!O722</f>
        <v>0</v>
      </c>
      <c r="B744" s="63">
        <f>'Cadastro de Produtos'!K722</f>
        <v>0</v>
      </c>
      <c r="C744" s="63">
        <f>'Cadastro de Produtos'!L722</f>
        <v>0</v>
      </c>
      <c r="D744" s="72" t="e">
        <f>VLOOKUP(B744,'Cadastro de Produtos'!K:Q,7,0)</f>
        <v>#N/A</v>
      </c>
      <c r="E744" s="73">
        <f>'Cadastro de Produtos'!P722</f>
        <v>0</v>
      </c>
    </row>
    <row r="745" spans="1:5" x14ac:dyDescent="0.3">
      <c r="A745" s="62">
        <f>'Cadastro de Produtos'!O723</f>
        <v>0</v>
      </c>
      <c r="B745" s="63">
        <f>'Cadastro de Produtos'!K723</f>
        <v>0</v>
      </c>
      <c r="C745" s="63">
        <f>'Cadastro de Produtos'!L723</f>
        <v>0</v>
      </c>
      <c r="D745" s="72" t="e">
        <f>VLOOKUP(B745,'Cadastro de Produtos'!K:Q,7,0)</f>
        <v>#N/A</v>
      </c>
      <c r="E745" s="73">
        <f>'Cadastro de Produtos'!P723</f>
        <v>0</v>
      </c>
    </row>
    <row r="746" spans="1:5" x14ac:dyDescent="0.3">
      <c r="A746" s="62">
        <f>'Cadastro de Produtos'!O724</f>
        <v>0</v>
      </c>
      <c r="B746" s="63">
        <f>'Cadastro de Produtos'!K724</f>
        <v>0</v>
      </c>
      <c r="C746" s="63">
        <f>'Cadastro de Produtos'!L724</f>
        <v>0</v>
      </c>
      <c r="D746" s="72" t="e">
        <f>VLOOKUP(B746,'Cadastro de Produtos'!K:Q,7,0)</f>
        <v>#N/A</v>
      </c>
      <c r="E746" s="73">
        <f>'Cadastro de Produtos'!P724</f>
        <v>0</v>
      </c>
    </row>
    <row r="747" spans="1:5" x14ac:dyDescent="0.3">
      <c r="A747" s="62">
        <f>'Cadastro de Produtos'!O725</f>
        <v>0</v>
      </c>
      <c r="B747" s="63">
        <f>'Cadastro de Produtos'!K725</f>
        <v>0</v>
      </c>
      <c r="C747" s="63">
        <f>'Cadastro de Produtos'!L725</f>
        <v>0</v>
      </c>
      <c r="D747" s="72" t="e">
        <f>VLOOKUP(B747,'Cadastro de Produtos'!K:Q,7,0)</f>
        <v>#N/A</v>
      </c>
      <c r="E747" s="73">
        <f>'Cadastro de Produtos'!P725</f>
        <v>0</v>
      </c>
    </row>
    <row r="748" spans="1:5" x14ac:dyDescent="0.3">
      <c r="A748" s="62">
        <f>'Cadastro de Produtos'!O726</f>
        <v>0</v>
      </c>
      <c r="B748" s="63">
        <f>'Cadastro de Produtos'!K726</f>
        <v>0</v>
      </c>
      <c r="C748" s="63">
        <f>'Cadastro de Produtos'!L726</f>
        <v>0</v>
      </c>
      <c r="D748" s="72" t="e">
        <f>VLOOKUP(B748,'Cadastro de Produtos'!K:Q,7,0)</f>
        <v>#N/A</v>
      </c>
      <c r="E748" s="73">
        <f>'Cadastro de Produtos'!P726</f>
        <v>0</v>
      </c>
    </row>
    <row r="749" spans="1:5" x14ac:dyDescent="0.3">
      <c r="A749" s="62">
        <f>'Cadastro de Produtos'!O727</f>
        <v>0</v>
      </c>
      <c r="B749" s="63">
        <f>'Cadastro de Produtos'!K727</f>
        <v>0</v>
      </c>
      <c r="C749" s="63">
        <f>'Cadastro de Produtos'!L727</f>
        <v>0</v>
      </c>
      <c r="D749" s="72" t="e">
        <f>VLOOKUP(B749,'Cadastro de Produtos'!K:Q,7,0)</f>
        <v>#N/A</v>
      </c>
      <c r="E749" s="73">
        <f>'Cadastro de Produtos'!P727</f>
        <v>0</v>
      </c>
    </row>
    <row r="750" spans="1:5" x14ac:dyDescent="0.3">
      <c r="A750" s="62">
        <f>'Cadastro de Produtos'!O728</f>
        <v>0</v>
      </c>
      <c r="B750" s="63">
        <f>'Cadastro de Produtos'!K728</f>
        <v>0</v>
      </c>
      <c r="C750" s="63">
        <f>'Cadastro de Produtos'!L728</f>
        <v>0</v>
      </c>
      <c r="D750" s="72" t="e">
        <f>VLOOKUP(B750,'Cadastro de Produtos'!K:Q,7,0)</f>
        <v>#N/A</v>
      </c>
      <c r="E750" s="73">
        <f>'Cadastro de Produtos'!P728</f>
        <v>0</v>
      </c>
    </row>
    <row r="751" spans="1:5" x14ac:dyDescent="0.3">
      <c r="A751" s="62">
        <f>'Cadastro de Produtos'!O729</f>
        <v>0</v>
      </c>
      <c r="B751" s="63">
        <f>'Cadastro de Produtos'!K729</f>
        <v>0</v>
      </c>
      <c r="C751" s="63">
        <f>'Cadastro de Produtos'!L729</f>
        <v>0</v>
      </c>
      <c r="D751" s="72" t="e">
        <f>VLOOKUP(B751,'Cadastro de Produtos'!K:Q,7,0)</f>
        <v>#N/A</v>
      </c>
      <c r="E751" s="73">
        <f>'Cadastro de Produtos'!P729</f>
        <v>0</v>
      </c>
    </row>
    <row r="752" spans="1:5" x14ac:dyDescent="0.3">
      <c r="A752" s="62">
        <f>'Cadastro de Produtos'!O730</f>
        <v>0</v>
      </c>
      <c r="B752" s="63">
        <f>'Cadastro de Produtos'!K730</f>
        <v>0</v>
      </c>
      <c r="C752" s="63">
        <f>'Cadastro de Produtos'!L730</f>
        <v>0</v>
      </c>
      <c r="D752" s="72" t="e">
        <f>VLOOKUP(B752,'Cadastro de Produtos'!K:Q,7,0)</f>
        <v>#N/A</v>
      </c>
      <c r="E752" s="73">
        <f>'Cadastro de Produtos'!P730</f>
        <v>0</v>
      </c>
    </row>
    <row r="753" spans="1:5" x14ac:dyDescent="0.3">
      <c r="A753" s="62">
        <f>'Cadastro de Produtos'!O731</f>
        <v>0</v>
      </c>
      <c r="B753" s="63">
        <f>'Cadastro de Produtos'!K731</f>
        <v>0</v>
      </c>
      <c r="C753" s="63">
        <f>'Cadastro de Produtos'!L731</f>
        <v>0</v>
      </c>
      <c r="D753" s="72" t="e">
        <f>VLOOKUP(B753,'Cadastro de Produtos'!K:Q,7,0)</f>
        <v>#N/A</v>
      </c>
      <c r="E753" s="73">
        <f>'Cadastro de Produtos'!P731</f>
        <v>0</v>
      </c>
    </row>
    <row r="754" spans="1:5" x14ac:dyDescent="0.3">
      <c r="A754" s="62">
        <f>'Cadastro de Produtos'!O732</f>
        <v>0</v>
      </c>
      <c r="B754" s="63">
        <f>'Cadastro de Produtos'!K732</f>
        <v>0</v>
      </c>
      <c r="C754" s="63">
        <f>'Cadastro de Produtos'!L732</f>
        <v>0</v>
      </c>
      <c r="D754" s="72" t="e">
        <f>VLOOKUP(B754,'Cadastro de Produtos'!K:Q,7,0)</f>
        <v>#N/A</v>
      </c>
      <c r="E754" s="73">
        <f>'Cadastro de Produtos'!P732</f>
        <v>0</v>
      </c>
    </row>
    <row r="755" spans="1:5" x14ac:dyDescent="0.3">
      <c r="A755" s="62">
        <f>'Cadastro de Produtos'!O733</f>
        <v>0</v>
      </c>
      <c r="B755" s="63">
        <f>'Cadastro de Produtos'!K733</f>
        <v>0</v>
      </c>
      <c r="C755" s="63">
        <f>'Cadastro de Produtos'!L733</f>
        <v>0</v>
      </c>
      <c r="D755" s="72" t="e">
        <f>VLOOKUP(B755,'Cadastro de Produtos'!K:Q,7,0)</f>
        <v>#N/A</v>
      </c>
      <c r="E755" s="73">
        <f>'Cadastro de Produtos'!P733</f>
        <v>0</v>
      </c>
    </row>
    <row r="756" spans="1:5" x14ac:dyDescent="0.3">
      <c r="A756" s="62">
        <f>'Cadastro de Produtos'!O734</f>
        <v>0</v>
      </c>
      <c r="B756" s="63">
        <f>'Cadastro de Produtos'!K734</f>
        <v>0</v>
      </c>
      <c r="C756" s="63">
        <f>'Cadastro de Produtos'!L734</f>
        <v>0</v>
      </c>
      <c r="D756" s="72" t="e">
        <f>VLOOKUP(B756,'Cadastro de Produtos'!K:Q,7,0)</f>
        <v>#N/A</v>
      </c>
      <c r="E756" s="73">
        <f>'Cadastro de Produtos'!P734</f>
        <v>0</v>
      </c>
    </row>
    <row r="757" spans="1:5" x14ac:dyDescent="0.3">
      <c r="A757" s="62">
        <f>'Cadastro de Produtos'!O735</f>
        <v>0</v>
      </c>
      <c r="B757" s="63">
        <f>'Cadastro de Produtos'!K735</f>
        <v>0</v>
      </c>
      <c r="C757" s="63">
        <f>'Cadastro de Produtos'!L735</f>
        <v>0</v>
      </c>
      <c r="D757" s="72" t="e">
        <f>VLOOKUP(B757,'Cadastro de Produtos'!K:Q,7,0)</f>
        <v>#N/A</v>
      </c>
      <c r="E757" s="73">
        <f>'Cadastro de Produtos'!P735</f>
        <v>0</v>
      </c>
    </row>
    <row r="758" spans="1:5" x14ac:dyDescent="0.3">
      <c r="A758" s="62">
        <f>'Cadastro de Produtos'!O736</f>
        <v>0</v>
      </c>
      <c r="B758" s="63">
        <f>'Cadastro de Produtos'!K736</f>
        <v>0</v>
      </c>
      <c r="C758" s="63">
        <f>'Cadastro de Produtos'!L736</f>
        <v>0</v>
      </c>
      <c r="D758" s="72" t="e">
        <f>VLOOKUP(B758,'Cadastro de Produtos'!K:Q,7,0)</f>
        <v>#N/A</v>
      </c>
      <c r="E758" s="73">
        <f>'Cadastro de Produtos'!P736</f>
        <v>0</v>
      </c>
    </row>
    <row r="759" spans="1:5" x14ac:dyDescent="0.3">
      <c r="A759" s="62">
        <f>'Cadastro de Produtos'!O737</f>
        <v>0</v>
      </c>
      <c r="B759" s="63">
        <f>'Cadastro de Produtos'!K737</f>
        <v>0</v>
      </c>
      <c r="C759" s="63">
        <f>'Cadastro de Produtos'!L737</f>
        <v>0</v>
      </c>
      <c r="D759" s="72" t="e">
        <f>VLOOKUP(B759,'Cadastro de Produtos'!K:Q,7,0)</f>
        <v>#N/A</v>
      </c>
      <c r="E759" s="73">
        <f>'Cadastro de Produtos'!P737</f>
        <v>0</v>
      </c>
    </row>
    <row r="760" spans="1:5" x14ac:dyDescent="0.3">
      <c r="A760" s="62">
        <f>'Cadastro de Produtos'!O738</f>
        <v>0</v>
      </c>
      <c r="B760" s="63">
        <f>'Cadastro de Produtos'!K738</f>
        <v>0</v>
      </c>
      <c r="C760" s="63">
        <f>'Cadastro de Produtos'!L738</f>
        <v>0</v>
      </c>
      <c r="D760" s="72" t="e">
        <f>VLOOKUP(B760,'Cadastro de Produtos'!K:Q,7,0)</f>
        <v>#N/A</v>
      </c>
      <c r="E760" s="73">
        <f>'Cadastro de Produtos'!P738</f>
        <v>0</v>
      </c>
    </row>
    <row r="761" spans="1:5" x14ac:dyDescent="0.3">
      <c r="A761" s="62">
        <f>'Cadastro de Produtos'!O739</f>
        <v>0</v>
      </c>
      <c r="B761" s="63">
        <f>'Cadastro de Produtos'!K739</f>
        <v>0</v>
      </c>
      <c r="C761" s="63">
        <f>'Cadastro de Produtos'!L739</f>
        <v>0</v>
      </c>
      <c r="D761" s="72" t="e">
        <f>VLOOKUP(B761,'Cadastro de Produtos'!K:Q,7,0)</f>
        <v>#N/A</v>
      </c>
      <c r="E761" s="73">
        <f>'Cadastro de Produtos'!P739</f>
        <v>0</v>
      </c>
    </row>
    <row r="762" spans="1:5" x14ac:dyDescent="0.3">
      <c r="A762" s="62">
        <f>'Cadastro de Produtos'!O740</f>
        <v>0</v>
      </c>
      <c r="B762" s="63">
        <f>'Cadastro de Produtos'!K740</f>
        <v>0</v>
      </c>
      <c r="C762" s="63">
        <f>'Cadastro de Produtos'!L740</f>
        <v>0</v>
      </c>
      <c r="D762" s="72" t="e">
        <f>VLOOKUP(B762,'Cadastro de Produtos'!K:Q,7,0)</f>
        <v>#N/A</v>
      </c>
      <c r="E762" s="73">
        <f>'Cadastro de Produtos'!P740</f>
        <v>0</v>
      </c>
    </row>
    <row r="763" spans="1:5" x14ac:dyDescent="0.3">
      <c r="A763" s="62">
        <f>'Cadastro de Produtos'!O741</f>
        <v>0</v>
      </c>
      <c r="B763" s="63">
        <f>'Cadastro de Produtos'!K741</f>
        <v>0</v>
      </c>
      <c r="C763" s="63">
        <f>'Cadastro de Produtos'!L741</f>
        <v>0</v>
      </c>
      <c r="D763" s="72" t="e">
        <f>VLOOKUP(B763,'Cadastro de Produtos'!K:Q,7,0)</f>
        <v>#N/A</v>
      </c>
      <c r="E763" s="73">
        <f>'Cadastro de Produtos'!P741</f>
        <v>0</v>
      </c>
    </row>
    <row r="764" spans="1:5" x14ac:dyDescent="0.3">
      <c r="A764" s="62">
        <f>'Cadastro de Produtos'!O742</f>
        <v>0</v>
      </c>
      <c r="B764" s="63">
        <f>'Cadastro de Produtos'!K742</f>
        <v>0</v>
      </c>
      <c r="C764" s="63">
        <f>'Cadastro de Produtos'!L742</f>
        <v>0</v>
      </c>
      <c r="D764" s="72" t="e">
        <f>VLOOKUP(B764,'Cadastro de Produtos'!K:Q,7,0)</f>
        <v>#N/A</v>
      </c>
      <c r="E764" s="73">
        <f>'Cadastro de Produtos'!P742</f>
        <v>0</v>
      </c>
    </row>
    <row r="765" spans="1:5" x14ac:dyDescent="0.3">
      <c r="A765" s="62">
        <f>'Cadastro de Produtos'!O743</f>
        <v>0</v>
      </c>
      <c r="B765" s="63">
        <f>'Cadastro de Produtos'!K743</f>
        <v>0</v>
      </c>
      <c r="C765" s="63">
        <f>'Cadastro de Produtos'!L743</f>
        <v>0</v>
      </c>
      <c r="D765" s="72" t="e">
        <f>VLOOKUP(B765,'Cadastro de Produtos'!K:Q,7,0)</f>
        <v>#N/A</v>
      </c>
      <c r="E765" s="73">
        <f>'Cadastro de Produtos'!P743</f>
        <v>0</v>
      </c>
    </row>
    <row r="766" spans="1:5" x14ac:dyDescent="0.3">
      <c r="A766" s="62">
        <f>'Cadastro de Produtos'!O744</f>
        <v>0</v>
      </c>
      <c r="B766" s="63">
        <f>'Cadastro de Produtos'!K744</f>
        <v>0</v>
      </c>
      <c r="C766" s="63">
        <f>'Cadastro de Produtos'!L744</f>
        <v>0</v>
      </c>
      <c r="D766" s="72" t="e">
        <f>VLOOKUP(B766,'Cadastro de Produtos'!K:Q,7,0)</f>
        <v>#N/A</v>
      </c>
      <c r="E766" s="73">
        <f>'Cadastro de Produtos'!P744</f>
        <v>0</v>
      </c>
    </row>
    <row r="767" spans="1:5" x14ac:dyDescent="0.3">
      <c r="A767" s="62">
        <f>'Cadastro de Produtos'!O745</f>
        <v>0</v>
      </c>
      <c r="B767" s="63">
        <f>'Cadastro de Produtos'!K745</f>
        <v>0</v>
      </c>
      <c r="C767" s="63">
        <f>'Cadastro de Produtos'!L745</f>
        <v>0</v>
      </c>
      <c r="D767" s="72" t="e">
        <f>VLOOKUP(B767,'Cadastro de Produtos'!K:Q,7,0)</f>
        <v>#N/A</v>
      </c>
      <c r="E767" s="73">
        <f>'Cadastro de Produtos'!P745</f>
        <v>0</v>
      </c>
    </row>
    <row r="768" spans="1:5" x14ac:dyDescent="0.3">
      <c r="A768" s="62">
        <f>'Cadastro de Produtos'!O746</f>
        <v>0</v>
      </c>
      <c r="B768" s="63">
        <f>'Cadastro de Produtos'!K746</f>
        <v>0</v>
      </c>
      <c r="C768" s="63">
        <f>'Cadastro de Produtos'!L746</f>
        <v>0</v>
      </c>
      <c r="D768" s="72" t="e">
        <f>VLOOKUP(B768,'Cadastro de Produtos'!K:Q,7,0)</f>
        <v>#N/A</v>
      </c>
      <c r="E768" s="73">
        <f>'Cadastro de Produtos'!P746</f>
        <v>0</v>
      </c>
    </row>
    <row r="769" spans="1:5" x14ac:dyDescent="0.3">
      <c r="A769" s="62">
        <f>'Cadastro de Produtos'!O747</f>
        <v>0</v>
      </c>
      <c r="B769" s="63">
        <f>'Cadastro de Produtos'!K747</f>
        <v>0</v>
      </c>
      <c r="C769" s="63">
        <f>'Cadastro de Produtos'!L747</f>
        <v>0</v>
      </c>
      <c r="D769" s="72" t="e">
        <f>VLOOKUP(B769,'Cadastro de Produtos'!K:Q,7,0)</f>
        <v>#N/A</v>
      </c>
      <c r="E769" s="73">
        <f>'Cadastro de Produtos'!P747</f>
        <v>0</v>
      </c>
    </row>
    <row r="770" spans="1:5" x14ac:dyDescent="0.3">
      <c r="A770" s="62">
        <f>'Cadastro de Produtos'!O748</f>
        <v>0</v>
      </c>
      <c r="B770" s="63">
        <f>'Cadastro de Produtos'!K748</f>
        <v>0</v>
      </c>
      <c r="C770" s="63">
        <f>'Cadastro de Produtos'!L748</f>
        <v>0</v>
      </c>
      <c r="D770" s="72" t="e">
        <f>VLOOKUP(B770,'Cadastro de Produtos'!K:Q,7,0)</f>
        <v>#N/A</v>
      </c>
      <c r="E770" s="73">
        <f>'Cadastro de Produtos'!P748</f>
        <v>0</v>
      </c>
    </row>
    <row r="771" spans="1:5" x14ac:dyDescent="0.3">
      <c r="A771" s="62">
        <f>'Cadastro de Produtos'!O749</f>
        <v>0</v>
      </c>
      <c r="B771" s="63">
        <f>'Cadastro de Produtos'!K749</f>
        <v>0</v>
      </c>
      <c r="C771" s="63">
        <f>'Cadastro de Produtos'!L749</f>
        <v>0</v>
      </c>
      <c r="D771" s="72" t="e">
        <f>VLOOKUP(B771,'Cadastro de Produtos'!K:Q,7,0)</f>
        <v>#N/A</v>
      </c>
      <c r="E771" s="73">
        <f>'Cadastro de Produtos'!P749</f>
        <v>0</v>
      </c>
    </row>
    <row r="772" spans="1:5" x14ac:dyDescent="0.3">
      <c r="A772" s="62">
        <f>'Cadastro de Produtos'!O750</f>
        <v>0</v>
      </c>
      <c r="B772" s="63">
        <f>'Cadastro de Produtos'!K750</f>
        <v>0</v>
      </c>
      <c r="C772" s="63">
        <f>'Cadastro de Produtos'!L750</f>
        <v>0</v>
      </c>
      <c r="D772" s="72" t="e">
        <f>VLOOKUP(B772,'Cadastro de Produtos'!K:Q,7,0)</f>
        <v>#N/A</v>
      </c>
      <c r="E772" s="73">
        <f>'Cadastro de Produtos'!P750</f>
        <v>0</v>
      </c>
    </row>
    <row r="773" spans="1:5" x14ac:dyDescent="0.3">
      <c r="A773" s="62">
        <f>'Cadastro de Produtos'!O751</f>
        <v>0</v>
      </c>
      <c r="B773" s="63">
        <f>'Cadastro de Produtos'!K751</f>
        <v>0</v>
      </c>
      <c r="C773" s="63">
        <f>'Cadastro de Produtos'!L751</f>
        <v>0</v>
      </c>
      <c r="D773" s="72" t="e">
        <f>VLOOKUP(B773,'Cadastro de Produtos'!K:Q,7,0)</f>
        <v>#N/A</v>
      </c>
      <c r="E773" s="73">
        <f>'Cadastro de Produtos'!P751</f>
        <v>0</v>
      </c>
    </row>
    <row r="774" spans="1:5" x14ac:dyDescent="0.3">
      <c r="A774" s="62">
        <f>'Cadastro de Produtos'!O752</f>
        <v>0</v>
      </c>
      <c r="B774" s="63">
        <f>'Cadastro de Produtos'!K752</f>
        <v>0</v>
      </c>
      <c r="C774" s="63">
        <f>'Cadastro de Produtos'!L752</f>
        <v>0</v>
      </c>
      <c r="D774" s="72" t="e">
        <f>VLOOKUP(B774,'Cadastro de Produtos'!K:Q,7,0)</f>
        <v>#N/A</v>
      </c>
      <c r="E774" s="73">
        <f>'Cadastro de Produtos'!P752</f>
        <v>0</v>
      </c>
    </row>
    <row r="775" spans="1:5" x14ac:dyDescent="0.3">
      <c r="A775" s="62">
        <f>'Cadastro de Produtos'!O753</f>
        <v>0</v>
      </c>
      <c r="B775" s="63">
        <f>'Cadastro de Produtos'!K753</f>
        <v>0</v>
      </c>
      <c r="C775" s="63">
        <f>'Cadastro de Produtos'!L753</f>
        <v>0</v>
      </c>
      <c r="D775" s="72" t="e">
        <f>VLOOKUP(B775,'Cadastro de Produtos'!K:Q,7,0)</f>
        <v>#N/A</v>
      </c>
      <c r="E775" s="73">
        <f>'Cadastro de Produtos'!P753</f>
        <v>0</v>
      </c>
    </row>
    <row r="776" spans="1:5" x14ac:dyDescent="0.3">
      <c r="A776" s="62">
        <f>'Cadastro de Produtos'!O754</f>
        <v>0</v>
      </c>
      <c r="B776" s="63">
        <f>'Cadastro de Produtos'!K754</f>
        <v>0</v>
      </c>
      <c r="C776" s="63">
        <f>'Cadastro de Produtos'!L754</f>
        <v>0</v>
      </c>
      <c r="D776" s="72" t="e">
        <f>VLOOKUP(B776,'Cadastro de Produtos'!K:Q,7,0)</f>
        <v>#N/A</v>
      </c>
      <c r="E776" s="73">
        <f>'Cadastro de Produtos'!P754</f>
        <v>0</v>
      </c>
    </row>
    <row r="777" spans="1:5" x14ac:dyDescent="0.3">
      <c r="A777" s="62">
        <f>'Cadastro de Produtos'!O755</f>
        <v>0</v>
      </c>
      <c r="B777" s="63">
        <f>'Cadastro de Produtos'!K755</f>
        <v>0</v>
      </c>
      <c r="C777" s="63">
        <f>'Cadastro de Produtos'!L755</f>
        <v>0</v>
      </c>
      <c r="D777" s="72" t="e">
        <f>VLOOKUP(B777,'Cadastro de Produtos'!K:Q,7,0)</f>
        <v>#N/A</v>
      </c>
      <c r="E777" s="73">
        <f>'Cadastro de Produtos'!P755</f>
        <v>0</v>
      </c>
    </row>
    <row r="778" spans="1:5" x14ac:dyDescent="0.3">
      <c r="A778" s="62">
        <f>'Cadastro de Produtos'!O756</f>
        <v>0</v>
      </c>
      <c r="B778" s="63">
        <f>'Cadastro de Produtos'!K756</f>
        <v>0</v>
      </c>
      <c r="C778" s="63">
        <f>'Cadastro de Produtos'!L756</f>
        <v>0</v>
      </c>
      <c r="D778" s="72" t="e">
        <f>VLOOKUP(B778,'Cadastro de Produtos'!K:Q,7,0)</f>
        <v>#N/A</v>
      </c>
      <c r="E778" s="73">
        <f>'Cadastro de Produtos'!P756</f>
        <v>0</v>
      </c>
    </row>
    <row r="779" spans="1:5" x14ac:dyDescent="0.3">
      <c r="A779" s="62">
        <f>'Cadastro de Produtos'!O757</f>
        <v>0</v>
      </c>
      <c r="B779" s="63">
        <f>'Cadastro de Produtos'!K757</f>
        <v>0</v>
      </c>
      <c r="C779" s="63">
        <f>'Cadastro de Produtos'!L757</f>
        <v>0</v>
      </c>
      <c r="D779" s="72" t="e">
        <f>VLOOKUP(B779,'Cadastro de Produtos'!K:Q,7,0)</f>
        <v>#N/A</v>
      </c>
      <c r="E779" s="73">
        <f>'Cadastro de Produtos'!P757</f>
        <v>0</v>
      </c>
    </row>
    <row r="780" spans="1:5" x14ac:dyDescent="0.3">
      <c r="A780" s="62">
        <f>'Cadastro de Produtos'!O758</f>
        <v>0</v>
      </c>
      <c r="B780" s="63">
        <f>'Cadastro de Produtos'!K758</f>
        <v>0</v>
      </c>
      <c r="C780" s="63">
        <f>'Cadastro de Produtos'!L758</f>
        <v>0</v>
      </c>
      <c r="D780" s="72" t="e">
        <f>VLOOKUP(B780,'Cadastro de Produtos'!K:Q,7,0)</f>
        <v>#N/A</v>
      </c>
      <c r="E780" s="73">
        <f>'Cadastro de Produtos'!P758</f>
        <v>0</v>
      </c>
    </row>
    <row r="781" spans="1:5" x14ac:dyDescent="0.3">
      <c r="A781" s="62">
        <f>'Cadastro de Produtos'!O759</f>
        <v>0</v>
      </c>
      <c r="B781" s="63">
        <f>'Cadastro de Produtos'!K759</f>
        <v>0</v>
      </c>
      <c r="C781" s="63">
        <f>'Cadastro de Produtos'!L759</f>
        <v>0</v>
      </c>
      <c r="D781" s="72" t="e">
        <f>VLOOKUP(B781,'Cadastro de Produtos'!K:Q,7,0)</f>
        <v>#N/A</v>
      </c>
      <c r="E781" s="73">
        <f>'Cadastro de Produtos'!P759</f>
        <v>0</v>
      </c>
    </row>
    <row r="782" spans="1:5" x14ac:dyDescent="0.3">
      <c r="A782" s="62">
        <f>'Cadastro de Produtos'!O760</f>
        <v>0</v>
      </c>
      <c r="B782" s="63">
        <f>'Cadastro de Produtos'!K760</f>
        <v>0</v>
      </c>
      <c r="C782" s="63">
        <f>'Cadastro de Produtos'!L760</f>
        <v>0</v>
      </c>
      <c r="D782" s="72" t="e">
        <f>VLOOKUP(B782,'Cadastro de Produtos'!K:Q,7,0)</f>
        <v>#N/A</v>
      </c>
      <c r="E782" s="73">
        <f>'Cadastro de Produtos'!P760</f>
        <v>0</v>
      </c>
    </row>
    <row r="783" spans="1:5" x14ac:dyDescent="0.3">
      <c r="A783" s="62">
        <f>'Cadastro de Produtos'!O761</f>
        <v>0</v>
      </c>
      <c r="B783" s="63">
        <f>'Cadastro de Produtos'!K761</f>
        <v>0</v>
      </c>
      <c r="C783" s="63">
        <f>'Cadastro de Produtos'!L761</f>
        <v>0</v>
      </c>
      <c r="D783" s="72" t="e">
        <f>VLOOKUP(B783,'Cadastro de Produtos'!K:Q,7,0)</f>
        <v>#N/A</v>
      </c>
      <c r="E783" s="73">
        <f>'Cadastro de Produtos'!P761</f>
        <v>0</v>
      </c>
    </row>
    <row r="784" spans="1:5" x14ac:dyDescent="0.3">
      <c r="A784" s="62">
        <f>'Cadastro de Produtos'!O762</f>
        <v>0</v>
      </c>
      <c r="B784" s="63">
        <f>'Cadastro de Produtos'!K762</f>
        <v>0</v>
      </c>
      <c r="C784" s="63">
        <f>'Cadastro de Produtos'!L762</f>
        <v>0</v>
      </c>
      <c r="D784" s="72" t="e">
        <f>VLOOKUP(B784,'Cadastro de Produtos'!K:Q,7,0)</f>
        <v>#N/A</v>
      </c>
      <c r="E784" s="73">
        <f>'Cadastro de Produtos'!P762</f>
        <v>0</v>
      </c>
    </row>
    <row r="785" spans="1:5" x14ac:dyDescent="0.3">
      <c r="A785" s="62">
        <f>'Cadastro de Produtos'!O763</f>
        <v>0</v>
      </c>
      <c r="B785" s="63">
        <f>'Cadastro de Produtos'!K763</f>
        <v>0</v>
      </c>
      <c r="C785" s="63">
        <f>'Cadastro de Produtos'!L763</f>
        <v>0</v>
      </c>
      <c r="D785" s="72" t="e">
        <f>VLOOKUP(B785,'Cadastro de Produtos'!K:Q,7,0)</f>
        <v>#N/A</v>
      </c>
      <c r="E785" s="73">
        <f>'Cadastro de Produtos'!P763</f>
        <v>0</v>
      </c>
    </row>
    <row r="786" spans="1:5" x14ac:dyDescent="0.3">
      <c r="A786" s="62">
        <f>'Cadastro de Produtos'!O764</f>
        <v>0</v>
      </c>
      <c r="B786" s="63">
        <f>'Cadastro de Produtos'!K764</f>
        <v>0</v>
      </c>
      <c r="C786" s="63">
        <f>'Cadastro de Produtos'!L764</f>
        <v>0</v>
      </c>
      <c r="D786" s="72" t="e">
        <f>VLOOKUP(B786,'Cadastro de Produtos'!K:Q,7,0)</f>
        <v>#N/A</v>
      </c>
      <c r="E786" s="73">
        <f>'Cadastro de Produtos'!P764</f>
        <v>0</v>
      </c>
    </row>
    <row r="787" spans="1:5" x14ac:dyDescent="0.3">
      <c r="A787" s="62">
        <f>'Cadastro de Produtos'!O765</f>
        <v>0</v>
      </c>
      <c r="B787" s="63">
        <f>'Cadastro de Produtos'!K765</f>
        <v>0</v>
      </c>
      <c r="C787" s="63">
        <f>'Cadastro de Produtos'!L765</f>
        <v>0</v>
      </c>
      <c r="D787" s="72" t="e">
        <f>VLOOKUP(B787,'Cadastro de Produtos'!K:Q,7,0)</f>
        <v>#N/A</v>
      </c>
      <c r="E787" s="73">
        <f>'Cadastro de Produtos'!P765</f>
        <v>0</v>
      </c>
    </row>
    <row r="788" spans="1:5" x14ac:dyDescent="0.3">
      <c r="A788" s="62">
        <f>'Cadastro de Produtos'!O766</f>
        <v>0</v>
      </c>
      <c r="B788" s="63">
        <f>'Cadastro de Produtos'!K766</f>
        <v>0</v>
      </c>
      <c r="C788" s="63">
        <f>'Cadastro de Produtos'!L766</f>
        <v>0</v>
      </c>
      <c r="D788" s="72" t="e">
        <f>VLOOKUP(B788,'Cadastro de Produtos'!K:Q,7,0)</f>
        <v>#N/A</v>
      </c>
      <c r="E788" s="73">
        <f>'Cadastro de Produtos'!P766</f>
        <v>0</v>
      </c>
    </row>
    <row r="789" spans="1:5" x14ac:dyDescent="0.3">
      <c r="A789" s="62">
        <f>'Cadastro de Produtos'!O767</f>
        <v>0</v>
      </c>
      <c r="B789" s="63">
        <f>'Cadastro de Produtos'!K767</f>
        <v>0</v>
      </c>
      <c r="C789" s="63">
        <f>'Cadastro de Produtos'!L767</f>
        <v>0</v>
      </c>
      <c r="D789" s="72" t="e">
        <f>VLOOKUP(B789,'Cadastro de Produtos'!K:Q,7,0)</f>
        <v>#N/A</v>
      </c>
      <c r="E789" s="73">
        <f>'Cadastro de Produtos'!P767</f>
        <v>0</v>
      </c>
    </row>
    <row r="790" spans="1:5" x14ac:dyDescent="0.3">
      <c r="A790" s="62">
        <f>'Cadastro de Produtos'!O768</f>
        <v>0</v>
      </c>
      <c r="B790" s="63">
        <f>'Cadastro de Produtos'!K768</f>
        <v>0</v>
      </c>
      <c r="C790" s="63">
        <f>'Cadastro de Produtos'!L768</f>
        <v>0</v>
      </c>
      <c r="D790" s="72" t="e">
        <f>VLOOKUP(B790,'Cadastro de Produtos'!K:Q,7,0)</f>
        <v>#N/A</v>
      </c>
      <c r="E790" s="73">
        <f>'Cadastro de Produtos'!P768</f>
        <v>0</v>
      </c>
    </row>
    <row r="791" spans="1:5" x14ac:dyDescent="0.3">
      <c r="A791" s="62">
        <f>'Cadastro de Produtos'!O769</f>
        <v>0</v>
      </c>
      <c r="B791" s="63">
        <f>'Cadastro de Produtos'!K769</f>
        <v>0</v>
      </c>
      <c r="C791" s="63">
        <f>'Cadastro de Produtos'!L769</f>
        <v>0</v>
      </c>
      <c r="D791" s="72" t="e">
        <f>VLOOKUP(B791,'Cadastro de Produtos'!K:Q,7,0)</f>
        <v>#N/A</v>
      </c>
      <c r="E791" s="73">
        <f>'Cadastro de Produtos'!P769</f>
        <v>0</v>
      </c>
    </row>
    <row r="792" spans="1:5" x14ac:dyDescent="0.3">
      <c r="A792" s="62">
        <f>'Cadastro de Produtos'!O770</f>
        <v>0</v>
      </c>
      <c r="B792" s="63">
        <f>'Cadastro de Produtos'!K770</f>
        <v>0</v>
      </c>
      <c r="C792" s="63">
        <f>'Cadastro de Produtos'!L770</f>
        <v>0</v>
      </c>
      <c r="D792" s="72" t="e">
        <f>VLOOKUP(B792,'Cadastro de Produtos'!K:Q,7,0)</f>
        <v>#N/A</v>
      </c>
      <c r="E792" s="73">
        <f>'Cadastro de Produtos'!P770</f>
        <v>0</v>
      </c>
    </row>
    <row r="793" spans="1:5" x14ac:dyDescent="0.3">
      <c r="A793" s="62">
        <f>'Cadastro de Produtos'!O771</f>
        <v>0</v>
      </c>
      <c r="B793" s="63">
        <f>'Cadastro de Produtos'!K771</f>
        <v>0</v>
      </c>
      <c r="C793" s="63">
        <f>'Cadastro de Produtos'!L771</f>
        <v>0</v>
      </c>
      <c r="D793" s="72" t="e">
        <f>VLOOKUP(B793,'Cadastro de Produtos'!K:Q,7,0)</f>
        <v>#N/A</v>
      </c>
      <c r="E793" s="73">
        <f>'Cadastro de Produtos'!P771</f>
        <v>0</v>
      </c>
    </row>
    <row r="794" spans="1:5" x14ac:dyDescent="0.3">
      <c r="A794" s="62">
        <f>'Cadastro de Produtos'!O772</f>
        <v>0</v>
      </c>
      <c r="B794" s="63">
        <f>'Cadastro de Produtos'!K772</f>
        <v>0</v>
      </c>
      <c r="C794" s="63">
        <f>'Cadastro de Produtos'!L772</f>
        <v>0</v>
      </c>
      <c r="D794" s="72" t="e">
        <f>VLOOKUP(B794,'Cadastro de Produtos'!K:Q,7,0)</f>
        <v>#N/A</v>
      </c>
      <c r="E794" s="73">
        <f>'Cadastro de Produtos'!P772</f>
        <v>0</v>
      </c>
    </row>
    <row r="795" spans="1:5" x14ac:dyDescent="0.3">
      <c r="A795" s="62">
        <f>'Cadastro de Produtos'!O773</f>
        <v>0</v>
      </c>
      <c r="B795" s="63">
        <f>'Cadastro de Produtos'!K773</f>
        <v>0</v>
      </c>
      <c r="C795" s="63">
        <f>'Cadastro de Produtos'!L773</f>
        <v>0</v>
      </c>
      <c r="D795" s="72" t="e">
        <f>VLOOKUP(B795,'Cadastro de Produtos'!K:Q,7,0)</f>
        <v>#N/A</v>
      </c>
      <c r="E795" s="73">
        <f>'Cadastro de Produtos'!P773</f>
        <v>0</v>
      </c>
    </row>
    <row r="796" spans="1:5" x14ac:dyDescent="0.3">
      <c r="A796" s="62">
        <f>'Cadastro de Produtos'!O774</f>
        <v>0</v>
      </c>
      <c r="B796" s="63">
        <f>'Cadastro de Produtos'!K774</f>
        <v>0</v>
      </c>
      <c r="C796" s="63">
        <f>'Cadastro de Produtos'!L774</f>
        <v>0</v>
      </c>
      <c r="D796" s="72" t="e">
        <f>VLOOKUP(B796,'Cadastro de Produtos'!K:Q,7,0)</f>
        <v>#N/A</v>
      </c>
      <c r="E796" s="73">
        <f>'Cadastro de Produtos'!P774</f>
        <v>0</v>
      </c>
    </row>
    <row r="797" spans="1:5" x14ac:dyDescent="0.3">
      <c r="A797" s="62">
        <f>'Cadastro de Produtos'!O775</f>
        <v>0</v>
      </c>
      <c r="B797" s="63">
        <f>'Cadastro de Produtos'!K775</f>
        <v>0</v>
      </c>
      <c r="C797" s="63">
        <f>'Cadastro de Produtos'!L775</f>
        <v>0</v>
      </c>
      <c r="D797" s="72" t="e">
        <f>VLOOKUP(B797,'Cadastro de Produtos'!K:Q,7,0)</f>
        <v>#N/A</v>
      </c>
      <c r="E797" s="73">
        <f>'Cadastro de Produtos'!P775</f>
        <v>0</v>
      </c>
    </row>
    <row r="798" spans="1:5" x14ac:dyDescent="0.3">
      <c r="A798" s="62">
        <f>'Cadastro de Produtos'!O776</f>
        <v>0</v>
      </c>
      <c r="B798" s="63">
        <f>'Cadastro de Produtos'!K776</f>
        <v>0</v>
      </c>
      <c r="C798" s="63">
        <f>'Cadastro de Produtos'!L776</f>
        <v>0</v>
      </c>
      <c r="D798" s="72" t="e">
        <f>VLOOKUP(B798,'Cadastro de Produtos'!K:Q,7,0)</f>
        <v>#N/A</v>
      </c>
      <c r="E798" s="73">
        <f>'Cadastro de Produtos'!P776</f>
        <v>0</v>
      </c>
    </row>
    <row r="799" spans="1:5" x14ac:dyDescent="0.3">
      <c r="A799" s="62">
        <f>'Cadastro de Produtos'!O777</f>
        <v>0</v>
      </c>
      <c r="B799" s="63">
        <f>'Cadastro de Produtos'!K777</f>
        <v>0</v>
      </c>
      <c r="C799" s="63">
        <f>'Cadastro de Produtos'!L777</f>
        <v>0</v>
      </c>
      <c r="D799" s="72" t="e">
        <f>VLOOKUP(B799,'Cadastro de Produtos'!K:Q,7,0)</f>
        <v>#N/A</v>
      </c>
      <c r="E799" s="73">
        <f>'Cadastro de Produtos'!P777</f>
        <v>0</v>
      </c>
    </row>
    <row r="800" spans="1:5" x14ac:dyDescent="0.3">
      <c r="A800" s="62">
        <f>'Cadastro de Produtos'!O778</f>
        <v>0</v>
      </c>
      <c r="B800" s="63">
        <f>'Cadastro de Produtos'!K778</f>
        <v>0</v>
      </c>
      <c r="C800" s="63">
        <f>'Cadastro de Produtos'!L778</f>
        <v>0</v>
      </c>
      <c r="D800" s="72" t="e">
        <f>VLOOKUP(B800,'Cadastro de Produtos'!K:Q,7,0)</f>
        <v>#N/A</v>
      </c>
      <c r="E800" s="73">
        <f>'Cadastro de Produtos'!P778</f>
        <v>0</v>
      </c>
    </row>
    <row r="801" spans="1:5" x14ac:dyDescent="0.3">
      <c r="A801" s="62">
        <f>'Cadastro de Produtos'!O779</f>
        <v>0</v>
      </c>
      <c r="B801" s="63">
        <f>'Cadastro de Produtos'!K779</f>
        <v>0</v>
      </c>
      <c r="C801" s="63">
        <f>'Cadastro de Produtos'!L779</f>
        <v>0</v>
      </c>
      <c r="D801" s="72" t="e">
        <f>VLOOKUP(B801,'Cadastro de Produtos'!K:Q,7,0)</f>
        <v>#N/A</v>
      </c>
      <c r="E801" s="73">
        <f>'Cadastro de Produtos'!P779</f>
        <v>0</v>
      </c>
    </row>
    <row r="802" spans="1:5" x14ac:dyDescent="0.3">
      <c r="A802" s="62">
        <f>'Cadastro de Produtos'!O780</f>
        <v>0</v>
      </c>
      <c r="B802" s="63">
        <f>'Cadastro de Produtos'!K780</f>
        <v>0</v>
      </c>
      <c r="C802" s="63">
        <f>'Cadastro de Produtos'!L780</f>
        <v>0</v>
      </c>
      <c r="D802" s="72" t="e">
        <f>VLOOKUP(B802,'Cadastro de Produtos'!K:Q,7,0)</f>
        <v>#N/A</v>
      </c>
      <c r="E802" s="73">
        <f>'Cadastro de Produtos'!P780</f>
        <v>0</v>
      </c>
    </row>
    <row r="803" spans="1:5" x14ac:dyDescent="0.3">
      <c r="A803" s="62">
        <f>'Cadastro de Produtos'!O781</f>
        <v>0</v>
      </c>
      <c r="B803" s="63">
        <f>'Cadastro de Produtos'!K781</f>
        <v>0</v>
      </c>
      <c r="C803" s="63">
        <f>'Cadastro de Produtos'!L781</f>
        <v>0</v>
      </c>
      <c r="D803" s="72" t="e">
        <f>VLOOKUP(B803,'Cadastro de Produtos'!K:Q,7,0)</f>
        <v>#N/A</v>
      </c>
      <c r="E803" s="73">
        <f>'Cadastro de Produtos'!P781</f>
        <v>0</v>
      </c>
    </row>
    <row r="804" spans="1:5" x14ac:dyDescent="0.3">
      <c r="A804" s="62">
        <f>'Cadastro de Produtos'!O782</f>
        <v>0</v>
      </c>
      <c r="B804" s="63">
        <f>'Cadastro de Produtos'!K782</f>
        <v>0</v>
      </c>
      <c r="C804" s="63">
        <f>'Cadastro de Produtos'!L782</f>
        <v>0</v>
      </c>
      <c r="D804" s="72" t="e">
        <f>VLOOKUP(B804,'Cadastro de Produtos'!K:Q,7,0)</f>
        <v>#N/A</v>
      </c>
      <c r="E804" s="73">
        <f>'Cadastro de Produtos'!P782</f>
        <v>0</v>
      </c>
    </row>
    <row r="805" spans="1:5" x14ac:dyDescent="0.3">
      <c r="A805" s="62">
        <f>'Cadastro de Produtos'!O783</f>
        <v>0</v>
      </c>
      <c r="B805" s="63">
        <f>'Cadastro de Produtos'!K783</f>
        <v>0</v>
      </c>
      <c r="C805" s="63">
        <f>'Cadastro de Produtos'!L783</f>
        <v>0</v>
      </c>
      <c r="D805" s="72" t="e">
        <f>VLOOKUP(B805,'Cadastro de Produtos'!K:Q,7,0)</f>
        <v>#N/A</v>
      </c>
      <c r="E805" s="73">
        <f>'Cadastro de Produtos'!P783</f>
        <v>0</v>
      </c>
    </row>
    <row r="806" spans="1:5" x14ac:dyDescent="0.3">
      <c r="A806" s="62">
        <f>'Cadastro de Produtos'!O784</f>
        <v>0</v>
      </c>
      <c r="B806" s="63">
        <f>'Cadastro de Produtos'!K784</f>
        <v>0</v>
      </c>
      <c r="C806" s="63">
        <f>'Cadastro de Produtos'!L784</f>
        <v>0</v>
      </c>
      <c r="D806" s="72" t="e">
        <f>VLOOKUP(B806,'Cadastro de Produtos'!K:Q,7,0)</f>
        <v>#N/A</v>
      </c>
      <c r="E806" s="73">
        <f>'Cadastro de Produtos'!P784</f>
        <v>0</v>
      </c>
    </row>
    <row r="807" spans="1:5" x14ac:dyDescent="0.3">
      <c r="A807" s="62">
        <f>'Cadastro de Produtos'!O785</f>
        <v>0</v>
      </c>
      <c r="B807" s="63">
        <f>'Cadastro de Produtos'!K785</f>
        <v>0</v>
      </c>
      <c r="C807" s="63">
        <f>'Cadastro de Produtos'!L785</f>
        <v>0</v>
      </c>
      <c r="D807" s="72" t="e">
        <f>VLOOKUP(B807,'Cadastro de Produtos'!K:Q,7,0)</f>
        <v>#N/A</v>
      </c>
      <c r="E807" s="73">
        <f>'Cadastro de Produtos'!P785</f>
        <v>0</v>
      </c>
    </row>
    <row r="808" spans="1:5" x14ac:dyDescent="0.3">
      <c r="A808" s="62">
        <f>'Cadastro de Produtos'!O786</f>
        <v>0</v>
      </c>
      <c r="B808" s="63">
        <f>'Cadastro de Produtos'!K786</f>
        <v>0</v>
      </c>
      <c r="C808" s="63">
        <f>'Cadastro de Produtos'!L786</f>
        <v>0</v>
      </c>
      <c r="D808" s="72" t="e">
        <f>VLOOKUP(B808,'Cadastro de Produtos'!K:Q,7,0)</f>
        <v>#N/A</v>
      </c>
      <c r="E808" s="73">
        <f>'Cadastro de Produtos'!P786</f>
        <v>0</v>
      </c>
    </row>
    <row r="809" spans="1:5" x14ac:dyDescent="0.3">
      <c r="A809" s="62">
        <f>'Cadastro de Produtos'!O787</f>
        <v>0</v>
      </c>
      <c r="B809" s="63">
        <f>'Cadastro de Produtos'!K787</f>
        <v>0</v>
      </c>
      <c r="C809" s="63">
        <f>'Cadastro de Produtos'!L787</f>
        <v>0</v>
      </c>
      <c r="D809" s="72" t="e">
        <f>VLOOKUP(B809,'Cadastro de Produtos'!K:Q,7,0)</f>
        <v>#N/A</v>
      </c>
      <c r="E809" s="73">
        <f>'Cadastro de Produtos'!P787</f>
        <v>0</v>
      </c>
    </row>
    <row r="810" spans="1:5" x14ac:dyDescent="0.3">
      <c r="A810" s="62">
        <f>'Cadastro de Produtos'!O788</f>
        <v>0</v>
      </c>
      <c r="B810" s="63">
        <f>'Cadastro de Produtos'!K788</f>
        <v>0</v>
      </c>
      <c r="C810" s="63">
        <f>'Cadastro de Produtos'!L788</f>
        <v>0</v>
      </c>
      <c r="D810" s="72" t="e">
        <f>VLOOKUP(B810,'Cadastro de Produtos'!K:Q,7,0)</f>
        <v>#N/A</v>
      </c>
      <c r="E810" s="73">
        <f>'Cadastro de Produtos'!P788</f>
        <v>0</v>
      </c>
    </row>
    <row r="811" spans="1:5" x14ac:dyDescent="0.3">
      <c r="A811" s="62">
        <f>'Cadastro de Produtos'!O789</f>
        <v>0</v>
      </c>
      <c r="B811" s="63">
        <f>'Cadastro de Produtos'!K789</f>
        <v>0</v>
      </c>
      <c r="C811" s="63">
        <f>'Cadastro de Produtos'!L789</f>
        <v>0</v>
      </c>
      <c r="D811" s="72" t="e">
        <f>VLOOKUP(B811,'Cadastro de Produtos'!K:Q,7,0)</f>
        <v>#N/A</v>
      </c>
      <c r="E811" s="73">
        <f>'Cadastro de Produtos'!P789</f>
        <v>0</v>
      </c>
    </row>
    <row r="812" spans="1:5" x14ac:dyDescent="0.3">
      <c r="A812" s="62">
        <f>'Cadastro de Produtos'!O790</f>
        <v>0</v>
      </c>
      <c r="B812" s="63">
        <f>'Cadastro de Produtos'!K790</f>
        <v>0</v>
      </c>
      <c r="C812" s="63">
        <f>'Cadastro de Produtos'!L790</f>
        <v>0</v>
      </c>
      <c r="D812" s="72" t="e">
        <f>VLOOKUP(B812,'Cadastro de Produtos'!K:Q,7,0)</f>
        <v>#N/A</v>
      </c>
      <c r="E812" s="73">
        <f>'Cadastro de Produtos'!P790</f>
        <v>0</v>
      </c>
    </row>
    <row r="813" spans="1:5" x14ac:dyDescent="0.3">
      <c r="A813" s="62">
        <f>'Cadastro de Produtos'!O791</f>
        <v>0</v>
      </c>
      <c r="B813" s="63">
        <f>'Cadastro de Produtos'!K791</f>
        <v>0</v>
      </c>
      <c r="C813" s="63">
        <f>'Cadastro de Produtos'!L791</f>
        <v>0</v>
      </c>
      <c r="D813" s="72" t="e">
        <f>VLOOKUP(B813,'Cadastro de Produtos'!K:Q,7,0)</f>
        <v>#N/A</v>
      </c>
      <c r="E813" s="73">
        <f>'Cadastro de Produtos'!P791</f>
        <v>0</v>
      </c>
    </row>
    <row r="814" spans="1:5" x14ac:dyDescent="0.3">
      <c r="A814" s="62">
        <f>'Cadastro de Produtos'!O792</f>
        <v>0</v>
      </c>
      <c r="B814" s="63">
        <f>'Cadastro de Produtos'!K792</f>
        <v>0</v>
      </c>
      <c r="C814" s="63">
        <f>'Cadastro de Produtos'!L792</f>
        <v>0</v>
      </c>
      <c r="D814" s="72" t="e">
        <f>VLOOKUP(B814,'Cadastro de Produtos'!K:Q,7,0)</f>
        <v>#N/A</v>
      </c>
      <c r="E814" s="73">
        <f>'Cadastro de Produtos'!P792</f>
        <v>0</v>
      </c>
    </row>
    <row r="815" spans="1:5" x14ac:dyDescent="0.3">
      <c r="A815" s="62">
        <f>'Cadastro de Produtos'!O793</f>
        <v>0</v>
      </c>
      <c r="B815" s="63">
        <f>'Cadastro de Produtos'!K793</f>
        <v>0</v>
      </c>
      <c r="C815" s="63">
        <f>'Cadastro de Produtos'!L793</f>
        <v>0</v>
      </c>
      <c r="D815" s="72" t="e">
        <f>VLOOKUP(B815,'Cadastro de Produtos'!K:Q,7,0)</f>
        <v>#N/A</v>
      </c>
      <c r="E815" s="73">
        <f>'Cadastro de Produtos'!P793</f>
        <v>0</v>
      </c>
    </row>
    <row r="816" spans="1:5" x14ac:dyDescent="0.3">
      <c r="A816" s="62">
        <f>'Cadastro de Produtos'!O794</f>
        <v>0</v>
      </c>
      <c r="B816" s="63">
        <f>'Cadastro de Produtos'!K794</f>
        <v>0</v>
      </c>
      <c r="C816" s="63">
        <f>'Cadastro de Produtos'!L794</f>
        <v>0</v>
      </c>
      <c r="D816" s="72" t="e">
        <f>VLOOKUP(B816,'Cadastro de Produtos'!K:Q,7,0)</f>
        <v>#N/A</v>
      </c>
      <c r="E816" s="73">
        <f>'Cadastro de Produtos'!P794</f>
        <v>0</v>
      </c>
    </row>
    <row r="817" spans="1:5" x14ac:dyDescent="0.3">
      <c r="A817" s="62">
        <f>'Cadastro de Produtos'!O795</f>
        <v>0</v>
      </c>
      <c r="B817" s="63">
        <f>'Cadastro de Produtos'!K795</f>
        <v>0</v>
      </c>
      <c r="C817" s="63">
        <f>'Cadastro de Produtos'!L795</f>
        <v>0</v>
      </c>
      <c r="D817" s="72" t="e">
        <f>VLOOKUP(B817,'Cadastro de Produtos'!K:Q,7,0)</f>
        <v>#N/A</v>
      </c>
      <c r="E817" s="73">
        <f>'Cadastro de Produtos'!P795</f>
        <v>0</v>
      </c>
    </row>
    <row r="818" spans="1:5" x14ac:dyDescent="0.3">
      <c r="A818" s="62">
        <f>'Cadastro de Produtos'!O796</f>
        <v>0</v>
      </c>
      <c r="B818" s="63">
        <f>'Cadastro de Produtos'!K796</f>
        <v>0</v>
      </c>
      <c r="C818" s="63">
        <f>'Cadastro de Produtos'!L796</f>
        <v>0</v>
      </c>
      <c r="D818" s="72" t="e">
        <f>VLOOKUP(B818,'Cadastro de Produtos'!K:Q,7,0)</f>
        <v>#N/A</v>
      </c>
      <c r="E818" s="73">
        <f>'Cadastro de Produtos'!P796</f>
        <v>0</v>
      </c>
    </row>
    <row r="819" spans="1:5" x14ac:dyDescent="0.3">
      <c r="A819" s="62">
        <f>'Cadastro de Produtos'!O797</f>
        <v>0</v>
      </c>
      <c r="B819" s="63">
        <f>'Cadastro de Produtos'!K797</f>
        <v>0</v>
      </c>
      <c r="C819" s="63">
        <f>'Cadastro de Produtos'!L797</f>
        <v>0</v>
      </c>
      <c r="D819" s="72" t="e">
        <f>VLOOKUP(B819,'Cadastro de Produtos'!K:Q,7,0)</f>
        <v>#N/A</v>
      </c>
      <c r="E819" s="73">
        <f>'Cadastro de Produtos'!P797</f>
        <v>0</v>
      </c>
    </row>
    <row r="820" spans="1:5" x14ac:dyDescent="0.3">
      <c r="A820" s="62">
        <f>'Cadastro de Produtos'!O798</f>
        <v>0</v>
      </c>
      <c r="B820" s="63">
        <f>'Cadastro de Produtos'!K798</f>
        <v>0</v>
      </c>
      <c r="C820" s="63">
        <f>'Cadastro de Produtos'!L798</f>
        <v>0</v>
      </c>
      <c r="D820" s="72" t="e">
        <f>VLOOKUP(B820,'Cadastro de Produtos'!K:Q,7,0)</f>
        <v>#N/A</v>
      </c>
      <c r="E820" s="73">
        <f>'Cadastro de Produtos'!P798</f>
        <v>0</v>
      </c>
    </row>
    <row r="821" spans="1:5" x14ac:dyDescent="0.3">
      <c r="A821" s="62">
        <f>'Cadastro de Produtos'!O799</f>
        <v>0</v>
      </c>
      <c r="B821" s="63">
        <f>'Cadastro de Produtos'!K799</f>
        <v>0</v>
      </c>
      <c r="C821" s="63">
        <f>'Cadastro de Produtos'!L799</f>
        <v>0</v>
      </c>
      <c r="D821" s="72" t="e">
        <f>VLOOKUP(B821,'Cadastro de Produtos'!K:Q,7,0)</f>
        <v>#N/A</v>
      </c>
      <c r="E821" s="73">
        <f>'Cadastro de Produtos'!P799</f>
        <v>0</v>
      </c>
    </row>
    <row r="822" spans="1:5" x14ac:dyDescent="0.3">
      <c r="A822" s="62">
        <f>'Cadastro de Produtos'!O800</f>
        <v>0</v>
      </c>
      <c r="B822" s="63">
        <f>'Cadastro de Produtos'!K800</f>
        <v>0</v>
      </c>
      <c r="C822" s="63">
        <f>'Cadastro de Produtos'!L800</f>
        <v>0</v>
      </c>
      <c r="D822" s="72" t="e">
        <f>VLOOKUP(B822,'Cadastro de Produtos'!K:Q,7,0)</f>
        <v>#N/A</v>
      </c>
      <c r="E822" s="73">
        <f>'Cadastro de Produtos'!P800</f>
        <v>0</v>
      </c>
    </row>
    <row r="823" spans="1:5" x14ac:dyDescent="0.3">
      <c r="A823" s="62">
        <f>'Cadastro de Produtos'!O801</f>
        <v>0</v>
      </c>
      <c r="B823" s="63">
        <f>'Cadastro de Produtos'!K801</f>
        <v>0</v>
      </c>
      <c r="C823" s="63">
        <f>'Cadastro de Produtos'!L801</f>
        <v>0</v>
      </c>
      <c r="D823" s="72" t="e">
        <f>VLOOKUP(B823,'Cadastro de Produtos'!K:Q,7,0)</f>
        <v>#N/A</v>
      </c>
      <c r="E823" s="73">
        <f>'Cadastro de Produtos'!P801</f>
        <v>0</v>
      </c>
    </row>
    <row r="824" spans="1:5" x14ac:dyDescent="0.3">
      <c r="A824" s="62">
        <f>'Cadastro de Produtos'!O802</f>
        <v>0</v>
      </c>
      <c r="B824" s="63">
        <f>'Cadastro de Produtos'!K802</f>
        <v>0</v>
      </c>
      <c r="C824" s="63">
        <f>'Cadastro de Produtos'!L802</f>
        <v>0</v>
      </c>
      <c r="D824" s="72" t="e">
        <f>VLOOKUP(B824,'Cadastro de Produtos'!K:Q,7,0)</f>
        <v>#N/A</v>
      </c>
      <c r="E824" s="73">
        <f>'Cadastro de Produtos'!P802</f>
        <v>0</v>
      </c>
    </row>
    <row r="825" spans="1:5" x14ac:dyDescent="0.3">
      <c r="A825" s="62">
        <f>'Cadastro de Produtos'!O803</f>
        <v>0</v>
      </c>
      <c r="B825" s="63">
        <f>'Cadastro de Produtos'!K803</f>
        <v>0</v>
      </c>
      <c r="C825" s="63">
        <f>'Cadastro de Produtos'!L803</f>
        <v>0</v>
      </c>
      <c r="D825" s="72" t="e">
        <f>VLOOKUP(B825,'Cadastro de Produtos'!K:Q,7,0)</f>
        <v>#N/A</v>
      </c>
      <c r="E825" s="73">
        <f>'Cadastro de Produtos'!P803</f>
        <v>0</v>
      </c>
    </row>
    <row r="826" spans="1:5" x14ac:dyDescent="0.3">
      <c r="A826" s="62">
        <f>'Cadastro de Produtos'!O804</f>
        <v>0</v>
      </c>
      <c r="B826" s="63">
        <f>'Cadastro de Produtos'!K804</f>
        <v>0</v>
      </c>
      <c r="C826" s="63">
        <f>'Cadastro de Produtos'!L804</f>
        <v>0</v>
      </c>
      <c r="D826" s="72" t="e">
        <f>VLOOKUP(B826,'Cadastro de Produtos'!K:Q,7,0)</f>
        <v>#N/A</v>
      </c>
      <c r="E826" s="73">
        <f>'Cadastro de Produtos'!P804</f>
        <v>0</v>
      </c>
    </row>
    <row r="827" spans="1:5" x14ac:dyDescent="0.3">
      <c r="A827" s="62">
        <f>'Cadastro de Produtos'!O805</f>
        <v>0</v>
      </c>
      <c r="B827" s="63">
        <f>'Cadastro de Produtos'!K805</f>
        <v>0</v>
      </c>
      <c r="C827" s="63">
        <f>'Cadastro de Produtos'!L805</f>
        <v>0</v>
      </c>
      <c r="D827" s="72" t="e">
        <f>VLOOKUP(B827,'Cadastro de Produtos'!K:Q,7,0)</f>
        <v>#N/A</v>
      </c>
      <c r="E827" s="73">
        <f>'Cadastro de Produtos'!P805</f>
        <v>0</v>
      </c>
    </row>
    <row r="828" spans="1:5" x14ac:dyDescent="0.3">
      <c r="A828" s="62">
        <f>'Cadastro de Produtos'!O806</f>
        <v>0</v>
      </c>
      <c r="B828" s="63">
        <f>'Cadastro de Produtos'!K806</f>
        <v>0</v>
      </c>
      <c r="C828" s="63">
        <f>'Cadastro de Produtos'!L806</f>
        <v>0</v>
      </c>
      <c r="D828" s="72" t="e">
        <f>VLOOKUP(B828,'Cadastro de Produtos'!K:Q,7,0)</f>
        <v>#N/A</v>
      </c>
      <c r="E828" s="73">
        <f>'Cadastro de Produtos'!P806</f>
        <v>0</v>
      </c>
    </row>
    <row r="829" spans="1:5" x14ac:dyDescent="0.3">
      <c r="A829" s="62">
        <f>'Cadastro de Produtos'!O807</f>
        <v>0</v>
      </c>
      <c r="B829" s="63">
        <f>'Cadastro de Produtos'!K807</f>
        <v>0</v>
      </c>
      <c r="C829" s="63">
        <f>'Cadastro de Produtos'!L807</f>
        <v>0</v>
      </c>
      <c r="D829" s="72" t="e">
        <f>VLOOKUP(B829,'Cadastro de Produtos'!K:Q,7,0)</f>
        <v>#N/A</v>
      </c>
      <c r="E829" s="73">
        <f>'Cadastro de Produtos'!P807</f>
        <v>0</v>
      </c>
    </row>
    <row r="830" spans="1:5" x14ac:dyDescent="0.3">
      <c r="A830" s="62">
        <f>'Cadastro de Produtos'!O808</f>
        <v>0</v>
      </c>
      <c r="B830" s="63">
        <f>'Cadastro de Produtos'!K808</f>
        <v>0</v>
      </c>
      <c r="C830" s="63">
        <f>'Cadastro de Produtos'!L808</f>
        <v>0</v>
      </c>
      <c r="D830" s="72" t="e">
        <f>VLOOKUP(B830,'Cadastro de Produtos'!K:Q,7,0)</f>
        <v>#N/A</v>
      </c>
      <c r="E830" s="73">
        <f>'Cadastro de Produtos'!P808</f>
        <v>0</v>
      </c>
    </row>
    <row r="831" spans="1:5" x14ac:dyDescent="0.3">
      <c r="A831" s="62">
        <f>'Cadastro de Produtos'!O809</f>
        <v>0</v>
      </c>
      <c r="B831" s="63">
        <f>'Cadastro de Produtos'!K809</f>
        <v>0</v>
      </c>
      <c r="C831" s="63">
        <f>'Cadastro de Produtos'!L809</f>
        <v>0</v>
      </c>
      <c r="D831" s="72" t="e">
        <f>VLOOKUP(B831,'Cadastro de Produtos'!K:Q,7,0)</f>
        <v>#N/A</v>
      </c>
      <c r="E831" s="73">
        <f>'Cadastro de Produtos'!P809</f>
        <v>0</v>
      </c>
    </row>
    <row r="832" spans="1:5" x14ac:dyDescent="0.3">
      <c r="A832" s="62">
        <f>'Cadastro de Produtos'!O810</f>
        <v>0</v>
      </c>
      <c r="B832" s="63">
        <f>'Cadastro de Produtos'!K810</f>
        <v>0</v>
      </c>
      <c r="C832" s="63">
        <f>'Cadastro de Produtos'!L810</f>
        <v>0</v>
      </c>
      <c r="D832" s="72" t="e">
        <f>VLOOKUP(B832,'Cadastro de Produtos'!K:Q,7,0)</f>
        <v>#N/A</v>
      </c>
      <c r="E832" s="73">
        <f>'Cadastro de Produtos'!P810</f>
        <v>0</v>
      </c>
    </row>
    <row r="833" spans="1:5" x14ac:dyDescent="0.3">
      <c r="A833" s="62">
        <f>'Cadastro de Produtos'!O811</f>
        <v>0</v>
      </c>
      <c r="B833" s="63">
        <f>'Cadastro de Produtos'!K811</f>
        <v>0</v>
      </c>
      <c r="C833" s="63">
        <f>'Cadastro de Produtos'!L811</f>
        <v>0</v>
      </c>
      <c r="D833" s="72" t="e">
        <f>VLOOKUP(B833,'Cadastro de Produtos'!K:Q,7,0)</f>
        <v>#N/A</v>
      </c>
      <c r="E833" s="73">
        <f>'Cadastro de Produtos'!P811</f>
        <v>0</v>
      </c>
    </row>
    <row r="834" spans="1:5" x14ac:dyDescent="0.3">
      <c r="A834" s="62">
        <f>'Cadastro de Produtos'!O812</f>
        <v>0</v>
      </c>
      <c r="B834" s="63">
        <f>'Cadastro de Produtos'!K812</f>
        <v>0</v>
      </c>
      <c r="C834" s="63">
        <f>'Cadastro de Produtos'!L812</f>
        <v>0</v>
      </c>
      <c r="D834" s="72" t="e">
        <f>VLOOKUP(B834,'Cadastro de Produtos'!K:Q,7,0)</f>
        <v>#N/A</v>
      </c>
      <c r="E834" s="73">
        <f>'Cadastro de Produtos'!P812</f>
        <v>0</v>
      </c>
    </row>
    <row r="835" spans="1:5" x14ac:dyDescent="0.3">
      <c r="A835" s="62">
        <f>'Cadastro de Produtos'!O813</f>
        <v>0</v>
      </c>
      <c r="B835" s="63">
        <f>'Cadastro de Produtos'!K813</f>
        <v>0</v>
      </c>
      <c r="C835" s="63">
        <f>'Cadastro de Produtos'!L813</f>
        <v>0</v>
      </c>
      <c r="D835" s="72" t="e">
        <f>VLOOKUP(B835,'Cadastro de Produtos'!K:Q,7,0)</f>
        <v>#N/A</v>
      </c>
      <c r="E835" s="73">
        <f>'Cadastro de Produtos'!P813</f>
        <v>0</v>
      </c>
    </row>
    <row r="836" spans="1:5" x14ac:dyDescent="0.3">
      <c r="A836" s="62">
        <f>'Cadastro de Produtos'!O814</f>
        <v>0</v>
      </c>
      <c r="B836" s="63">
        <f>'Cadastro de Produtos'!K814</f>
        <v>0</v>
      </c>
      <c r="C836" s="63">
        <f>'Cadastro de Produtos'!L814</f>
        <v>0</v>
      </c>
      <c r="D836" s="72" t="e">
        <f>VLOOKUP(B836,'Cadastro de Produtos'!K:Q,7,0)</f>
        <v>#N/A</v>
      </c>
      <c r="E836" s="73">
        <f>'Cadastro de Produtos'!P814</f>
        <v>0</v>
      </c>
    </row>
    <row r="837" spans="1:5" x14ac:dyDescent="0.3">
      <c r="A837" s="62">
        <f>'Cadastro de Produtos'!O815</f>
        <v>0</v>
      </c>
      <c r="B837" s="63">
        <f>'Cadastro de Produtos'!K815</f>
        <v>0</v>
      </c>
      <c r="C837" s="63">
        <f>'Cadastro de Produtos'!L815</f>
        <v>0</v>
      </c>
      <c r="D837" s="72" t="e">
        <f>VLOOKUP(B837,'Cadastro de Produtos'!K:Q,7,0)</f>
        <v>#N/A</v>
      </c>
      <c r="E837" s="73">
        <f>'Cadastro de Produtos'!P815</f>
        <v>0</v>
      </c>
    </row>
    <row r="838" spans="1:5" x14ac:dyDescent="0.3">
      <c r="A838" s="62">
        <f>'Cadastro de Produtos'!O816</f>
        <v>0</v>
      </c>
      <c r="B838" s="63">
        <f>'Cadastro de Produtos'!K816</f>
        <v>0</v>
      </c>
      <c r="C838" s="63">
        <f>'Cadastro de Produtos'!L816</f>
        <v>0</v>
      </c>
      <c r="D838" s="72" t="e">
        <f>VLOOKUP(B838,'Cadastro de Produtos'!K:Q,7,0)</f>
        <v>#N/A</v>
      </c>
      <c r="E838" s="73">
        <f>'Cadastro de Produtos'!P816</f>
        <v>0</v>
      </c>
    </row>
    <row r="839" spans="1:5" x14ac:dyDescent="0.3">
      <c r="A839" s="62">
        <f>'Cadastro de Produtos'!O817</f>
        <v>0</v>
      </c>
      <c r="B839" s="63">
        <f>'Cadastro de Produtos'!K817</f>
        <v>0</v>
      </c>
      <c r="C839" s="63">
        <f>'Cadastro de Produtos'!L817</f>
        <v>0</v>
      </c>
      <c r="D839" s="72" t="e">
        <f>VLOOKUP(B839,'Cadastro de Produtos'!K:Q,7,0)</f>
        <v>#N/A</v>
      </c>
      <c r="E839" s="73">
        <f>'Cadastro de Produtos'!P817</f>
        <v>0</v>
      </c>
    </row>
    <row r="840" spans="1:5" x14ac:dyDescent="0.3">
      <c r="A840" s="62">
        <f>'Cadastro de Produtos'!O818</f>
        <v>0</v>
      </c>
      <c r="B840" s="63">
        <f>'Cadastro de Produtos'!K818</f>
        <v>0</v>
      </c>
      <c r="C840" s="63">
        <f>'Cadastro de Produtos'!L818</f>
        <v>0</v>
      </c>
      <c r="D840" s="72" t="e">
        <f>VLOOKUP(B840,'Cadastro de Produtos'!K:Q,7,0)</f>
        <v>#N/A</v>
      </c>
      <c r="E840" s="73">
        <f>'Cadastro de Produtos'!P818</f>
        <v>0</v>
      </c>
    </row>
    <row r="841" spans="1:5" x14ac:dyDescent="0.3">
      <c r="A841" s="62">
        <f>'Cadastro de Produtos'!O819</f>
        <v>0</v>
      </c>
      <c r="B841" s="63">
        <f>'Cadastro de Produtos'!K819</f>
        <v>0</v>
      </c>
      <c r="C841" s="63">
        <f>'Cadastro de Produtos'!L819</f>
        <v>0</v>
      </c>
      <c r="D841" s="72" t="e">
        <f>VLOOKUP(B841,'Cadastro de Produtos'!K:Q,7,0)</f>
        <v>#N/A</v>
      </c>
      <c r="E841" s="73">
        <f>'Cadastro de Produtos'!P819</f>
        <v>0</v>
      </c>
    </row>
    <row r="842" spans="1:5" x14ac:dyDescent="0.3">
      <c r="A842" s="62">
        <f>'Cadastro de Produtos'!O820</f>
        <v>0</v>
      </c>
      <c r="B842" s="63">
        <f>'Cadastro de Produtos'!K820</f>
        <v>0</v>
      </c>
      <c r="C842" s="63">
        <f>'Cadastro de Produtos'!L820</f>
        <v>0</v>
      </c>
      <c r="D842" s="72" t="e">
        <f>VLOOKUP(B842,'Cadastro de Produtos'!K:Q,7,0)</f>
        <v>#N/A</v>
      </c>
      <c r="E842" s="73">
        <f>'Cadastro de Produtos'!P820</f>
        <v>0</v>
      </c>
    </row>
    <row r="843" spans="1:5" x14ac:dyDescent="0.3">
      <c r="A843" s="62">
        <f>'Cadastro de Produtos'!O821</f>
        <v>0</v>
      </c>
      <c r="B843" s="63">
        <f>'Cadastro de Produtos'!K821</f>
        <v>0</v>
      </c>
      <c r="C843" s="63">
        <f>'Cadastro de Produtos'!L821</f>
        <v>0</v>
      </c>
      <c r="D843" s="72" t="e">
        <f>VLOOKUP(B843,'Cadastro de Produtos'!K:Q,7,0)</f>
        <v>#N/A</v>
      </c>
      <c r="E843" s="73">
        <f>'Cadastro de Produtos'!P821</f>
        <v>0</v>
      </c>
    </row>
    <row r="844" spans="1:5" x14ac:dyDescent="0.3">
      <c r="A844" s="62">
        <f>'Cadastro de Produtos'!O822</f>
        <v>0</v>
      </c>
      <c r="B844" s="63">
        <f>'Cadastro de Produtos'!K822</f>
        <v>0</v>
      </c>
      <c r="C844" s="63">
        <f>'Cadastro de Produtos'!L822</f>
        <v>0</v>
      </c>
      <c r="D844" s="72" t="e">
        <f>VLOOKUP(B844,'Cadastro de Produtos'!K:Q,7,0)</f>
        <v>#N/A</v>
      </c>
      <c r="E844" s="73">
        <f>'Cadastro de Produtos'!P822</f>
        <v>0</v>
      </c>
    </row>
    <row r="845" spans="1:5" x14ac:dyDescent="0.3">
      <c r="A845" s="62">
        <f>'Cadastro de Produtos'!O823</f>
        <v>0</v>
      </c>
      <c r="B845" s="63">
        <f>'Cadastro de Produtos'!K823</f>
        <v>0</v>
      </c>
      <c r="C845" s="63">
        <f>'Cadastro de Produtos'!L823</f>
        <v>0</v>
      </c>
      <c r="D845" s="72" t="e">
        <f>VLOOKUP(B845,'Cadastro de Produtos'!K:Q,7,0)</f>
        <v>#N/A</v>
      </c>
      <c r="E845" s="73">
        <f>'Cadastro de Produtos'!P823</f>
        <v>0</v>
      </c>
    </row>
    <row r="846" spans="1:5" x14ac:dyDescent="0.3">
      <c r="A846" s="62">
        <f>'Cadastro de Produtos'!O824</f>
        <v>0</v>
      </c>
      <c r="B846" s="63">
        <f>'Cadastro de Produtos'!K824</f>
        <v>0</v>
      </c>
      <c r="C846" s="63">
        <f>'Cadastro de Produtos'!L824</f>
        <v>0</v>
      </c>
      <c r="D846" s="72" t="e">
        <f>VLOOKUP(B846,'Cadastro de Produtos'!K:Q,7,0)</f>
        <v>#N/A</v>
      </c>
      <c r="E846" s="73">
        <f>'Cadastro de Produtos'!P824</f>
        <v>0</v>
      </c>
    </row>
    <row r="847" spans="1:5" x14ac:dyDescent="0.3">
      <c r="A847" s="62">
        <f>'Cadastro de Produtos'!O825</f>
        <v>0</v>
      </c>
      <c r="B847" s="63">
        <f>'Cadastro de Produtos'!K825</f>
        <v>0</v>
      </c>
      <c r="C847" s="63">
        <f>'Cadastro de Produtos'!L825</f>
        <v>0</v>
      </c>
      <c r="D847" s="72" t="e">
        <f>VLOOKUP(B847,'Cadastro de Produtos'!K:Q,7,0)</f>
        <v>#N/A</v>
      </c>
      <c r="E847" s="73">
        <f>'Cadastro de Produtos'!P825</f>
        <v>0</v>
      </c>
    </row>
    <row r="848" spans="1:5" x14ac:dyDescent="0.3">
      <c r="A848" s="62">
        <f>'Cadastro de Produtos'!O826</f>
        <v>0</v>
      </c>
      <c r="B848" s="63">
        <f>'Cadastro de Produtos'!K826</f>
        <v>0</v>
      </c>
      <c r="C848" s="63">
        <f>'Cadastro de Produtos'!L826</f>
        <v>0</v>
      </c>
      <c r="D848" s="72" t="e">
        <f>VLOOKUP(B848,'Cadastro de Produtos'!K:Q,7,0)</f>
        <v>#N/A</v>
      </c>
      <c r="E848" s="73">
        <f>'Cadastro de Produtos'!P826</f>
        <v>0</v>
      </c>
    </row>
    <row r="849" spans="1:5" x14ac:dyDescent="0.3">
      <c r="A849" s="62">
        <f>'Cadastro de Produtos'!O827</f>
        <v>0</v>
      </c>
      <c r="B849" s="63">
        <f>'Cadastro de Produtos'!K827</f>
        <v>0</v>
      </c>
      <c r="C849" s="63">
        <f>'Cadastro de Produtos'!L827</f>
        <v>0</v>
      </c>
      <c r="D849" s="72" t="e">
        <f>VLOOKUP(B849,'Cadastro de Produtos'!K:Q,7,0)</f>
        <v>#N/A</v>
      </c>
      <c r="E849" s="73">
        <f>'Cadastro de Produtos'!P827</f>
        <v>0</v>
      </c>
    </row>
    <row r="850" spans="1:5" x14ac:dyDescent="0.3">
      <c r="A850" s="62">
        <f>'Cadastro de Produtos'!O828</f>
        <v>0</v>
      </c>
      <c r="B850" s="63">
        <f>'Cadastro de Produtos'!K828</f>
        <v>0</v>
      </c>
      <c r="C850" s="63">
        <f>'Cadastro de Produtos'!L828</f>
        <v>0</v>
      </c>
      <c r="D850" s="72" t="e">
        <f>VLOOKUP(B850,'Cadastro de Produtos'!K:Q,7,0)</f>
        <v>#N/A</v>
      </c>
      <c r="E850" s="73">
        <f>'Cadastro de Produtos'!P828</f>
        <v>0</v>
      </c>
    </row>
    <row r="851" spans="1:5" x14ac:dyDescent="0.3">
      <c r="A851" s="62">
        <f>'Cadastro de Produtos'!O829</f>
        <v>0</v>
      </c>
      <c r="B851" s="63">
        <f>'Cadastro de Produtos'!K829</f>
        <v>0</v>
      </c>
      <c r="C851" s="63">
        <f>'Cadastro de Produtos'!L829</f>
        <v>0</v>
      </c>
      <c r="D851" s="72" t="e">
        <f>VLOOKUP(B851,'Cadastro de Produtos'!K:Q,7,0)</f>
        <v>#N/A</v>
      </c>
      <c r="E851" s="73">
        <f>'Cadastro de Produtos'!P829</f>
        <v>0</v>
      </c>
    </row>
    <row r="852" spans="1:5" x14ac:dyDescent="0.3">
      <c r="A852" s="62">
        <f>'Cadastro de Produtos'!O830</f>
        <v>0</v>
      </c>
      <c r="B852" s="63">
        <f>'Cadastro de Produtos'!K830</f>
        <v>0</v>
      </c>
      <c r="C852" s="63">
        <f>'Cadastro de Produtos'!L830</f>
        <v>0</v>
      </c>
      <c r="D852" s="72" t="e">
        <f>VLOOKUP(B852,'Cadastro de Produtos'!K:Q,7,0)</f>
        <v>#N/A</v>
      </c>
      <c r="E852" s="73">
        <f>'Cadastro de Produtos'!P830</f>
        <v>0</v>
      </c>
    </row>
    <row r="853" spans="1:5" x14ac:dyDescent="0.3">
      <c r="A853" s="62">
        <f>'Cadastro de Produtos'!O831</f>
        <v>0</v>
      </c>
      <c r="B853" s="63">
        <f>'Cadastro de Produtos'!K831</f>
        <v>0</v>
      </c>
      <c r="C853" s="63">
        <f>'Cadastro de Produtos'!L831</f>
        <v>0</v>
      </c>
      <c r="D853" s="72" t="e">
        <f>VLOOKUP(B853,'Cadastro de Produtos'!K:Q,7,0)</f>
        <v>#N/A</v>
      </c>
      <c r="E853" s="73">
        <f>'Cadastro de Produtos'!P831</f>
        <v>0</v>
      </c>
    </row>
    <row r="854" spans="1:5" x14ac:dyDescent="0.3">
      <c r="A854" s="62">
        <f>'Cadastro de Produtos'!O832</f>
        <v>0</v>
      </c>
      <c r="B854" s="63">
        <f>'Cadastro de Produtos'!K832</f>
        <v>0</v>
      </c>
      <c r="C854" s="63">
        <f>'Cadastro de Produtos'!L832</f>
        <v>0</v>
      </c>
      <c r="D854" s="72" t="e">
        <f>VLOOKUP(B854,'Cadastro de Produtos'!K:Q,7,0)</f>
        <v>#N/A</v>
      </c>
      <c r="E854" s="73">
        <f>'Cadastro de Produtos'!P832</f>
        <v>0</v>
      </c>
    </row>
    <row r="855" spans="1:5" x14ac:dyDescent="0.3">
      <c r="A855" s="62">
        <f>'Cadastro de Produtos'!O833</f>
        <v>0</v>
      </c>
      <c r="B855" s="63">
        <f>'Cadastro de Produtos'!K833</f>
        <v>0</v>
      </c>
      <c r="C855" s="63">
        <f>'Cadastro de Produtos'!L833</f>
        <v>0</v>
      </c>
      <c r="D855" s="72" t="e">
        <f>VLOOKUP(B855,'Cadastro de Produtos'!K:Q,7,0)</f>
        <v>#N/A</v>
      </c>
      <c r="E855" s="73">
        <f>'Cadastro de Produtos'!P833</f>
        <v>0</v>
      </c>
    </row>
    <row r="856" spans="1:5" x14ac:dyDescent="0.3">
      <c r="A856" s="62">
        <f>'Cadastro de Produtos'!O834</f>
        <v>0</v>
      </c>
      <c r="B856" s="63">
        <f>'Cadastro de Produtos'!K834</f>
        <v>0</v>
      </c>
      <c r="C856" s="63">
        <f>'Cadastro de Produtos'!L834</f>
        <v>0</v>
      </c>
      <c r="D856" s="72" t="e">
        <f>VLOOKUP(B856,'Cadastro de Produtos'!K:Q,7,0)</f>
        <v>#N/A</v>
      </c>
      <c r="E856" s="73">
        <f>'Cadastro de Produtos'!P834</f>
        <v>0</v>
      </c>
    </row>
    <row r="857" spans="1:5" x14ac:dyDescent="0.3">
      <c r="A857" s="62">
        <f>'Cadastro de Produtos'!O835</f>
        <v>0</v>
      </c>
      <c r="B857" s="63">
        <f>'Cadastro de Produtos'!K835</f>
        <v>0</v>
      </c>
      <c r="C857" s="63">
        <f>'Cadastro de Produtos'!L835</f>
        <v>0</v>
      </c>
      <c r="D857" s="72" t="e">
        <f>VLOOKUP(B857,'Cadastro de Produtos'!K:Q,7,0)</f>
        <v>#N/A</v>
      </c>
      <c r="E857" s="73">
        <f>'Cadastro de Produtos'!P835</f>
        <v>0</v>
      </c>
    </row>
    <row r="858" spans="1:5" x14ac:dyDescent="0.3">
      <c r="A858" s="62">
        <f>'Cadastro de Produtos'!O836</f>
        <v>0</v>
      </c>
      <c r="B858" s="63">
        <f>'Cadastro de Produtos'!K836</f>
        <v>0</v>
      </c>
      <c r="C858" s="63">
        <f>'Cadastro de Produtos'!L836</f>
        <v>0</v>
      </c>
      <c r="D858" s="72" t="e">
        <f>VLOOKUP(B858,'Cadastro de Produtos'!K:Q,7,0)</f>
        <v>#N/A</v>
      </c>
      <c r="E858" s="73">
        <f>'Cadastro de Produtos'!P836</f>
        <v>0</v>
      </c>
    </row>
    <row r="859" spans="1:5" x14ac:dyDescent="0.3">
      <c r="A859" s="62">
        <f>'Cadastro de Produtos'!O837</f>
        <v>0</v>
      </c>
      <c r="B859" s="63">
        <f>'Cadastro de Produtos'!K837</f>
        <v>0</v>
      </c>
      <c r="C859" s="63">
        <f>'Cadastro de Produtos'!L837</f>
        <v>0</v>
      </c>
      <c r="D859" s="72" t="e">
        <f>VLOOKUP(B859,'Cadastro de Produtos'!K:Q,7,0)</f>
        <v>#N/A</v>
      </c>
      <c r="E859" s="73">
        <f>'Cadastro de Produtos'!P837</f>
        <v>0</v>
      </c>
    </row>
    <row r="860" spans="1:5" x14ac:dyDescent="0.3">
      <c r="A860" s="62">
        <f>'Cadastro de Produtos'!O838</f>
        <v>0</v>
      </c>
      <c r="B860" s="63">
        <f>'Cadastro de Produtos'!K838</f>
        <v>0</v>
      </c>
      <c r="C860" s="63">
        <f>'Cadastro de Produtos'!L838</f>
        <v>0</v>
      </c>
      <c r="D860" s="72" t="e">
        <f>VLOOKUP(B860,'Cadastro de Produtos'!K:Q,7,0)</f>
        <v>#N/A</v>
      </c>
      <c r="E860" s="73">
        <f>'Cadastro de Produtos'!P838</f>
        <v>0</v>
      </c>
    </row>
    <row r="861" spans="1:5" x14ac:dyDescent="0.3">
      <c r="A861" s="62">
        <f>'Cadastro de Produtos'!O839</f>
        <v>0</v>
      </c>
      <c r="B861" s="63">
        <f>'Cadastro de Produtos'!K839</f>
        <v>0</v>
      </c>
      <c r="C861" s="63">
        <f>'Cadastro de Produtos'!L839</f>
        <v>0</v>
      </c>
      <c r="D861" s="72" t="e">
        <f>VLOOKUP(B861,'Cadastro de Produtos'!K:Q,7,0)</f>
        <v>#N/A</v>
      </c>
      <c r="E861" s="73">
        <f>'Cadastro de Produtos'!P839</f>
        <v>0</v>
      </c>
    </row>
    <row r="862" spans="1:5" x14ac:dyDescent="0.3">
      <c r="A862" s="62">
        <f>'Cadastro de Produtos'!O840</f>
        <v>0</v>
      </c>
      <c r="B862" s="63">
        <f>'Cadastro de Produtos'!K840</f>
        <v>0</v>
      </c>
      <c r="C862" s="63">
        <f>'Cadastro de Produtos'!L840</f>
        <v>0</v>
      </c>
      <c r="D862" s="72" t="e">
        <f>VLOOKUP(B862,'Cadastro de Produtos'!K:Q,7,0)</f>
        <v>#N/A</v>
      </c>
      <c r="E862" s="73">
        <f>'Cadastro de Produtos'!P840</f>
        <v>0</v>
      </c>
    </row>
    <row r="863" spans="1:5" x14ac:dyDescent="0.3">
      <c r="A863" s="62">
        <f>'Cadastro de Produtos'!O841</f>
        <v>0</v>
      </c>
      <c r="B863" s="63">
        <f>'Cadastro de Produtos'!K841</f>
        <v>0</v>
      </c>
      <c r="C863" s="63">
        <f>'Cadastro de Produtos'!L841</f>
        <v>0</v>
      </c>
      <c r="D863" s="72" t="e">
        <f>VLOOKUP(B863,'Cadastro de Produtos'!K:Q,7,0)</f>
        <v>#N/A</v>
      </c>
      <c r="E863" s="73">
        <f>'Cadastro de Produtos'!P841</f>
        <v>0</v>
      </c>
    </row>
    <row r="864" spans="1:5" x14ac:dyDescent="0.3">
      <c r="A864" s="62">
        <f>'Cadastro de Produtos'!O842</f>
        <v>0</v>
      </c>
      <c r="B864" s="63">
        <f>'Cadastro de Produtos'!K842</f>
        <v>0</v>
      </c>
      <c r="C864" s="63">
        <f>'Cadastro de Produtos'!L842</f>
        <v>0</v>
      </c>
      <c r="D864" s="72" t="e">
        <f>VLOOKUP(B864,'Cadastro de Produtos'!K:Q,7,0)</f>
        <v>#N/A</v>
      </c>
      <c r="E864" s="73">
        <f>'Cadastro de Produtos'!P842</f>
        <v>0</v>
      </c>
    </row>
    <row r="865" spans="1:5" x14ac:dyDescent="0.3">
      <c r="A865" s="62">
        <f>'Cadastro de Produtos'!O843</f>
        <v>0</v>
      </c>
      <c r="B865" s="63">
        <f>'Cadastro de Produtos'!K843</f>
        <v>0</v>
      </c>
      <c r="C865" s="63">
        <f>'Cadastro de Produtos'!L843</f>
        <v>0</v>
      </c>
      <c r="D865" s="72" t="e">
        <f>VLOOKUP(B865,'Cadastro de Produtos'!K:Q,7,0)</f>
        <v>#N/A</v>
      </c>
      <c r="E865" s="73">
        <f>'Cadastro de Produtos'!P843</f>
        <v>0</v>
      </c>
    </row>
    <row r="866" spans="1:5" x14ac:dyDescent="0.3">
      <c r="A866" s="62">
        <f>'Cadastro de Produtos'!O844</f>
        <v>0</v>
      </c>
      <c r="B866" s="63">
        <f>'Cadastro de Produtos'!K844</f>
        <v>0</v>
      </c>
      <c r="C866" s="63">
        <f>'Cadastro de Produtos'!L844</f>
        <v>0</v>
      </c>
      <c r="D866" s="72" t="e">
        <f>VLOOKUP(B866,'Cadastro de Produtos'!K:Q,7,0)</f>
        <v>#N/A</v>
      </c>
      <c r="E866" s="73">
        <f>'Cadastro de Produtos'!P844</f>
        <v>0</v>
      </c>
    </row>
    <row r="867" spans="1:5" x14ac:dyDescent="0.3">
      <c r="A867" s="62">
        <f>'Cadastro de Produtos'!O845</f>
        <v>0</v>
      </c>
      <c r="B867" s="63">
        <f>'Cadastro de Produtos'!K845</f>
        <v>0</v>
      </c>
      <c r="C867" s="63">
        <f>'Cadastro de Produtos'!L845</f>
        <v>0</v>
      </c>
      <c r="D867" s="72" t="e">
        <f>VLOOKUP(B867,'Cadastro de Produtos'!K:Q,7,0)</f>
        <v>#N/A</v>
      </c>
      <c r="E867" s="73">
        <f>'Cadastro de Produtos'!P845</f>
        <v>0</v>
      </c>
    </row>
    <row r="868" spans="1:5" x14ac:dyDescent="0.3">
      <c r="A868" s="62">
        <f>'Cadastro de Produtos'!O846</f>
        <v>0</v>
      </c>
      <c r="B868" s="63">
        <f>'Cadastro de Produtos'!K846</f>
        <v>0</v>
      </c>
      <c r="C868" s="63">
        <f>'Cadastro de Produtos'!L846</f>
        <v>0</v>
      </c>
      <c r="D868" s="72" t="e">
        <f>VLOOKUP(B868,'Cadastro de Produtos'!K:Q,7,0)</f>
        <v>#N/A</v>
      </c>
      <c r="E868" s="73">
        <f>'Cadastro de Produtos'!P846</f>
        <v>0</v>
      </c>
    </row>
    <row r="869" spans="1:5" x14ac:dyDescent="0.3">
      <c r="A869" s="62">
        <f>'Cadastro de Produtos'!O847</f>
        <v>0</v>
      </c>
      <c r="B869" s="63">
        <f>'Cadastro de Produtos'!K847</f>
        <v>0</v>
      </c>
      <c r="C869" s="63">
        <f>'Cadastro de Produtos'!L847</f>
        <v>0</v>
      </c>
      <c r="D869" s="72" t="e">
        <f>VLOOKUP(B869,'Cadastro de Produtos'!K:Q,7,0)</f>
        <v>#N/A</v>
      </c>
      <c r="E869" s="73">
        <f>'Cadastro de Produtos'!P847</f>
        <v>0</v>
      </c>
    </row>
    <row r="870" spans="1:5" x14ac:dyDescent="0.3">
      <c r="A870" s="62">
        <f>'Cadastro de Produtos'!O848</f>
        <v>0</v>
      </c>
      <c r="B870" s="63">
        <f>'Cadastro de Produtos'!K848</f>
        <v>0</v>
      </c>
      <c r="C870" s="63">
        <f>'Cadastro de Produtos'!L848</f>
        <v>0</v>
      </c>
      <c r="D870" s="72" t="e">
        <f>VLOOKUP(B870,'Cadastro de Produtos'!K:Q,7,0)</f>
        <v>#N/A</v>
      </c>
      <c r="E870" s="73">
        <f>'Cadastro de Produtos'!P848</f>
        <v>0</v>
      </c>
    </row>
    <row r="871" spans="1:5" x14ac:dyDescent="0.3">
      <c r="A871" s="62">
        <f>'Cadastro de Produtos'!O849</f>
        <v>0</v>
      </c>
      <c r="B871" s="63">
        <f>'Cadastro de Produtos'!K849</f>
        <v>0</v>
      </c>
      <c r="C871" s="63">
        <f>'Cadastro de Produtos'!L849</f>
        <v>0</v>
      </c>
      <c r="D871" s="72" t="e">
        <f>VLOOKUP(B871,'Cadastro de Produtos'!K:Q,7,0)</f>
        <v>#N/A</v>
      </c>
      <c r="E871" s="73">
        <f>'Cadastro de Produtos'!P849</f>
        <v>0</v>
      </c>
    </row>
    <row r="872" spans="1:5" x14ac:dyDescent="0.3">
      <c r="A872" s="62">
        <f>'Cadastro de Produtos'!O850</f>
        <v>0</v>
      </c>
      <c r="B872" s="63">
        <f>'Cadastro de Produtos'!K850</f>
        <v>0</v>
      </c>
      <c r="C872" s="63">
        <f>'Cadastro de Produtos'!L850</f>
        <v>0</v>
      </c>
      <c r="D872" s="72" t="e">
        <f>VLOOKUP(B872,'Cadastro de Produtos'!K:Q,7,0)</f>
        <v>#N/A</v>
      </c>
      <c r="E872" s="73">
        <f>'Cadastro de Produtos'!P850</f>
        <v>0</v>
      </c>
    </row>
    <row r="873" spans="1:5" x14ac:dyDescent="0.3">
      <c r="A873" s="62">
        <f>'Cadastro de Produtos'!O851</f>
        <v>0</v>
      </c>
      <c r="B873" s="63">
        <f>'Cadastro de Produtos'!K851</f>
        <v>0</v>
      </c>
      <c r="C873" s="63">
        <f>'Cadastro de Produtos'!L851</f>
        <v>0</v>
      </c>
      <c r="D873" s="72" t="e">
        <f>VLOOKUP(B873,'Cadastro de Produtos'!K:Q,7,0)</f>
        <v>#N/A</v>
      </c>
      <c r="E873" s="73">
        <f>'Cadastro de Produtos'!P851</f>
        <v>0</v>
      </c>
    </row>
    <row r="874" spans="1:5" x14ac:dyDescent="0.3">
      <c r="A874" s="62">
        <f>'Cadastro de Produtos'!O852</f>
        <v>0</v>
      </c>
      <c r="B874" s="63">
        <f>'Cadastro de Produtos'!K852</f>
        <v>0</v>
      </c>
      <c r="C874" s="63">
        <f>'Cadastro de Produtos'!L852</f>
        <v>0</v>
      </c>
      <c r="D874" s="72" t="e">
        <f>VLOOKUP(B874,'Cadastro de Produtos'!K:Q,7,0)</f>
        <v>#N/A</v>
      </c>
      <c r="E874" s="73">
        <f>'Cadastro de Produtos'!P852</f>
        <v>0</v>
      </c>
    </row>
    <row r="875" spans="1:5" x14ac:dyDescent="0.3">
      <c r="A875" s="62">
        <f>'Cadastro de Produtos'!O853</f>
        <v>0</v>
      </c>
      <c r="B875" s="63">
        <f>'Cadastro de Produtos'!K853</f>
        <v>0</v>
      </c>
      <c r="C875" s="63">
        <f>'Cadastro de Produtos'!L853</f>
        <v>0</v>
      </c>
      <c r="D875" s="72" t="e">
        <f>VLOOKUP(B875,'Cadastro de Produtos'!K:Q,7,0)</f>
        <v>#N/A</v>
      </c>
      <c r="E875" s="73">
        <f>'Cadastro de Produtos'!P853</f>
        <v>0</v>
      </c>
    </row>
    <row r="876" spans="1:5" x14ac:dyDescent="0.3">
      <c r="A876" s="62">
        <f>'Cadastro de Produtos'!O854</f>
        <v>0</v>
      </c>
      <c r="B876" s="63">
        <f>'Cadastro de Produtos'!K854</f>
        <v>0</v>
      </c>
      <c r="C876" s="63">
        <f>'Cadastro de Produtos'!L854</f>
        <v>0</v>
      </c>
      <c r="D876" s="72" t="e">
        <f>VLOOKUP(B876,'Cadastro de Produtos'!K:Q,7,0)</f>
        <v>#N/A</v>
      </c>
      <c r="E876" s="73">
        <f>'Cadastro de Produtos'!P854</f>
        <v>0</v>
      </c>
    </row>
    <row r="877" spans="1:5" x14ac:dyDescent="0.3">
      <c r="A877" s="62">
        <f>'Cadastro de Produtos'!O855</f>
        <v>0</v>
      </c>
      <c r="B877" s="63">
        <f>'Cadastro de Produtos'!K855</f>
        <v>0</v>
      </c>
      <c r="C877" s="63">
        <f>'Cadastro de Produtos'!L855</f>
        <v>0</v>
      </c>
      <c r="D877" s="72" t="e">
        <f>VLOOKUP(B877,'Cadastro de Produtos'!K:Q,7,0)</f>
        <v>#N/A</v>
      </c>
      <c r="E877" s="73">
        <f>'Cadastro de Produtos'!P855</f>
        <v>0</v>
      </c>
    </row>
    <row r="878" spans="1:5" x14ac:dyDescent="0.3">
      <c r="A878" s="62">
        <f>'Cadastro de Produtos'!O856</f>
        <v>0</v>
      </c>
      <c r="B878" s="63">
        <f>'Cadastro de Produtos'!K856</f>
        <v>0</v>
      </c>
      <c r="C878" s="63">
        <f>'Cadastro de Produtos'!L856</f>
        <v>0</v>
      </c>
      <c r="D878" s="72" t="e">
        <f>VLOOKUP(B878,'Cadastro de Produtos'!K:Q,7,0)</f>
        <v>#N/A</v>
      </c>
      <c r="E878" s="73">
        <f>'Cadastro de Produtos'!P856</f>
        <v>0</v>
      </c>
    </row>
    <row r="879" spans="1:5" x14ac:dyDescent="0.3">
      <c r="A879" s="62">
        <f>'Cadastro de Produtos'!O857</f>
        <v>0</v>
      </c>
      <c r="B879" s="63">
        <f>'Cadastro de Produtos'!K857</f>
        <v>0</v>
      </c>
      <c r="C879" s="63">
        <f>'Cadastro de Produtos'!L857</f>
        <v>0</v>
      </c>
      <c r="D879" s="72" t="e">
        <f>VLOOKUP(B879,'Cadastro de Produtos'!K:Q,7,0)</f>
        <v>#N/A</v>
      </c>
      <c r="E879" s="73">
        <f>'Cadastro de Produtos'!P857</f>
        <v>0</v>
      </c>
    </row>
    <row r="880" spans="1:5" x14ac:dyDescent="0.3">
      <c r="A880" s="62">
        <f>'Cadastro de Produtos'!O858</f>
        <v>0</v>
      </c>
      <c r="B880" s="63">
        <f>'Cadastro de Produtos'!K858</f>
        <v>0</v>
      </c>
      <c r="C880" s="63">
        <f>'Cadastro de Produtos'!L858</f>
        <v>0</v>
      </c>
      <c r="D880" s="72" t="e">
        <f>VLOOKUP(B880,'Cadastro de Produtos'!K:Q,7,0)</f>
        <v>#N/A</v>
      </c>
      <c r="E880" s="73">
        <f>'Cadastro de Produtos'!P858</f>
        <v>0</v>
      </c>
    </row>
    <row r="881" spans="1:5" x14ac:dyDescent="0.3">
      <c r="A881" s="62">
        <f>'Cadastro de Produtos'!O859</f>
        <v>0</v>
      </c>
      <c r="B881" s="63">
        <f>'Cadastro de Produtos'!K859</f>
        <v>0</v>
      </c>
      <c r="C881" s="63">
        <f>'Cadastro de Produtos'!L859</f>
        <v>0</v>
      </c>
      <c r="D881" s="72" t="e">
        <f>VLOOKUP(B881,'Cadastro de Produtos'!K:Q,7,0)</f>
        <v>#N/A</v>
      </c>
      <c r="E881" s="73">
        <f>'Cadastro de Produtos'!P859</f>
        <v>0</v>
      </c>
    </row>
    <row r="882" spans="1:5" x14ac:dyDescent="0.3">
      <c r="A882" s="62">
        <f>'Cadastro de Produtos'!O860</f>
        <v>0</v>
      </c>
      <c r="B882" s="63">
        <f>'Cadastro de Produtos'!K860</f>
        <v>0</v>
      </c>
      <c r="C882" s="63">
        <f>'Cadastro de Produtos'!L860</f>
        <v>0</v>
      </c>
      <c r="D882" s="72" t="e">
        <f>VLOOKUP(B882,'Cadastro de Produtos'!K:Q,7,0)</f>
        <v>#N/A</v>
      </c>
      <c r="E882" s="73">
        <f>'Cadastro de Produtos'!P860</f>
        <v>0</v>
      </c>
    </row>
    <row r="883" spans="1:5" x14ac:dyDescent="0.3">
      <c r="A883" s="62">
        <f>'Cadastro de Produtos'!O861</f>
        <v>0</v>
      </c>
      <c r="B883" s="63">
        <f>'Cadastro de Produtos'!K861</f>
        <v>0</v>
      </c>
      <c r="C883" s="63">
        <f>'Cadastro de Produtos'!L861</f>
        <v>0</v>
      </c>
      <c r="D883" s="72" t="e">
        <f>VLOOKUP(B883,'Cadastro de Produtos'!K:Q,7,0)</f>
        <v>#N/A</v>
      </c>
      <c r="E883" s="73">
        <f>'Cadastro de Produtos'!P861</f>
        <v>0</v>
      </c>
    </row>
    <row r="884" spans="1:5" x14ac:dyDescent="0.3">
      <c r="A884" s="62">
        <f>'Cadastro de Produtos'!O862</f>
        <v>0</v>
      </c>
      <c r="B884" s="63">
        <f>'Cadastro de Produtos'!K862</f>
        <v>0</v>
      </c>
      <c r="C884" s="63">
        <f>'Cadastro de Produtos'!L862</f>
        <v>0</v>
      </c>
      <c r="D884" s="72" t="e">
        <f>VLOOKUP(B884,'Cadastro de Produtos'!K:Q,7,0)</f>
        <v>#N/A</v>
      </c>
      <c r="E884" s="73">
        <f>'Cadastro de Produtos'!P862</f>
        <v>0</v>
      </c>
    </row>
    <row r="885" spans="1:5" x14ac:dyDescent="0.3">
      <c r="A885" s="62">
        <f>'Cadastro de Produtos'!O863</f>
        <v>0</v>
      </c>
      <c r="B885" s="63">
        <f>'Cadastro de Produtos'!K863</f>
        <v>0</v>
      </c>
      <c r="C885" s="63">
        <f>'Cadastro de Produtos'!L863</f>
        <v>0</v>
      </c>
      <c r="D885" s="72" t="e">
        <f>VLOOKUP(B885,'Cadastro de Produtos'!K:Q,7,0)</f>
        <v>#N/A</v>
      </c>
      <c r="E885" s="73">
        <f>'Cadastro de Produtos'!P863</f>
        <v>0</v>
      </c>
    </row>
    <row r="886" spans="1:5" x14ac:dyDescent="0.3">
      <c r="A886" s="62">
        <f>'Cadastro de Produtos'!O864</f>
        <v>0</v>
      </c>
      <c r="B886" s="63">
        <f>'Cadastro de Produtos'!K864</f>
        <v>0</v>
      </c>
      <c r="C886" s="63">
        <f>'Cadastro de Produtos'!L864</f>
        <v>0</v>
      </c>
      <c r="D886" s="72" t="e">
        <f>VLOOKUP(B886,'Cadastro de Produtos'!K:Q,7,0)</f>
        <v>#N/A</v>
      </c>
      <c r="E886" s="73">
        <f>'Cadastro de Produtos'!P864</f>
        <v>0</v>
      </c>
    </row>
    <row r="887" spans="1:5" x14ac:dyDescent="0.3">
      <c r="A887" s="62">
        <f>'Cadastro de Produtos'!O865</f>
        <v>0</v>
      </c>
      <c r="B887" s="63">
        <f>'Cadastro de Produtos'!K865</f>
        <v>0</v>
      </c>
      <c r="C887" s="63">
        <f>'Cadastro de Produtos'!L865</f>
        <v>0</v>
      </c>
      <c r="D887" s="72" t="e">
        <f>VLOOKUP(B887,'Cadastro de Produtos'!K:Q,7,0)</f>
        <v>#N/A</v>
      </c>
      <c r="E887" s="73">
        <f>'Cadastro de Produtos'!P865</f>
        <v>0</v>
      </c>
    </row>
    <row r="888" spans="1:5" x14ac:dyDescent="0.3">
      <c r="A888" s="62">
        <f>'Cadastro de Produtos'!O866</f>
        <v>0</v>
      </c>
      <c r="B888" s="63">
        <f>'Cadastro de Produtos'!K866</f>
        <v>0</v>
      </c>
      <c r="C888" s="63">
        <f>'Cadastro de Produtos'!L866</f>
        <v>0</v>
      </c>
      <c r="D888" s="72" t="e">
        <f>VLOOKUP(B888,'Cadastro de Produtos'!K:Q,7,0)</f>
        <v>#N/A</v>
      </c>
      <c r="E888" s="73">
        <f>'Cadastro de Produtos'!P866</f>
        <v>0</v>
      </c>
    </row>
    <row r="889" spans="1:5" x14ac:dyDescent="0.3">
      <c r="A889" s="62">
        <f>'Cadastro de Produtos'!O867</f>
        <v>0</v>
      </c>
      <c r="B889" s="63">
        <f>'Cadastro de Produtos'!K867</f>
        <v>0</v>
      </c>
      <c r="C889" s="63">
        <f>'Cadastro de Produtos'!L867</f>
        <v>0</v>
      </c>
      <c r="D889" s="72" t="e">
        <f>VLOOKUP(B889,'Cadastro de Produtos'!K:Q,7,0)</f>
        <v>#N/A</v>
      </c>
      <c r="E889" s="73">
        <f>'Cadastro de Produtos'!P867</f>
        <v>0</v>
      </c>
    </row>
    <row r="890" spans="1:5" x14ac:dyDescent="0.3">
      <c r="A890" s="62">
        <f>'Cadastro de Produtos'!O868</f>
        <v>0</v>
      </c>
      <c r="B890" s="63">
        <f>'Cadastro de Produtos'!K868</f>
        <v>0</v>
      </c>
      <c r="C890" s="63">
        <f>'Cadastro de Produtos'!L868</f>
        <v>0</v>
      </c>
      <c r="D890" s="72" t="e">
        <f>VLOOKUP(B890,'Cadastro de Produtos'!K:Q,7,0)</f>
        <v>#N/A</v>
      </c>
      <c r="E890" s="73">
        <f>'Cadastro de Produtos'!P868</f>
        <v>0</v>
      </c>
    </row>
    <row r="891" spans="1:5" x14ac:dyDescent="0.3">
      <c r="A891" s="62">
        <f>'Cadastro de Produtos'!O869</f>
        <v>0</v>
      </c>
      <c r="B891" s="63">
        <f>'Cadastro de Produtos'!K869</f>
        <v>0</v>
      </c>
      <c r="C891" s="63">
        <f>'Cadastro de Produtos'!L869</f>
        <v>0</v>
      </c>
      <c r="D891" s="72" t="e">
        <f>VLOOKUP(B891,'Cadastro de Produtos'!K:Q,7,0)</f>
        <v>#N/A</v>
      </c>
      <c r="E891" s="73">
        <f>'Cadastro de Produtos'!P869</f>
        <v>0</v>
      </c>
    </row>
    <row r="892" spans="1:5" x14ac:dyDescent="0.3">
      <c r="A892" s="62">
        <f>'Cadastro de Produtos'!O870</f>
        <v>0</v>
      </c>
      <c r="B892" s="63">
        <f>'Cadastro de Produtos'!K870</f>
        <v>0</v>
      </c>
      <c r="C892" s="63">
        <f>'Cadastro de Produtos'!L870</f>
        <v>0</v>
      </c>
      <c r="D892" s="72" t="e">
        <f>VLOOKUP(B892,'Cadastro de Produtos'!K:Q,7,0)</f>
        <v>#N/A</v>
      </c>
      <c r="E892" s="73">
        <f>'Cadastro de Produtos'!P870</f>
        <v>0</v>
      </c>
    </row>
    <row r="893" spans="1:5" x14ac:dyDescent="0.3">
      <c r="A893" s="62">
        <f>'Cadastro de Produtos'!O871</f>
        <v>0</v>
      </c>
      <c r="B893" s="63">
        <f>'Cadastro de Produtos'!K871</f>
        <v>0</v>
      </c>
      <c r="C893" s="63">
        <f>'Cadastro de Produtos'!L871</f>
        <v>0</v>
      </c>
      <c r="D893" s="72" t="e">
        <f>VLOOKUP(B893,'Cadastro de Produtos'!K:Q,7,0)</f>
        <v>#N/A</v>
      </c>
      <c r="E893" s="73">
        <f>'Cadastro de Produtos'!P871</f>
        <v>0</v>
      </c>
    </row>
    <row r="894" spans="1:5" x14ac:dyDescent="0.3">
      <c r="A894" s="62">
        <f>'Cadastro de Produtos'!O872</f>
        <v>0</v>
      </c>
      <c r="B894" s="63">
        <f>'Cadastro de Produtos'!K872</f>
        <v>0</v>
      </c>
      <c r="C894" s="63">
        <f>'Cadastro de Produtos'!L872</f>
        <v>0</v>
      </c>
      <c r="D894" s="72" t="e">
        <f>VLOOKUP(B894,'Cadastro de Produtos'!K:Q,7,0)</f>
        <v>#N/A</v>
      </c>
      <c r="E894" s="73">
        <f>'Cadastro de Produtos'!P872</f>
        <v>0</v>
      </c>
    </row>
    <row r="895" spans="1:5" x14ac:dyDescent="0.3">
      <c r="A895" s="62">
        <f>'Cadastro de Produtos'!O873</f>
        <v>0</v>
      </c>
      <c r="B895" s="63">
        <f>'Cadastro de Produtos'!K873</f>
        <v>0</v>
      </c>
      <c r="C895" s="63">
        <f>'Cadastro de Produtos'!L873</f>
        <v>0</v>
      </c>
      <c r="D895" s="72" t="e">
        <f>VLOOKUP(B895,'Cadastro de Produtos'!K:Q,7,0)</f>
        <v>#N/A</v>
      </c>
      <c r="E895" s="73">
        <f>'Cadastro de Produtos'!P873</f>
        <v>0</v>
      </c>
    </row>
    <row r="896" spans="1:5" x14ac:dyDescent="0.3">
      <c r="A896" s="62">
        <f>'Cadastro de Produtos'!O874</f>
        <v>0</v>
      </c>
      <c r="B896" s="63">
        <f>'Cadastro de Produtos'!K874</f>
        <v>0</v>
      </c>
      <c r="C896" s="63">
        <f>'Cadastro de Produtos'!L874</f>
        <v>0</v>
      </c>
      <c r="D896" s="72" t="e">
        <f>VLOOKUP(B896,'Cadastro de Produtos'!K:Q,7,0)</f>
        <v>#N/A</v>
      </c>
      <c r="E896" s="73">
        <f>'Cadastro de Produtos'!P874</f>
        <v>0</v>
      </c>
    </row>
    <row r="897" spans="1:5" x14ac:dyDescent="0.3">
      <c r="A897" s="62">
        <f>'Cadastro de Produtos'!O875</f>
        <v>0</v>
      </c>
      <c r="B897" s="63">
        <f>'Cadastro de Produtos'!K875</f>
        <v>0</v>
      </c>
      <c r="C897" s="63">
        <f>'Cadastro de Produtos'!L875</f>
        <v>0</v>
      </c>
      <c r="D897" s="72" t="e">
        <f>VLOOKUP(B897,'Cadastro de Produtos'!K:Q,7,0)</f>
        <v>#N/A</v>
      </c>
      <c r="E897" s="73">
        <f>'Cadastro de Produtos'!P875</f>
        <v>0</v>
      </c>
    </row>
    <row r="898" spans="1:5" x14ac:dyDescent="0.3">
      <c r="A898" s="62">
        <f>'Cadastro de Produtos'!O876</f>
        <v>0</v>
      </c>
      <c r="B898" s="63">
        <f>'Cadastro de Produtos'!K876</f>
        <v>0</v>
      </c>
      <c r="C898" s="63">
        <f>'Cadastro de Produtos'!L876</f>
        <v>0</v>
      </c>
      <c r="D898" s="72" t="e">
        <f>VLOOKUP(B898,'Cadastro de Produtos'!K:Q,7,0)</f>
        <v>#N/A</v>
      </c>
      <c r="E898" s="73">
        <f>'Cadastro de Produtos'!P876</f>
        <v>0</v>
      </c>
    </row>
    <row r="899" spans="1:5" x14ac:dyDescent="0.3">
      <c r="A899" s="62">
        <f>'Cadastro de Produtos'!O877</f>
        <v>0</v>
      </c>
      <c r="B899" s="63">
        <f>'Cadastro de Produtos'!K877</f>
        <v>0</v>
      </c>
      <c r="C899" s="63">
        <f>'Cadastro de Produtos'!L877</f>
        <v>0</v>
      </c>
      <c r="D899" s="72" t="e">
        <f>VLOOKUP(B899,'Cadastro de Produtos'!K:Q,7,0)</f>
        <v>#N/A</v>
      </c>
      <c r="E899" s="73">
        <f>'Cadastro de Produtos'!P877</f>
        <v>0</v>
      </c>
    </row>
    <row r="900" spans="1:5" x14ac:dyDescent="0.3">
      <c r="A900" s="62">
        <f>'Cadastro de Produtos'!O878</f>
        <v>0</v>
      </c>
      <c r="B900" s="63">
        <f>'Cadastro de Produtos'!K878</f>
        <v>0</v>
      </c>
      <c r="C900" s="63">
        <f>'Cadastro de Produtos'!L878</f>
        <v>0</v>
      </c>
      <c r="D900" s="72" t="e">
        <f>VLOOKUP(B900,'Cadastro de Produtos'!K:Q,7,0)</f>
        <v>#N/A</v>
      </c>
      <c r="E900" s="73">
        <f>'Cadastro de Produtos'!P878</f>
        <v>0</v>
      </c>
    </row>
    <row r="901" spans="1:5" x14ac:dyDescent="0.3">
      <c r="A901" s="62">
        <f>'Cadastro de Produtos'!O879</f>
        <v>0</v>
      </c>
      <c r="B901" s="63">
        <f>'Cadastro de Produtos'!K879</f>
        <v>0</v>
      </c>
      <c r="C901" s="63">
        <f>'Cadastro de Produtos'!L879</f>
        <v>0</v>
      </c>
      <c r="D901" s="72" t="e">
        <f>VLOOKUP(B901,'Cadastro de Produtos'!K:Q,7,0)</f>
        <v>#N/A</v>
      </c>
      <c r="E901" s="73">
        <f>'Cadastro de Produtos'!P879</f>
        <v>0</v>
      </c>
    </row>
    <row r="902" spans="1:5" x14ac:dyDescent="0.3">
      <c r="A902" s="62">
        <f>'Cadastro de Produtos'!O880</f>
        <v>0</v>
      </c>
      <c r="B902" s="63">
        <f>'Cadastro de Produtos'!K880</f>
        <v>0</v>
      </c>
      <c r="C902" s="63">
        <f>'Cadastro de Produtos'!L880</f>
        <v>0</v>
      </c>
      <c r="D902" s="72" t="e">
        <f>VLOOKUP(B902,'Cadastro de Produtos'!K:Q,7,0)</f>
        <v>#N/A</v>
      </c>
      <c r="E902" s="73">
        <f>'Cadastro de Produtos'!P880</f>
        <v>0</v>
      </c>
    </row>
    <row r="903" spans="1:5" x14ac:dyDescent="0.3">
      <c r="A903" s="62">
        <f>'Cadastro de Produtos'!O881</f>
        <v>0</v>
      </c>
      <c r="B903" s="63">
        <f>'Cadastro de Produtos'!K881</f>
        <v>0</v>
      </c>
      <c r="C903" s="63">
        <f>'Cadastro de Produtos'!L881</f>
        <v>0</v>
      </c>
      <c r="D903" s="72" t="e">
        <f>VLOOKUP(B903,'Cadastro de Produtos'!K:Q,7,0)</f>
        <v>#N/A</v>
      </c>
      <c r="E903" s="73">
        <f>'Cadastro de Produtos'!P881</f>
        <v>0</v>
      </c>
    </row>
    <row r="904" spans="1:5" x14ac:dyDescent="0.3">
      <c r="A904" s="62">
        <f>'Cadastro de Produtos'!O882</f>
        <v>0</v>
      </c>
      <c r="B904" s="63">
        <f>'Cadastro de Produtos'!K882</f>
        <v>0</v>
      </c>
      <c r="C904" s="63">
        <f>'Cadastro de Produtos'!L882</f>
        <v>0</v>
      </c>
      <c r="D904" s="72" t="e">
        <f>VLOOKUP(B904,'Cadastro de Produtos'!K:Q,7,0)</f>
        <v>#N/A</v>
      </c>
      <c r="E904" s="73">
        <f>'Cadastro de Produtos'!P882</f>
        <v>0</v>
      </c>
    </row>
    <row r="905" spans="1:5" x14ac:dyDescent="0.3">
      <c r="A905" s="62">
        <f>'Cadastro de Produtos'!O883</f>
        <v>0</v>
      </c>
      <c r="B905" s="63">
        <f>'Cadastro de Produtos'!K883</f>
        <v>0</v>
      </c>
      <c r="C905" s="63">
        <f>'Cadastro de Produtos'!L883</f>
        <v>0</v>
      </c>
      <c r="D905" s="72" t="e">
        <f>VLOOKUP(B905,'Cadastro de Produtos'!K:Q,7,0)</f>
        <v>#N/A</v>
      </c>
      <c r="E905" s="73">
        <f>'Cadastro de Produtos'!P883</f>
        <v>0</v>
      </c>
    </row>
    <row r="906" spans="1:5" x14ac:dyDescent="0.3">
      <c r="A906" s="62">
        <f>'Cadastro de Produtos'!O884</f>
        <v>0</v>
      </c>
      <c r="B906" s="63">
        <f>'Cadastro de Produtos'!K884</f>
        <v>0</v>
      </c>
      <c r="C906" s="63">
        <f>'Cadastro de Produtos'!L884</f>
        <v>0</v>
      </c>
      <c r="D906" s="72" t="e">
        <f>VLOOKUP(B906,'Cadastro de Produtos'!K:Q,7,0)</f>
        <v>#N/A</v>
      </c>
      <c r="E906" s="73">
        <f>'Cadastro de Produtos'!P884</f>
        <v>0</v>
      </c>
    </row>
    <row r="907" spans="1:5" x14ac:dyDescent="0.3">
      <c r="A907" s="62">
        <f>'Cadastro de Produtos'!O885</f>
        <v>0</v>
      </c>
      <c r="B907" s="63">
        <f>'Cadastro de Produtos'!K885</f>
        <v>0</v>
      </c>
      <c r="C907" s="63">
        <f>'Cadastro de Produtos'!L885</f>
        <v>0</v>
      </c>
      <c r="D907" s="72" t="e">
        <f>VLOOKUP(B907,'Cadastro de Produtos'!K:Q,7,0)</f>
        <v>#N/A</v>
      </c>
      <c r="E907" s="73">
        <f>'Cadastro de Produtos'!P885</f>
        <v>0</v>
      </c>
    </row>
    <row r="908" spans="1:5" x14ac:dyDescent="0.3">
      <c r="A908" s="62">
        <f>'Cadastro de Produtos'!O886</f>
        <v>0</v>
      </c>
      <c r="B908" s="63">
        <f>'Cadastro de Produtos'!K886</f>
        <v>0</v>
      </c>
      <c r="C908" s="63">
        <f>'Cadastro de Produtos'!L886</f>
        <v>0</v>
      </c>
      <c r="D908" s="72" t="e">
        <f>VLOOKUP(B908,'Cadastro de Produtos'!K:Q,7,0)</f>
        <v>#N/A</v>
      </c>
      <c r="E908" s="73">
        <f>'Cadastro de Produtos'!P886</f>
        <v>0</v>
      </c>
    </row>
    <row r="909" spans="1:5" x14ac:dyDescent="0.3">
      <c r="A909" s="62">
        <f>'Cadastro de Produtos'!O887</f>
        <v>0</v>
      </c>
      <c r="B909" s="63">
        <f>'Cadastro de Produtos'!K887</f>
        <v>0</v>
      </c>
      <c r="C909" s="63">
        <f>'Cadastro de Produtos'!L887</f>
        <v>0</v>
      </c>
      <c r="D909" s="72" t="e">
        <f>VLOOKUP(B909,'Cadastro de Produtos'!K:Q,7,0)</f>
        <v>#N/A</v>
      </c>
      <c r="E909" s="73">
        <f>'Cadastro de Produtos'!P887</f>
        <v>0</v>
      </c>
    </row>
    <row r="910" spans="1:5" x14ac:dyDescent="0.3">
      <c r="A910" s="62">
        <f>'Cadastro de Produtos'!O888</f>
        <v>0</v>
      </c>
      <c r="B910" s="63">
        <f>'Cadastro de Produtos'!K888</f>
        <v>0</v>
      </c>
      <c r="C910" s="63">
        <f>'Cadastro de Produtos'!L888</f>
        <v>0</v>
      </c>
      <c r="D910" s="72" t="e">
        <f>VLOOKUP(B910,'Cadastro de Produtos'!K:Q,7,0)</f>
        <v>#N/A</v>
      </c>
      <c r="E910" s="73">
        <f>'Cadastro de Produtos'!P888</f>
        <v>0</v>
      </c>
    </row>
    <row r="911" spans="1:5" x14ac:dyDescent="0.3">
      <c r="A911" s="62">
        <f>'Cadastro de Produtos'!O889</f>
        <v>0</v>
      </c>
      <c r="B911" s="63">
        <f>'Cadastro de Produtos'!K889</f>
        <v>0</v>
      </c>
      <c r="C911" s="63">
        <f>'Cadastro de Produtos'!L889</f>
        <v>0</v>
      </c>
      <c r="D911" s="72" t="e">
        <f>VLOOKUP(B911,'Cadastro de Produtos'!K:Q,7,0)</f>
        <v>#N/A</v>
      </c>
      <c r="E911" s="73">
        <f>'Cadastro de Produtos'!P889</f>
        <v>0</v>
      </c>
    </row>
    <row r="912" spans="1:5" x14ac:dyDescent="0.3">
      <c r="A912" s="62">
        <f>'Cadastro de Produtos'!O890</f>
        <v>0</v>
      </c>
      <c r="B912" s="63">
        <f>'Cadastro de Produtos'!K890</f>
        <v>0</v>
      </c>
      <c r="C912" s="63">
        <f>'Cadastro de Produtos'!L890</f>
        <v>0</v>
      </c>
      <c r="D912" s="72" t="e">
        <f>VLOOKUP(B912,'Cadastro de Produtos'!K:Q,7,0)</f>
        <v>#N/A</v>
      </c>
      <c r="E912" s="73">
        <f>'Cadastro de Produtos'!P890</f>
        <v>0</v>
      </c>
    </row>
    <row r="913" spans="1:5" x14ac:dyDescent="0.3">
      <c r="A913" s="62">
        <f>'Cadastro de Produtos'!O891</f>
        <v>0</v>
      </c>
      <c r="B913" s="63">
        <f>'Cadastro de Produtos'!K891</f>
        <v>0</v>
      </c>
      <c r="C913" s="63">
        <f>'Cadastro de Produtos'!L891</f>
        <v>0</v>
      </c>
      <c r="D913" s="72" t="e">
        <f>VLOOKUP(B913,'Cadastro de Produtos'!K:Q,7,0)</f>
        <v>#N/A</v>
      </c>
      <c r="E913" s="73">
        <f>'Cadastro de Produtos'!P891</f>
        <v>0</v>
      </c>
    </row>
    <row r="914" spans="1:5" x14ac:dyDescent="0.3">
      <c r="A914" s="62">
        <f>'Cadastro de Produtos'!O892</f>
        <v>0</v>
      </c>
      <c r="B914" s="63">
        <f>'Cadastro de Produtos'!K892</f>
        <v>0</v>
      </c>
      <c r="C914" s="63">
        <f>'Cadastro de Produtos'!L892</f>
        <v>0</v>
      </c>
      <c r="D914" s="72" t="e">
        <f>VLOOKUP(B914,'Cadastro de Produtos'!K:Q,7,0)</f>
        <v>#N/A</v>
      </c>
      <c r="E914" s="73">
        <f>'Cadastro de Produtos'!P892</f>
        <v>0</v>
      </c>
    </row>
    <row r="915" spans="1:5" x14ac:dyDescent="0.3">
      <c r="A915" s="62">
        <f>'Cadastro de Produtos'!O893</f>
        <v>0</v>
      </c>
      <c r="B915" s="63">
        <f>'Cadastro de Produtos'!K893</f>
        <v>0</v>
      </c>
      <c r="C915" s="63">
        <f>'Cadastro de Produtos'!L893</f>
        <v>0</v>
      </c>
      <c r="D915" s="72" t="e">
        <f>VLOOKUP(B915,'Cadastro de Produtos'!K:Q,7,0)</f>
        <v>#N/A</v>
      </c>
      <c r="E915" s="73">
        <f>'Cadastro de Produtos'!P893</f>
        <v>0</v>
      </c>
    </row>
    <row r="916" spans="1:5" x14ac:dyDescent="0.3">
      <c r="A916" s="62">
        <f>'Cadastro de Produtos'!O894</f>
        <v>0</v>
      </c>
      <c r="B916" s="63">
        <f>'Cadastro de Produtos'!K894</f>
        <v>0</v>
      </c>
      <c r="C916" s="63">
        <f>'Cadastro de Produtos'!L894</f>
        <v>0</v>
      </c>
      <c r="D916" s="72" t="e">
        <f>VLOOKUP(B916,'Cadastro de Produtos'!K:Q,7,0)</f>
        <v>#N/A</v>
      </c>
      <c r="E916" s="73">
        <f>'Cadastro de Produtos'!P894</f>
        <v>0</v>
      </c>
    </row>
    <row r="917" spans="1:5" x14ac:dyDescent="0.3">
      <c r="A917" s="62">
        <f>'Cadastro de Produtos'!O895</f>
        <v>0</v>
      </c>
      <c r="B917" s="63">
        <f>'Cadastro de Produtos'!K895</f>
        <v>0</v>
      </c>
      <c r="C917" s="63">
        <f>'Cadastro de Produtos'!L895</f>
        <v>0</v>
      </c>
      <c r="D917" s="72" t="e">
        <f>VLOOKUP(B917,'Cadastro de Produtos'!K:Q,7,0)</f>
        <v>#N/A</v>
      </c>
      <c r="E917" s="73">
        <f>'Cadastro de Produtos'!P895</f>
        <v>0</v>
      </c>
    </row>
    <row r="918" spans="1:5" x14ac:dyDescent="0.3">
      <c r="A918" s="62">
        <f>'Cadastro de Produtos'!O896</f>
        <v>0</v>
      </c>
      <c r="B918" s="63">
        <f>'Cadastro de Produtos'!K896</f>
        <v>0</v>
      </c>
      <c r="C918" s="63">
        <f>'Cadastro de Produtos'!L896</f>
        <v>0</v>
      </c>
      <c r="D918" s="72" t="e">
        <f>VLOOKUP(B918,'Cadastro de Produtos'!K:Q,7,0)</f>
        <v>#N/A</v>
      </c>
      <c r="E918" s="73">
        <f>'Cadastro de Produtos'!P896</f>
        <v>0</v>
      </c>
    </row>
    <row r="919" spans="1:5" x14ac:dyDescent="0.3">
      <c r="A919" s="62">
        <f>'Cadastro de Produtos'!O897</f>
        <v>0</v>
      </c>
      <c r="B919" s="63">
        <f>'Cadastro de Produtos'!K897</f>
        <v>0</v>
      </c>
      <c r="C919" s="63">
        <f>'Cadastro de Produtos'!L897</f>
        <v>0</v>
      </c>
      <c r="D919" s="72" t="e">
        <f>VLOOKUP(B919,'Cadastro de Produtos'!K:Q,7,0)</f>
        <v>#N/A</v>
      </c>
      <c r="E919" s="73">
        <f>'Cadastro de Produtos'!P897</f>
        <v>0</v>
      </c>
    </row>
    <row r="920" spans="1:5" x14ac:dyDescent="0.3">
      <c r="A920" s="62">
        <f>'Cadastro de Produtos'!O898</f>
        <v>0</v>
      </c>
      <c r="B920" s="63">
        <f>'Cadastro de Produtos'!K898</f>
        <v>0</v>
      </c>
      <c r="C920" s="63">
        <f>'Cadastro de Produtos'!L898</f>
        <v>0</v>
      </c>
      <c r="D920" s="72" t="e">
        <f>VLOOKUP(B920,'Cadastro de Produtos'!K:Q,7,0)</f>
        <v>#N/A</v>
      </c>
      <c r="E920" s="73">
        <f>'Cadastro de Produtos'!P898</f>
        <v>0</v>
      </c>
    </row>
    <row r="921" spans="1:5" x14ac:dyDescent="0.3">
      <c r="A921" s="62">
        <f>'Cadastro de Produtos'!O899</f>
        <v>0</v>
      </c>
      <c r="B921" s="63">
        <f>'Cadastro de Produtos'!K899</f>
        <v>0</v>
      </c>
      <c r="C921" s="63">
        <f>'Cadastro de Produtos'!L899</f>
        <v>0</v>
      </c>
      <c r="D921" s="72" t="e">
        <f>VLOOKUP(B921,'Cadastro de Produtos'!K:Q,7,0)</f>
        <v>#N/A</v>
      </c>
      <c r="E921" s="73">
        <f>'Cadastro de Produtos'!P899</f>
        <v>0</v>
      </c>
    </row>
    <row r="922" spans="1:5" x14ac:dyDescent="0.3">
      <c r="A922" s="62">
        <f>'Cadastro de Produtos'!O900</f>
        <v>0</v>
      </c>
      <c r="B922" s="63">
        <f>'Cadastro de Produtos'!K900</f>
        <v>0</v>
      </c>
      <c r="C922" s="63">
        <f>'Cadastro de Produtos'!L900</f>
        <v>0</v>
      </c>
      <c r="D922" s="72" t="e">
        <f>VLOOKUP(B922,'Cadastro de Produtos'!K:Q,7,0)</f>
        <v>#N/A</v>
      </c>
      <c r="E922" s="73">
        <f>'Cadastro de Produtos'!P900</f>
        <v>0</v>
      </c>
    </row>
    <row r="923" spans="1:5" x14ac:dyDescent="0.3">
      <c r="A923" s="62">
        <f>'Cadastro de Produtos'!O901</f>
        <v>0</v>
      </c>
      <c r="B923" s="63">
        <f>'Cadastro de Produtos'!K901</f>
        <v>0</v>
      </c>
      <c r="C923" s="63">
        <f>'Cadastro de Produtos'!L901</f>
        <v>0</v>
      </c>
      <c r="D923" s="72" t="e">
        <f>VLOOKUP(B923,'Cadastro de Produtos'!K:Q,7,0)</f>
        <v>#N/A</v>
      </c>
      <c r="E923" s="73">
        <f>'Cadastro de Produtos'!P901</f>
        <v>0</v>
      </c>
    </row>
    <row r="924" spans="1:5" x14ac:dyDescent="0.3">
      <c r="A924" s="62">
        <f>'Cadastro de Produtos'!O902</f>
        <v>0</v>
      </c>
      <c r="B924" s="63">
        <f>'Cadastro de Produtos'!K902</f>
        <v>0</v>
      </c>
      <c r="C924" s="63">
        <f>'Cadastro de Produtos'!L902</f>
        <v>0</v>
      </c>
      <c r="D924" s="72" t="e">
        <f>VLOOKUP(B924,'Cadastro de Produtos'!K:Q,7,0)</f>
        <v>#N/A</v>
      </c>
      <c r="E924" s="73">
        <f>'Cadastro de Produtos'!P902</f>
        <v>0</v>
      </c>
    </row>
    <row r="925" spans="1:5" x14ac:dyDescent="0.3">
      <c r="A925" s="62">
        <f>'Cadastro de Produtos'!O903</f>
        <v>0</v>
      </c>
      <c r="B925" s="63">
        <f>'Cadastro de Produtos'!K903</f>
        <v>0</v>
      </c>
      <c r="C925" s="63">
        <f>'Cadastro de Produtos'!L903</f>
        <v>0</v>
      </c>
      <c r="D925" s="72" t="e">
        <f>VLOOKUP(B925,'Cadastro de Produtos'!K:Q,7,0)</f>
        <v>#N/A</v>
      </c>
      <c r="E925" s="73">
        <f>'Cadastro de Produtos'!P903</f>
        <v>0</v>
      </c>
    </row>
    <row r="926" spans="1:5" x14ac:dyDescent="0.3">
      <c r="A926" s="62">
        <f>'Cadastro de Produtos'!O904</f>
        <v>0</v>
      </c>
      <c r="B926" s="63">
        <f>'Cadastro de Produtos'!K904</f>
        <v>0</v>
      </c>
      <c r="C926" s="63">
        <f>'Cadastro de Produtos'!L904</f>
        <v>0</v>
      </c>
      <c r="D926" s="72" t="e">
        <f>VLOOKUP(B926,'Cadastro de Produtos'!K:Q,7,0)</f>
        <v>#N/A</v>
      </c>
      <c r="E926" s="73">
        <f>'Cadastro de Produtos'!P904</f>
        <v>0</v>
      </c>
    </row>
    <row r="927" spans="1:5" x14ac:dyDescent="0.3">
      <c r="A927" s="62">
        <f>'Cadastro de Produtos'!O905</f>
        <v>0</v>
      </c>
      <c r="B927" s="63">
        <f>'Cadastro de Produtos'!K905</f>
        <v>0</v>
      </c>
      <c r="C927" s="63">
        <f>'Cadastro de Produtos'!L905</f>
        <v>0</v>
      </c>
      <c r="D927" s="72" t="e">
        <f>VLOOKUP(B927,'Cadastro de Produtos'!K:Q,7,0)</f>
        <v>#N/A</v>
      </c>
      <c r="E927" s="73">
        <f>'Cadastro de Produtos'!P905</f>
        <v>0</v>
      </c>
    </row>
    <row r="928" spans="1:5" x14ac:dyDescent="0.3">
      <c r="A928" s="62">
        <f>'Cadastro de Produtos'!O906</f>
        <v>0</v>
      </c>
      <c r="B928" s="63">
        <f>'Cadastro de Produtos'!K906</f>
        <v>0</v>
      </c>
      <c r="C928" s="63">
        <f>'Cadastro de Produtos'!L906</f>
        <v>0</v>
      </c>
      <c r="D928" s="72" t="e">
        <f>VLOOKUP(B928,'Cadastro de Produtos'!K:Q,7,0)</f>
        <v>#N/A</v>
      </c>
      <c r="E928" s="73">
        <f>'Cadastro de Produtos'!P906</f>
        <v>0</v>
      </c>
    </row>
    <row r="929" spans="1:5" x14ac:dyDescent="0.3">
      <c r="A929" s="62">
        <f>'Cadastro de Produtos'!O907</f>
        <v>0</v>
      </c>
      <c r="B929" s="63">
        <f>'Cadastro de Produtos'!K907</f>
        <v>0</v>
      </c>
      <c r="C929" s="63">
        <f>'Cadastro de Produtos'!L907</f>
        <v>0</v>
      </c>
      <c r="D929" s="72" t="e">
        <f>VLOOKUP(B929,'Cadastro de Produtos'!K:Q,7,0)</f>
        <v>#N/A</v>
      </c>
      <c r="E929" s="73">
        <f>'Cadastro de Produtos'!P907</f>
        <v>0</v>
      </c>
    </row>
    <row r="930" spans="1:5" x14ac:dyDescent="0.3">
      <c r="A930" s="62">
        <f>'Cadastro de Produtos'!O908</f>
        <v>0</v>
      </c>
      <c r="B930" s="63">
        <f>'Cadastro de Produtos'!K908</f>
        <v>0</v>
      </c>
      <c r="C930" s="63">
        <f>'Cadastro de Produtos'!L908</f>
        <v>0</v>
      </c>
      <c r="D930" s="72" t="e">
        <f>VLOOKUP(B930,'Cadastro de Produtos'!K:Q,7,0)</f>
        <v>#N/A</v>
      </c>
      <c r="E930" s="73">
        <f>'Cadastro de Produtos'!P908</f>
        <v>0</v>
      </c>
    </row>
    <row r="931" spans="1:5" x14ac:dyDescent="0.3">
      <c r="A931" s="62">
        <f>'Cadastro de Produtos'!O909</f>
        <v>0</v>
      </c>
      <c r="B931" s="63">
        <f>'Cadastro de Produtos'!K909</f>
        <v>0</v>
      </c>
      <c r="C931" s="63">
        <f>'Cadastro de Produtos'!L909</f>
        <v>0</v>
      </c>
      <c r="D931" s="72" t="e">
        <f>VLOOKUP(B931,'Cadastro de Produtos'!K:Q,7,0)</f>
        <v>#N/A</v>
      </c>
      <c r="E931" s="73">
        <f>'Cadastro de Produtos'!P909</f>
        <v>0</v>
      </c>
    </row>
    <row r="932" spans="1:5" x14ac:dyDescent="0.3">
      <c r="A932" s="62">
        <f>'Cadastro de Produtos'!O910</f>
        <v>0</v>
      </c>
      <c r="B932" s="63">
        <f>'Cadastro de Produtos'!K910</f>
        <v>0</v>
      </c>
      <c r="C932" s="63">
        <f>'Cadastro de Produtos'!L910</f>
        <v>0</v>
      </c>
      <c r="D932" s="72" t="e">
        <f>VLOOKUP(B932,'Cadastro de Produtos'!K:Q,7,0)</f>
        <v>#N/A</v>
      </c>
      <c r="E932" s="73">
        <f>'Cadastro de Produtos'!P910</f>
        <v>0</v>
      </c>
    </row>
    <row r="933" spans="1:5" x14ac:dyDescent="0.3">
      <c r="A933" s="62">
        <f>'Cadastro de Produtos'!O911</f>
        <v>0</v>
      </c>
      <c r="B933" s="63">
        <f>'Cadastro de Produtos'!K911</f>
        <v>0</v>
      </c>
      <c r="C933" s="63">
        <f>'Cadastro de Produtos'!L911</f>
        <v>0</v>
      </c>
      <c r="D933" s="72" t="e">
        <f>VLOOKUP(B933,'Cadastro de Produtos'!K:Q,7,0)</f>
        <v>#N/A</v>
      </c>
      <c r="E933" s="73">
        <f>'Cadastro de Produtos'!P911</f>
        <v>0</v>
      </c>
    </row>
    <row r="934" spans="1:5" x14ac:dyDescent="0.3">
      <c r="A934" s="62">
        <f>'Cadastro de Produtos'!O912</f>
        <v>0</v>
      </c>
      <c r="B934" s="63">
        <f>'Cadastro de Produtos'!K912</f>
        <v>0</v>
      </c>
      <c r="C934" s="63">
        <f>'Cadastro de Produtos'!L912</f>
        <v>0</v>
      </c>
      <c r="D934" s="72" t="e">
        <f>VLOOKUP(B934,'Cadastro de Produtos'!K:Q,7,0)</f>
        <v>#N/A</v>
      </c>
      <c r="E934" s="73">
        <f>'Cadastro de Produtos'!P912</f>
        <v>0</v>
      </c>
    </row>
    <row r="935" spans="1:5" x14ac:dyDescent="0.3">
      <c r="A935" s="62">
        <f>'Cadastro de Produtos'!O913</f>
        <v>0</v>
      </c>
      <c r="B935" s="63">
        <f>'Cadastro de Produtos'!K913</f>
        <v>0</v>
      </c>
      <c r="C935" s="63">
        <f>'Cadastro de Produtos'!L913</f>
        <v>0</v>
      </c>
      <c r="D935" s="72" t="e">
        <f>VLOOKUP(B935,'Cadastro de Produtos'!K:Q,7,0)</f>
        <v>#N/A</v>
      </c>
      <c r="E935" s="73">
        <f>'Cadastro de Produtos'!P913</f>
        <v>0</v>
      </c>
    </row>
    <row r="936" spans="1:5" x14ac:dyDescent="0.3">
      <c r="A936" s="62">
        <f>'Cadastro de Produtos'!O914</f>
        <v>0</v>
      </c>
      <c r="B936" s="63">
        <f>'Cadastro de Produtos'!K914</f>
        <v>0</v>
      </c>
      <c r="C936" s="63">
        <f>'Cadastro de Produtos'!L914</f>
        <v>0</v>
      </c>
      <c r="D936" s="72" t="e">
        <f>VLOOKUP(B936,'Cadastro de Produtos'!K:Q,7,0)</f>
        <v>#N/A</v>
      </c>
      <c r="E936" s="73">
        <f>'Cadastro de Produtos'!P914</f>
        <v>0</v>
      </c>
    </row>
    <row r="937" spans="1:5" x14ac:dyDescent="0.3">
      <c r="A937" s="62">
        <f>'Cadastro de Produtos'!O915</f>
        <v>0</v>
      </c>
      <c r="B937" s="63">
        <f>'Cadastro de Produtos'!K915</f>
        <v>0</v>
      </c>
      <c r="C937" s="63">
        <f>'Cadastro de Produtos'!L915</f>
        <v>0</v>
      </c>
      <c r="D937" s="72" t="e">
        <f>VLOOKUP(B937,'Cadastro de Produtos'!K:Q,7,0)</f>
        <v>#N/A</v>
      </c>
      <c r="E937" s="73">
        <f>'Cadastro de Produtos'!P915</f>
        <v>0</v>
      </c>
    </row>
    <row r="938" spans="1:5" x14ac:dyDescent="0.3">
      <c r="A938" s="62">
        <f>'Cadastro de Produtos'!O916</f>
        <v>0</v>
      </c>
      <c r="B938" s="63">
        <f>'Cadastro de Produtos'!K916</f>
        <v>0</v>
      </c>
      <c r="C938" s="63">
        <f>'Cadastro de Produtos'!L916</f>
        <v>0</v>
      </c>
      <c r="D938" s="72" t="e">
        <f>VLOOKUP(B938,'Cadastro de Produtos'!K:Q,7,0)</f>
        <v>#N/A</v>
      </c>
      <c r="E938" s="73">
        <f>'Cadastro de Produtos'!P916</f>
        <v>0</v>
      </c>
    </row>
    <row r="939" spans="1:5" x14ac:dyDescent="0.3">
      <c r="A939" s="62">
        <f>'Cadastro de Produtos'!O917</f>
        <v>0</v>
      </c>
      <c r="B939" s="63">
        <f>'Cadastro de Produtos'!K917</f>
        <v>0</v>
      </c>
      <c r="C939" s="63">
        <f>'Cadastro de Produtos'!L917</f>
        <v>0</v>
      </c>
      <c r="D939" s="72" t="e">
        <f>VLOOKUP(B939,'Cadastro de Produtos'!K:Q,7,0)</f>
        <v>#N/A</v>
      </c>
      <c r="E939" s="73">
        <f>'Cadastro de Produtos'!P917</f>
        <v>0</v>
      </c>
    </row>
    <row r="940" spans="1:5" x14ac:dyDescent="0.3">
      <c r="A940" s="62">
        <f>'Cadastro de Produtos'!O918</f>
        <v>0</v>
      </c>
      <c r="B940" s="63">
        <f>'Cadastro de Produtos'!K918</f>
        <v>0</v>
      </c>
      <c r="C940" s="63">
        <f>'Cadastro de Produtos'!L918</f>
        <v>0</v>
      </c>
      <c r="D940" s="72" t="e">
        <f>VLOOKUP(B940,'Cadastro de Produtos'!K:Q,7,0)</f>
        <v>#N/A</v>
      </c>
      <c r="E940" s="73">
        <f>'Cadastro de Produtos'!P918</f>
        <v>0</v>
      </c>
    </row>
    <row r="941" spans="1:5" x14ac:dyDescent="0.3">
      <c r="A941" s="62">
        <f>'Cadastro de Produtos'!O919</f>
        <v>0</v>
      </c>
      <c r="B941" s="63">
        <f>'Cadastro de Produtos'!K919</f>
        <v>0</v>
      </c>
      <c r="C941" s="63">
        <f>'Cadastro de Produtos'!L919</f>
        <v>0</v>
      </c>
      <c r="D941" s="72" t="e">
        <f>VLOOKUP(B941,'Cadastro de Produtos'!K:Q,7,0)</f>
        <v>#N/A</v>
      </c>
      <c r="E941" s="73">
        <f>'Cadastro de Produtos'!P919</f>
        <v>0</v>
      </c>
    </row>
    <row r="942" spans="1:5" x14ac:dyDescent="0.3">
      <c r="A942" s="62">
        <f>'Cadastro de Produtos'!O920</f>
        <v>0</v>
      </c>
      <c r="B942" s="63">
        <f>'Cadastro de Produtos'!K920</f>
        <v>0</v>
      </c>
      <c r="C942" s="63">
        <f>'Cadastro de Produtos'!L920</f>
        <v>0</v>
      </c>
      <c r="D942" s="72" t="e">
        <f>VLOOKUP(B942,'Cadastro de Produtos'!K:Q,7,0)</f>
        <v>#N/A</v>
      </c>
      <c r="E942" s="73">
        <f>'Cadastro de Produtos'!P920</f>
        <v>0</v>
      </c>
    </row>
    <row r="943" spans="1:5" x14ac:dyDescent="0.3">
      <c r="A943" s="62">
        <f>'Cadastro de Produtos'!O921</f>
        <v>0</v>
      </c>
      <c r="B943" s="63">
        <f>'Cadastro de Produtos'!K921</f>
        <v>0</v>
      </c>
      <c r="C943" s="63">
        <f>'Cadastro de Produtos'!L921</f>
        <v>0</v>
      </c>
      <c r="D943" s="72" t="e">
        <f>VLOOKUP(B943,'Cadastro de Produtos'!K:Q,7,0)</f>
        <v>#N/A</v>
      </c>
      <c r="E943" s="73">
        <f>'Cadastro de Produtos'!P921</f>
        <v>0</v>
      </c>
    </row>
    <row r="944" spans="1:5" x14ac:dyDescent="0.3">
      <c r="A944" s="62">
        <f>'Cadastro de Produtos'!O922</f>
        <v>0</v>
      </c>
      <c r="B944" s="63">
        <f>'Cadastro de Produtos'!K922</f>
        <v>0</v>
      </c>
      <c r="C944" s="63">
        <f>'Cadastro de Produtos'!L922</f>
        <v>0</v>
      </c>
      <c r="D944" s="72" t="e">
        <f>VLOOKUP(B944,'Cadastro de Produtos'!K:Q,7,0)</f>
        <v>#N/A</v>
      </c>
      <c r="E944" s="73">
        <f>'Cadastro de Produtos'!P922</f>
        <v>0</v>
      </c>
    </row>
    <row r="945" spans="1:5" x14ac:dyDescent="0.3">
      <c r="A945" s="62">
        <f>'Cadastro de Produtos'!O923</f>
        <v>0</v>
      </c>
      <c r="B945" s="63">
        <f>'Cadastro de Produtos'!K923</f>
        <v>0</v>
      </c>
      <c r="C945" s="63">
        <f>'Cadastro de Produtos'!L923</f>
        <v>0</v>
      </c>
      <c r="D945" s="72" t="e">
        <f>VLOOKUP(B945,'Cadastro de Produtos'!K:Q,7,0)</f>
        <v>#N/A</v>
      </c>
      <c r="E945" s="73">
        <f>'Cadastro de Produtos'!P923</f>
        <v>0</v>
      </c>
    </row>
    <row r="946" spans="1:5" x14ac:dyDescent="0.3">
      <c r="A946" s="62">
        <f>'Cadastro de Produtos'!O924</f>
        <v>0</v>
      </c>
      <c r="B946" s="63">
        <f>'Cadastro de Produtos'!K924</f>
        <v>0</v>
      </c>
      <c r="C946" s="63">
        <f>'Cadastro de Produtos'!L924</f>
        <v>0</v>
      </c>
      <c r="D946" s="72" t="e">
        <f>VLOOKUP(B946,'Cadastro de Produtos'!K:Q,7,0)</f>
        <v>#N/A</v>
      </c>
      <c r="E946" s="73">
        <f>'Cadastro de Produtos'!P924</f>
        <v>0</v>
      </c>
    </row>
    <row r="947" spans="1:5" x14ac:dyDescent="0.3">
      <c r="A947" s="62">
        <f>'Cadastro de Produtos'!O925</f>
        <v>0</v>
      </c>
      <c r="B947" s="63">
        <f>'Cadastro de Produtos'!K925</f>
        <v>0</v>
      </c>
      <c r="C947" s="63">
        <f>'Cadastro de Produtos'!L925</f>
        <v>0</v>
      </c>
      <c r="D947" s="72" t="e">
        <f>VLOOKUP(B947,'Cadastro de Produtos'!K:Q,7,0)</f>
        <v>#N/A</v>
      </c>
      <c r="E947" s="73">
        <f>'Cadastro de Produtos'!P925</f>
        <v>0</v>
      </c>
    </row>
    <row r="948" spans="1:5" x14ac:dyDescent="0.3">
      <c r="A948" s="62">
        <f>'Cadastro de Produtos'!O926</f>
        <v>0</v>
      </c>
      <c r="B948" s="63">
        <f>'Cadastro de Produtos'!K926</f>
        <v>0</v>
      </c>
      <c r="C948" s="63">
        <f>'Cadastro de Produtos'!L926</f>
        <v>0</v>
      </c>
      <c r="D948" s="72" t="e">
        <f>VLOOKUP(B948,'Cadastro de Produtos'!K:Q,7,0)</f>
        <v>#N/A</v>
      </c>
      <c r="E948" s="73">
        <f>'Cadastro de Produtos'!P926</f>
        <v>0</v>
      </c>
    </row>
    <row r="949" spans="1:5" x14ac:dyDescent="0.3">
      <c r="A949" s="62">
        <f>'Cadastro de Produtos'!O927</f>
        <v>0</v>
      </c>
      <c r="B949" s="63">
        <f>'Cadastro de Produtos'!K927</f>
        <v>0</v>
      </c>
      <c r="C949" s="63">
        <f>'Cadastro de Produtos'!L927</f>
        <v>0</v>
      </c>
      <c r="D949" s="72" t="e">
        <f>VLOOKUP(B949,'Cadastro de Produtos'!K:Q,7,0)</f>
        <v>#N/A</v>
      </c>
      <c r="E949" s="73">
        <f>'Cadastro de Produtos'!P927</f>
        <v>0</v>
      </c>
    </row>
    <row r="950" spans="1:5" x14ac:dyDescent="0.3">
      <c r="A950" s="62">
        <f>'Cadastro de Produtos'!O928</f>
        <v>0</v>
      </c>
      <c r="B950" s="63">
        <f>'Cadastro de Produtos'!K928</f>
        <v>0</v>
      </c>
      <c r="C950" s="63">
        <f>'Cadastro de Produtos'!L928</f>
        <v>0</v>
      </c>
      <c r="D950" s="72" t="e">
        <f>VLOOKUP(B950,'Cadastro de Produtos'!K:Q,7,0)</f>
        <v>#N/A</v>
      </c>
      <c r="E950" s="73">
        <f>'Cadastro de Produtos'!P928</f>
        <v>0</v>
      </c>
    </row>
    <row r="951" spans="1:5" x14ac:dyDescent="0.3">
      <c r="A951" s="62">
        <f>'Cadastro de Produtos'!O929</f>
        <v>0</v>
      </c>
      <c r="B951" s="63">
        <f>'Cadastro de Produtos'!K929</f>
        <v>0</v>
      </c>
      <c r="C951" s="63">
        <f>'Cadastro de Produtos'!L929</f>
        <v>0</v>
      </c>
      <c r="D951" s="72" t="e">
        <f>VLOOKUP(B951,'Cadastro de Produtos'!K:Q,7,0)</f>
        <v>#N/A</v>
      </c>
      <c r="E951" s="73">
        <f>'Cadastro de Produtos'!P929</f>
        <v>0</v>
      </c>
    </row>
    <row r="952" spans="1:5" x14ac:dyDescent="0.3">
      <c r="A952" s="62">
        <f>'Cadastro de Produtos'!O930</f>
        <v>0</v>
      </c>
      <c r="B952" s="63">
        <f>'Cadastro de Produtos'!K930</f>
        <v>0</v>
      </c>
      <c r="C952" s="63">
        <f>'Cadastro de Produtos'!L930</f>
        <v>0</v>
      </c>
      <c r="D952" s="72" t="e">
        <f>VLOOKUP(B952,'Cadastro de Produtos'!K:Q,7,0)</f>
        <v>#N/A</v>
      </c>
      <c r="E952" s="73">
        <f>'Cadastro de Produtos'!P930</f>
        <v>0</v>
      </c>
    </row>
    <row r="953" spans="1:5" x14ac:dyDescent="0.3">
      <c r="A953" s="62">
        <f>'Cadastro de Produtos'!O931</f>
        <v>0</v>
      </c>
      <c r="B953" s="63">
        <f>'Cadastro de Produtos'!K931</f>
        <v>0</v>
      </c>
      <c r="C953" s="63">
        <f>'Cadastro de Produtos'!L931</f>
        <v>0</v>
      </c>
      <c r="D953" s="72" t="e">
        <f>VLOOKUP(B953,'Cadastro de Produtos'!K:Q,7,0)</f>
        <v>#N/A</v>
      </c>
      <c r="E953" s="73">
        <f>'Cadastro de Produtos'!P931</f>
        <v>0</v>
      </c>
    </row>
    <row r="954" spans="1:5" x14ac:dyDescent="0.3">
      <c r="A954" s="62">
        <f>'Cadastro de Produtos'!O932</f>
        <v>0</v>
      </c>
      <c r="B954" s="63">
        <f>'Cadastro de Produtos'!K932</f>
        <v>0</v>
      </c>
      <c r="C954" s="63">
        <f>'Cadastro de Produtos'!L932</f>
        <v>0</v>
      </c>
      <c r="D954" s="72" t="e">
        <f>VLOOKUP(B954,'Cadastro de Produtos'!K:Q,7,0)</f>
        <v>#N/A</v>
      </c>
      <c r="E954" s="73">
        <f>'Cadastro de Produtos'!P932</f>
        <v>0</v>
      </c>
    </row>
    <row r="955" spans="1:5" x14ac:dyDescent="0.3">
      <c r="A955" s="62">
        <f>'Cadastro de Produtos'!O933</f>
        <v>0</v>
      </c>
      <c r="B955" s="63">
        <f>'Cadastro de Produtos'!K933</f>
        <v>0</v>
      </c>
      <c r="C955" s="63">
        <f>'Cadastro de Produtos'!L933</f>
        <v>0</v>
      </c>
      <c r="D955" s="72" t="e">
        <f>VLOOKUP(B955,'Cadastro de Produtos'!K:Q,7,0)</f>
        <v>#N/A</v>
      </c>
      <c r="E955" s="73">
        <f>'Cadastro de Produtos'!P933</f>
        <v>0</v>
      </c>
    </row>
    <row r="956" spans="1:5" x14ac:dyDescent="0.3">
      <c r="A956" s="62">
        <f>'Cadastro de Produtos'!O934</f>
        <v>0</v>
      </c>
      <c r="B956" s="63">
        <f>'Cadastro de Produtos'!K934</f>
        <v>0</v>
      </c>
      <c r="C956" s="63">
        <f>'Cadastro de Produtos'!L934</f>
        <v>0</v>
      </c>
      <c r="D956" s="72" t="e">
        <f>VLOOKUP(B956,'Cadastro de Produtos'!K:Q,7,0)</f>
        <v>#N/A</v>
      </c>
      <c r="E956" s="73">
        <f>'Cadastro de Produtos'!P934</f>
        <v>0</v>
      </c>
    </row>
    <row r="957" spans="1:5" x14ac:dyDescent="0.3">
      <c r="A957" s="62">
        <f>'Cadastro de Produtos'!O935</f>
        <v>0</v>
      </c>
      <c r="B957" s="63">
        <f>'Cadastro de Produtos'!K935</f>
        <v>0</v>
      </c>
      <c r="C957" s="63">
        <f>'Cadastro de Produtos'!L935</f>
        <v>0</v>
      </c>
      <c r="D957" s="72" t="e">
        <f>VLOOKUP(B957,'Cadastro de Produtos'!K:Q,7,0)</f>
        <v>#N/A</v>
      </c>
      <c r="E957" s="73">
        <f>'Cadastro de Produtos'!P935</f>
        <v>0</v>
      </c>
    </row>
    <row r="958" spans="1:5" x14ac:dyDescent="0.3">
      <c r="A958" s="62">
        <f>'Cadastro de Produtos'!O936</f>
        <v>0</v>
      </c>
      <c r="B958" s="63">
        <f>'Cadastro de Produtos'!K936</f>
        <v>0</v>
      </c>
      <c r="C958" s="63">
        <f>'Cadastro de Produtos'!L936</f>
        <v>0</v>
      </c>
      <c r="D958" s="72" t="e">
        <f>VLOOKUP(B958,'Cadastro de Produtos'!K:Q,7,0)</f>
        <v>#N/A</v>
      </c>
      <c r="E958" s="73">
        <f>'Cadastro de Produtos'!P936</f>
        <v>0</v>
      </c>
    </row>
    <row r="959" spans="1:5" x14ac:dyDescent="0.3">
      <c r="A959" s="62">
        <f>'Cadastro de Produtos'!O937</f>
        <v>0</v>
      </c>
      <c r="B959" s="63">
        <f>'Cadastro de Produtos'!K937</f>
        <v>0</v>
      </c>
      <c r="C959" s="63">
        <f>'Cadastro de Produtos'!L937</f>
        <v>0</v>
      </c>
      <c r="D959" s="72" t="e">
        <f>VLOOKUP(B959,'Cadastro de Produtos'!K:Q,7,0)</f>
        <v>#N/A</v>
      </c>
      <c r="E959" s="73">
        <f>'Cadastro de Produtos'!P937</f>
        <v>0</v>
      </c>
    </row>
    <row r="960" spans="1:5" x14ac:dyDescent="0.3">
      <c r="A960" s="62">
        <f>'Cadastro de Produtos'!O938</f>
        <v>0</v>
      </c>
      <c r="B960" s="63">
        <f>'Cadastro de Produtos'!K938</f>
        <v>0</v>
      </c>
      <c r="C960" s="63">
        <f>'Cadastro de Produtos'!L938</f>
        <v>0</v>
      </c>
      <c r="D960" s="72" t="e">
        <f>VLOOKUP(B960,'Cadastro de Produtos'!K:Q,7,0)</f>
        <v>#N/A</v>
      </c>
      <c r="E960" s="73">
        <f>'Cadastro de Produtos'!P938</f>
        <v>0</v>
      </c>
    </row>
    <row r="961" spans="1:5" x14ac:dyDescent="0.3">
      <c r="A961" s="62">
        <f>'Cadastro de Produtos'!O939</f>
        <v>0</v>
      </c>
      <c r="B961" s="63">
        <f>'Cadastro de Produtos'!K939</f>
        <v>0</v>
      </c>
      <c r="C961" s="63">
        <f>'Cadastro de Produtos'!L939</f>
        <v>0</v>
      </c>
      <c r="D961" s="72" t="e">
        <f>VLOOKUP(B961,'Cadastro de Produtos'!K:Q,7,0)</f>
        <v>#N/A</v>
      </c>
      <c r="E961" s="73">
        <f>'Cadastro de Produtos'!P939</f>
        <v>0</v>
      </c>
    </row>
    <row r="962" spans="1:5" x14ac:dyDescent="0.3">
      <c r="A962" s="62">
        <f>'Cadastro de Produtos'!O940</f>
        <v>0</v>
      </c>
      <c r="B962" s="63">
        <f>'Cadastro de Produtos'!K940</f>
        <v>0</v>
      </c>
      <c r="C962" s="63">
        <f>'Cadastro de Produtos'!L940</f>
        <v>0</v>
      </c>
      <c r="D962" s="72" t="e">
        <f>VLOOKUP(B962,'Cadastro de Produtos'!K:Q,7,0)</f>
        <v>#N/A</v>
      </c>
      <c r="E962" s="73">
        <f>'Cadastro de Produtos'!P940</f>
        <v>0</v>
      </c>
    </row>
    <row r="963" spans="1:5" x14ac:dyDescent="0.3">
      <c r="A963" s="62">
        <f>'Cadastro de Produtos'!O941</f>
        <v>0</v>
      </c>
      <c r="B963" s="63">
        <f>'Cadastro de Produtos'!K941</f>
        <v>0</v>
      </c>
      <c r="C963" s="63">
        <f>'Cadastro de Produtos'!L941</f>
        <v>0</v>
      </c>
      <c r="D963" s="72" t="e">
        <f>VLOOKUP(B963,'Cadastro de Produtos'!K:Q,7,0)</f>
        <v>#N/A</v>
      </c>
      <c r="E963" s="73">
        <f>'Cadastro de Produtos'!P941</f>
        <v>0</v>
      </c>
    </row>
    <row r="964" spans="1:5" x14ac:dyDescent="0.3">
      <c r="A964" s="62">
        <f>'Cadastro de Produtos'!O942</f>
        <v>0</v>
      </c>
      <c r="B964" s="63">
        <f>'Cadastro de Produtos'!K942</f>
        <v>0</v>
      </c>
      <c r="C964" s="63">
        <f>'Cadastro de Produtos'!L942</f>
        <v>0</v>
      </c>
      <c r="D964" s="72" t="e">
        <f>VLOOKUP(B964,'Cadastro de Produtos'!K:Q,7,0)</f>
        <v>#N/A</v>
      </c>
      <c r="E964" s="73">
        <f>'Cadastro de Produtos'!P942</f>
        <v>0</v>
      </c>
    </row>
    <row r="965" spans="1:5" x14ac:dyDescent="0.3">
      <c r="A965" s="62">
        <f>'Cadastro de Produtos'!O943</f>
        <v>0</v>
      </c>
      <c r="B965" s="63">
        <f>'Cadastro de Produtos'!K943</f>
        <v>0</v>
      </c>
      <c r="C965" s="63">
        <f>'Cadastro de Produtos'!L943</f>
        <v>0</v>
      </c>
      <c r="D965" s="72" t="e">
        <f>VLOOKUP(B965,'Cadastro de Produtos'!K:Q,7,0)</f>
        <v>#N/A</v>
      </c>
      <c r="E965" s="73">
        <f>'Cadastro de Produtos'!P943</f>
        <v>0</v>
      </c>
    </row>
    <row r="966" spans="1:5" x14ac:dyDescent="0.3">
      <c r="A966" s="62">
        <f>'Cadastro de Produtos'!O944</f>
        <v>0</v>
      </c>
      <c r="B966" s="63">
        <f>'Cadastro de Produtos'!K944</f>
        <v>0</v>
      </c>
      <c r="C966" s="63">
        <f>'Cadastro de Produtos'!L944</f>
        <v>0</v>
      </c>
      <c r="D966" s="72" t="e">
        <f>VLOOKUP(B966,'Cadastro de Produtos'!K:Q,7,0)</f>
        <v>#N/A</v>
      </c>
      <c r="E966" s="73">
        <f>'Cadastro de Produtos'!P944</f>
        <v>0</v>
      </c>
    </row>
    <row r="967" spans="1:5" x14ac:dyDescent="0.3">
      <c r="A967" s="62">
        <f>'Cadastro de Produtos'!O945</f>
        <v>0</v>
      </c>
      <c r="B967" s="63">
        <f>'Cadastro de Produtos'!K945</f>
        <v>0</v>
      </c>
      <c r="C967" s="63">
        <f>'Cadastro de Produtos'!L945</f>
        <v>0</v>
      </c>
      <c r="D967" s="72" t="e">
        <f>VLOOKUP(B967,'Cadastro de Produtos'!K:Q,7,0)</f>
        <v>#N/A</v>
      </c>
      <c r="E967" s="73">
        <f>'Cadastro de Produtos'!P945</f>
        <v>0</v>
      </c>
    </row>
    <row r="968" spans="1:5" x14ac:dyDescent="0.3">
      <c r="A968" s="62">
        <f>'Cadastro de Produtos'!O946</f>
        <v>0</v>
      </c>
      <c r="B968" s="63">
        <f>'Cadastro de Produtos'!K946</f>
        <v>0</v>
      </c>
      <c r="C968" s="63">
        <f>'Cadastro de Produtos'!L946</f>
        <v>0</v>
      </c>
      <c r="D968" s="72" t="e">
        <f>VLOOKUP(B968,'Cadastro de Produtos'!K:Q,7,0)</f>
        <v>#N/A</v>
      </c>
      <c r="E968" s="73">
        <f>'Cadastro de Produtos'!P946</f>
        <v>0</v>
      </c>
    </row>
    <row r="969" spans="1:5" x14ac:dyDescent="0.3">
      <c r="A969" s="62">
        <f>'Cadastro de Produtos'!O947</f>
        <v>0</v>
      </c>
      <c r="B969" s="63">
        <f>'Cadastro de Produtos'!K947</f>
        <v>0</v>
      </c>
      <c r="C969" s="63">
        <f>'Cadastro de Produtos'!L947</f>
        <v>0</v>
      </c>
      <c r="D969" s="72" t="e">
        <f>VLOOKUP(B969,'Cadastro de Produtos'!K:Q,7,0)</f>
        <v>#N/A</v>
      </c>
      <c r="E969" s="73">
        <f>'Cadastro de Produtos'!P947</f>
        <v>0</v>
      </c>
    </row>
    <row r="970" spans="1:5" x14ac:dyDescent="0.3">
      <c r="A970" s="62">
        <f>'Cadastro de Produtos'!O948</f>
        <v>0</v>
      </c>
      <c r="B970" s="63">
        <f>'Cadastro de Produtos'!K948</f>
        <v>0</v>
      </c>
      <c r="C970" s="63">
        <f>'Cadastro de Produtos'!L948</f>
        <v>0</v>
      </c>
      <c r="D970" s="72" t="e">
        <f>VLOOKUP(B970,'Cadastro de Produtos'!K:Q,7,0)</f>
        <v>#N/A</v>
      </c>
      <c r="E970" s="73">
        <f>'Cadastro de Produtos'!P948</f>
        <v>0</v>
      </c>
    </row>
    <row r="971" spans="1:5" x14ac:dyDescent="0.3">
      <c r="A971" s="62">
        <f>'Cadastro de Produtos'!O949</f>
        <v>0</v>
      </c>
      <c r="B971" s="63">
        <f>'Cadastro de Produtos'!K949</f>
        <v>0</v>
      </c>
      <c r="C971" s="63">
        <f>'Cadastro de Produtos'!L949</f>
        <v>0</v>
      </c>
      <c r="D971" s="72" t="e">
        <f>VLOOKUP(B971,'Cadastro de Produtos'!K:Q,7,0)</f>
        <v>#N/A</v>
      </c>
      <c r="E971" s="73">
        <f>'Cadastro de Produtos'!P949</f>
        <v>0</v>
      </c>
    </row>
    <row r="972" spans="1:5" x14ac:dyDescent="0.3">
      <c r="A972" s="62">
        <f>'Cadastro de Produtos'!O950</f>
        <v>0</v>
      </c>
      <c r="B972" s="63">
        <f>'Cadastro de Produtos'!K950</f>
        <v>0</v>
      </c>
      <c r="C972" s="63">
        <f>'Cadastro de Produtos'!L950</f>
        <v>0</v>
      </c>
      <c r="D972" s="72" t="e">
        <f>VLOOKUP(B972,'Cadastro de Produtos'!K:Q,7,0)</f>
        <v>#N/A</v>
      </c>
      <c r="E972" s="73">
        <f>'Cadastro de Produtos'!P950</f>
        <v>0</v>
      </c>
    </row>
    <row r="973" spans="1:5" x14ac:dyDescent="0.3">
      <c r="A973" s="62">
        <f>'Cadastro de Produtos'!O951</f>
        <v>0</v>
      </c>
      <c r="B973" s="63">
        <f>'Cadastro de Produtos'!K951</f>
        <v>0</v>
      </c>
      <c r="C973" s="63">
        <f>'Cadastro de Produtos'!L951</f>
        <v>0</v>
      </c>
      <c r="D973" s="72" t="e">
        <f>VLOOKUP(B973,'Cadastro de Produtos'!K:Q,7,0)</f>
        <v>#N/A</v>
      </c>
      <c r="E973" s="73">
        <f>'Cadastro de Produtos'!P951</f>
        <v>0</v>
      </c>
    </row>
    <row r="974" spans="1:5" x14ac:dyDescent="0.3">
      <c r="A974" s="62">
        <f>'Cadastro de Produtos'!O952</f>
        <v>0</v>
      </c>
      <c r="B974" s="63">
        <f>'Cadastro de Produtos'!K952</f>
        <v>0</v>
      </c>
      <c r="C974" s="63">
        <f>'Cadastro de Produtos'!L952</f>
        <v>0</v>
      </c>
      <c r="D974" s="72" t="e">
        <f>VLOOKUP(B974,'Cadastro de Produtos'!K:Q,7,0)</f>
        <v>#N/A</v>
      </c>
      <c r="E974" s="73">
        <f>'Cadastro de Produtos'!P952</f>
        <v>0</v>
      </c>
    </row>
    <row r="975" spans="1:5" x14ac:dyDescent="0.3">
      <c r="A975" s="62">
        <f>'Cadastro de Produtos'!O953</f>
        <v>0</v>
      </c>
      <c r="B975" s="63">
        <f>'Cadastro de Produtos'!K953</f>
        <v>0</v>
      </c>
      <c r="C975" s="63">
        <f>'Cadastro de Produtos'!L953</f>
        <v>0</v>
      </c>
      <c r="D975" s="72" t="e">
        <f>VLOOKUP(B975,'Cadastro de Produtos'!K:Q,7,0)</f>
        <v>#N/A</v>
      </c>
      <c r="E975" s="73">
        <f>'Cadastro de Produtos'!P953</f>
        <v>0</v>
      </c>
    </row>
    <row r="976" spans="1:5" x14ac:dyDescent="0.3">
      <c r="A976" s="62">
        <f>'Cadastro de Produtos'!O954</f>
        <v>0</v>
      </c>
      <c r="B976" s="63">
        <f>'Cadastro de Produtos'!K954</f>
        <v>0</v>
      </c>
      <c r="C976" s="63">
        <f>'Cadastro de Produtos'!L954</f>
        <v>0</v>
      </c>
      <c r="D976" s="72" t="e">
        <f>VLOOKUP(B976,'Cadastro de Produtos'!K:Q,7,0)</f>
        <v>#N/A</v>
      </c>
      <c r="E976" s="73">
        <f>'Cadastro de Produtos'!P954</f>
        <v>0</v>
      </c>
    </row>
    <row r="977" spans="1:5" x14ac:dyDescent="0.3">
      <c r="A977" s="62">
        <f>'Cadastro de Produtos'!O955</f>
        <v>0</v>
      </c>
      <c r="B977" s="63">
        <f>'Cadastro de Produtos'!K955</f>
        <v>0</v>
      </c>
      <c r="C977" s="63">
        <f>'Cadastro de Produtos'!L955</f>
        <v>0</v>
      </c>
      <c r="D977" s="72" t="e">
        <f>VLOOKUP(B977,'Cadastro de Produtos'!K:Q,7,0)</f>
        <v>#N/A</v>
      </c>
      <c r="E977" s="73">
        <f>'Cadastro de Produtos'!P955</f>
        <v>0</v>
      </c>
    </row>
    <row r="978" spans="1:5" x14ac:dyDescent="0.3">
      <c r="A978" s="62">
        <f>'Cadastro de Produtos'!O956</f>
        <v>0</v>
      </c>
      <c r="B978" s="63">
        <f>'Cadastro de Produtos'!K956</f>
        <v>0</v>
      </c>
      <c r="C978" s="63">
        <f>'Cadastro de Produtos'!L956</f>
        <v>0</v>
      </c>
      <c r="D978" s="72" t="e">
        <f>VLOOKUP(B978,'Cadastro de Produtos'!K:Q,7,0)</f>
        <v>#N/A</v>
      </c>
      <c r="E978" s="73">
        <f>'Cadastro de Produtos'!P956</f>
        <v>0</v>
      </c>
    </row>
    <row r="979" spans="1:5" x14ac:dyDescent="0.3">
      <c r="A979" s="62">
        <f>'Cadastro de Produtos'!O957</f>
        <v>0</v>
      </c>
      <c r="B979" s="63">
        <f>'Cadastro de Produtos'!K957</f>
        <v>0</v>
      </c>
      <c r="C979" s="63">
        <f>'Cadastro de Produtos'!L957</f>
        <v>0</v>
      </c>
      <c r="D979" s="72" t="e">
        <f>VLOOKUP(B979,'Cadastro de Produtos'!K:Q,7,0)</f>
        <v>#N/A</v>
      </c>
      <c r="E979" s="73">
        <f>'Cadastro de Produtos'!P957</f>
        <v>0</v>
      </c>
    </row>
    <row r="980" spans="1:5" x14ac:dyDescent="0.3">
      <c r="A980" s="62">
        <f>'Cadastro de Produtos'!O958</f>
        <v>0</v>
      </c>
      <c r="B980" s="63">
        <f>'Cadastro de Produtos'!K958</f>
        <v>0</v>
      </c>
      <c r="C980" s="63">
        <f>'Cadastro de Produtos'!L958</f>
        <v>0</v>
      </c>
      <c r="D980" s="72" t="e">
        <f>VLOOKUP(B980,'Cadastro de Produtos'!K:Q,7,0)</f>
        <v>#N/A</v>
      </c>
      <c r="E980" s="73">
        <f>'Cadastro de Produtos'!P958</f>
        <v>0</v>
      </c>
    </row>
    <row r="981" spans="1:5" x14ac:dyDescent="0.3">
      <c r="A981" s="62">
        <f>'Cadastro de Produtos'!O959</f>
        <v>0</v>
      </c>
      <c r="B981" s="63">
        <f>'Cadastro de Produtos'!K959</f>
        <v>0</v>
      </c>
      <c r="C981" s="63">
        <f>'Cadastro de Produtos'!L959</f>
        <v>0</v>
      </c>
      <c r="D981" s="72" t="e">
        <f>VLOOKUP(B981,'Cadastro de Produtos'!K:Q,7,0)</f>
        <v>#N/A</v>
      </c>
      <c r="E981" s="73">
        <f>'Cadastro de Produtos'!P959</f>
        <v>0</v>
      </c>
    </row>
    <row r="982" spans="1:5" x14ac:dyDescent="0.3">
      <c r="A982" s="62">
        <f>'Cadastro de Produtos'!O960</f>
        <v>0</v>
      </c>
      <c r="B982" s="63">
        <f>'Cadastro de Produtos'!K960</f>
        <v>0</v>
      </c>
      <c r="C982" s="63">
        <f>'Cadastro de Produtos'!L960</f>
        <v>0</v>
      </c>
      <c r="D982" s="72" t="e">
        <f>VLOOKUP(B982,'Cadastro de Produtos'!K:Q,7,0)</f>
        <v>#N/A</v>
      </c>
      <c r="E982" s="73">
        <f>'Cadastro de Produtos'!P960</f>
        <v>0</v>
      </c>
    </row>
    <row r="983" spans="1:5" x14ac:dyDescent="0.3">
      <c r="A983" s="62">
        <f>'Cadastro de Produtos'!O961</f>
        <v>0</v>
      </c>
      <c r="B983" s="63">
        <f>'Cadastro de Produtos'!K961</f>
        <v>0</v>
      </c>
      <c r="C983" s="63">
        <f>'Cadastro de Produtos'!L961</f>
        <v>0</v>
      </c>
      <c r="D983" s="72" t="e">
        <f>VLOOKUP(B983,'Cadastro de Produtos'!K:Q,7,0)</f>
        <v>#N/A</v>
      </c>
      <c r="E983" s="73">
        <f>'Cadastro de Produtos'!P961</f>
        <v>0</v>
      </c>
    </row>
    <row r="984" spans="1:5" x14ac:dyDescent="0.3">
      <c r="A984" s="62">
        <f>'Cadastro de Produtos'!O962</f>
        <v>0</v>
      </c>
      <c r="B984" s="63">
        <f>'Cadastro de Produtos'!K962</f>
        <v>0</v>
      </c>
      <c r="C984" s="63">
        <f>'Cadastro de Produtos'!L962</f>
        <v>0</v>
      </c>
      <c r="D984" s="72" t="e">
        <f>VLOOKUP(B984,'Cadastro de Produtos'!K:Q,7,0)</f>
        <v>#N/A</v>
      </c>
      <c r="E984" s="73">
        <f>'Cadastro de Produtos'!P962</f>
        <v>0</v>
      </c>
    </row>
    <row r="985" spans="1:5" x14ac:dyDescent="0.3">
      <c r="A985" s="62">
        <f>'Cadastro de Produtos'!O963</f>
        <v>0</v>
      </c>
      <c r="B985" s="63">
        <f>'Cadastro de Produtos'!K963</f>
        <v>0</v>
      </c>
      <c r="C985" s="63">
        <f>'Cadastro de Produtos'!L963</f>
        <v>0</v>
      </c>
      <c r="D985" s="72" t="e">
        <f>VLOOKUP(B985,'Cadastro de Produtos'!K:Q,7,0)</f>
        <v>#N/A</v>
      </c>
      <c r="E985" s="73">
        <f>'Cadastro de Produtos'!P963</f>
        <v>0</v>
      </c>
    </row>
    <row r="986" spans="1:5" x14ac:dyDescent="0.3">
      <c r="A986" s="62">
        <f>'Cadastro de Produtos'!O964</f>
        <v>0</v>
      </c>
      <c r="B986" s="63">
        <f>'Cadastro de Produtos'!K964</f>
        <v>0</v>
      </c>
      <c r="C986" s="63">
        <f>'Cadastro de Produtos'!L964</f>
        <v>0</v>
      </c>
      <c r="D986" s="72" t="e">
        <f>VLOOKUP(B986,'Cadastro de Produtos'!K:Q,7,0)</f>
        <v>#N/A</v>
      </c>
      <c r="E986" s="73">
        <f>'Cadastro de Produtos'!P964</f>
        <v>0</v>
      </c>
    </row>
    <row r="987" spans="1:5" x14ac:dyDescent="0.3">
      <c r="A987" s="62">
        <f>'Cadastro de Produtos'!O965</f>
        <v>0</v>
      </c>
      <c r="B987" s="63">
        <f>'Cadastro de Produtos'!K965</f>
        <v>0</v>
      </c>
      <c r="C987" s="63">
        <f>'Cadastro de Produtos'!L965</f>
        <v>0</v>
      </c>
      <c r="D987" s="72" t="e">
        <f>VLOOKUP(B987,'Cadastro de Produtos'!K:Q,7,0)</f>
        <v>#N/A</v>
      </c>
      <c r="E987" s="73">
        <f>'Cadastro de Produtos'!P965</f>
        <v>0</v>
      </c>
    </row>
    <row r="988" spans="1:5" x14ac:dyDescent="0.3">
      <c r="A988" s="62">
        <f>'Cadastro de Produtos'!O966</f>
        <v>0</v>
      </c>
      <c r="B988" s="63">
        <f>'Cadastro de Produtos'!K966</f>
        <v>0</v>
      </c>
      <c r="C988" s="63">
        <f>'Cadastro de Produtos'!L966</f>
        <v>0</v>
      </c>
      <c r="D988" s="72" t="e">
        <f>VLOOKUP(B988,'Cadastro de Produtos'!K:Q,7,0)</f>
        <v>#N/A</v>
      </c>
      <c r="E988" s="73">
        <f>'Cadastro de Produtos'!P966</f>
        <v>0</v>
      </c>
    </row>
    <row r="989" spans="1:5" x14ac:dyDescent="0.3">
      <c r="A989" s="62">
        <f>'Cadastro de Produtos'!O967</f>
        <v>0</v>
      </c>
      <c r="B989" s="63">
        <f>'Cadastro de Produtos'!K967</f>
        <v>0</v>
      </c>
      <c r="C989" s="63">
        <f>'Cadastro de Produtos'!L967</f>
        <v>0</v>
      </c>
      <c r="D989" s="72" t="e">
        <f>VLOOKUP(B989,'Cadastro de Produtos'!K:Q,7,0)</f>
        <v>#N/A</v>
      </c>
      <c r="E989" s="73">
        <f>'Cadastro de Produtos'!P967</f>
        <v>0</v>
      </c>
    </row>
    <row r="990" spans="1:5" x14ac:dyDescent="0.3">
      <c r="A990" s="62">
        <f>'Cadastro de Produtos'!O968</f>
        <v>0</v>
      </c>
      <c r="B990" s="63">
        <f>'Cadastro de Produtos'!K968</f>
        <v>0</v>
      </c>
      <c r="C990" s="63">
        <f>'Cadastro de Produtos'!L968</f>
        <v>0</v>
      </c>
      <c r="D990" s="72" t="e">
        <f>VLOOKUP(B990,'Cadastro de Produtos'!K:Q,7,0)</f>
        <v>#N/A</v>
      </c>
      <c r="E990" s="73">
        <f>'Cadastro de Produtos'!P968</f>
        <v>0</v>
      </c>
    </row>
    <row r="991" spans="1:5" x14ac:dyDescent="0.3">
      <c r="A991" s="62">
        <f>'Cadastro de Produtos'!O969</f>
        <v>0</v>
      </c>
      <c r="B991" s="63">
        <f>'Cadastro de Produtos'!K969</f>
        <v>0</v>
      </c>
      <c r="C991" s="63">
        <f>'Cadastro de Produtos'!L969</f>
        <v>0</v>
      </c>
      <c r="D991" s="72" t="e">
        <f>VLOOKUP(B991,'Cadastro de Produtos'!K:Q,7,0)</f>
        <v>#N/A</v>
      </c>
      <c r="E991" s="73">
        <f>'Cadastro de Produtos'!P969</f>
        <v>0</v>
      </c>
    </row>
    <row r="992" spans="1:5" x14ac:dyDescent="0.3">
      <c r="A992" s="62">
        <f>'Cadastro de Produtos'!O970</f>
        <v>0</v>
      </c>
      <c r="B992" s="63">
        <f>'Cadastro de Produtos'!K970</f>
        <v>0</v>
      </c>
      <c r="C992" s="63">
        <f>'Cadastro de Produtos'!L970</f>
        <v>0</v>
      </c>
      <c r="D992" s="72" t="e">
        <f>VLOOKUP(B992,'Cadastro de Produtos'!K:Q,7,0)</f>
        <v>#N/A</v>
      </c>
      <c r="E992" s="73">
        <f>'Cadastro de Produtos'!P970</f>
        <v>0</v>
      </c>
    </row>
    <row r="993" spans="1:5" x14ac:dyDescent="0.3">
      <c r="A993" s="62">
        <f>'Cadastro de Produtos'!O971</f>
        <v>0</v>
      </c>
      <c r="B993" s="63">
        <f>'Cadastro de Produtos'!K971</f>
        <v>0</v>
      </c>
      <c r="C993" s="63">
        <f>'Cadastro de Produtos'!L971</f>
        <v>0</v>
      </c>
      <c r="D993" s="72" t="e">
        <f>VLOOKUP(B993,'Cadastro de Produtos'!K:Q,7,0)</f>
        <v>#N/A</v>
      </c>
      <c r="E993" s="73">
        <f>'Cadastro de Produtos'!P971</f>
        <v>0</v>
      </c>
    </row>
    <row r="994" spans="1:5" x14ac:dyDescent="0.3">
      <c r="A994" s="62">
        <f>'Cadastro de Produtos'!O972</f>
        <v>0</v>
      </c>
      <c r="B994" s="63">
        <f>'Cadastro de Produtos'!K972</f>
        <v>0</v>
      </c>
      <c r="C994" s="63">
        <f>'Cadastro de Produtos'!L972</f>
        <v>0</v>
      </c>
      <c r="D994" s="72" t="e">
        <f>VLOOKUP(B994,'Cadastro de Produtos'!K:Q,7,0)</f>
        <v>#N/A</v>
      </c>
      <c r="E994" s="73">
        <f>'Cadastro de Produtos'!P972</f>
        <v>0</v>
      </c>
    </row>
    <row r="995" spans="1:5" x14ac:dyDescent="0.3">
      <c r="A995" s="62">
        <f>'Cadastro de Produtos'!O973</f>
        <v>0</v>
      </c>
      <c r="B995" s="63">
        <f>'Cadastro de Produtos'!K973</f>
        <v>0</v>
      </c>
      <c r="C995" s="63">
        <f>'Cadastro de Produtos'!L973</f>
        <v>0</v>
      </c>
      <c r="D995" s="72" t="e">
        <f>VLOOKUP(B995,'Cadastro de Produtos'!K:Q,7,0)</f>
        <v>#N/A</v>
      </c>
      <c r="E995" s="73">
        <f>'Cadastro de Produtos'!P973</f>
        <v>0</v>
      </c>
    </row>
    <row r="996" spans="1:5" x14ac:dyDescent="0.3">
      <c r="A996" s="62">
        <f>'Cadastro de Produtos'!O974</f>
        <v>0</v>
      </c>
      <c r="B996" s="63">
        <f>'Cadastro de Produtos'!K974</f>
        <v>0</v>
      </c>
      <c r="C996" s="63">
        <f>'Cadastro de Produtos'!L974</f>
        <v>0</v>
      </c>
      <c r="D996" s="72" t="e">
        <f>VLOOKUP(B996,'Cadastro de Produtos'!K:Q,7,0)</f>
        <v>#N/A</v>
      </c>
      <c r="E996" s="73">
        <f>'Cadastro de Produtos'!P974</f>
        <v>0</v>
      </c>
    </row>
    <row r="997" spans="1:5" x14ac:dyDescent="0.3">
      <c r="A997" s="62">
        <f>'Cadastro de Produtos'!O975</f>
        <v>0</v>
      </c>
      <c r="B997" s="63">
        <f>'Cadastro de Produtos'!K975</f>
        <v>0</v>
      </c>
      <c r="C997" s="63">
        <f>'Cadastro de Produtos'!L975</f>
        <v>0</v>
      </c>
      <c r="D997" s="72" t="e">
        <f>VLOOKUP(B997,'Cadastro de Produtos'!K:Q,7,0)</f>
        <v>#N/A</v>
      </c>
      <c r="E997" s="73">
        <f>'Cadastro de Produtos'!P975</f>
        <v>0</v>
      </c>
    </row>
    <row r="998" spans="1:5" x14ac:dyDescent="0.3">
      <c r="A998" s="62">
        <f>'Cadastro de Produtos'!O976</f>
        <v>0</v>
      </c>
      <c r="B998" s="63">
        <f>'Cadastro de Produtos'!K976</f>
        <v>0</v>
      </c>
      <c r="C998" s="63">
        <f>'Cadastro de Produtos'!L976</f>
        <v>0</v>
      </c>
      <c r="D998" s="72" t="e">
        <f>VLOOKUP(B998,'Cadastro de Produtos'!K:Q,7,0)</f>
        <v>#N/A</v>
      </c>
      <c r="E998" s="73">
        <f>'Cadastro de Produtos'!P976</f>
        <v>0</v>
      </c>
    </row>
    <row r="999" spans="1:5" x14ac:dyDescent="0.3">
      <c r="A999" s="62">
        <f>'Cadastro de Produtos'!O977</f>
        <v>0</v>
      </c>
      <c r="B999" s="63">
        <f>'Cadastro de Produtos'!K977</f>
        <v>0</v>
      </c>
      <c r="C999" s="63">
        <f>'Cadastro de Produtos'!L977</f>
        <v>0</v>
      </c>
      <c r="D999" s="72" t="e">
        <f>VLOOKUP(B999,'Cadastro de Produtos'!K:Q,7,0)</f>
        <v>#N/A</v>
      </c>
      <c r="E999" s="73">
        <f>'Cadastro de Produtos'!P977</f>
        <v>0</v>
      </c>
    </row>
  </sheetData>
  <sheetProtection selectLockedCells="1"/>
  <mergeCells count="1">
    <mergeCell ref="B1:C1"/>
  </mergeCells>
  <conditionalFormatting sqref="C8">
    <cfRule type="containsText" dxfId="55" priority="16" operator="containsText" text="saída">
      <formula>NOT(ISERROR(SEARCH("saída",C8)))</formula>
    </cfRule>
    <cfRule type="containsText" dxfId="54" priority="17" operator="containsText" text="entrada">
      <formula>NOT(ISERROR(SEARCH("entrada",C8)))</formula>
    </cfRule>
    <cfRule type="containsText" dxfId="53" priority="18" operator="containsText" text="negativo">
      <formula>NOT(ISERROR(SEARCH("negativo",C8)))</formula>
    </cfRule>
    <cfRule type="containsText" dxfId="52" priority="19" operator="containsText" text="positivo">
      <formula>NOT(ISERROR(SEARCH("positivo",C8)))</formula>
    </cfRule>
  </conditionalFormatting>
  <conditionalFormatting sqref="C4">
    <cfRule type="containsText" dxfId="51" priority="15" operator="containsText" text="INEXISTENTE">
      <formula>NOT(ISERROR(SEARCH("INEXISTENTE",C4)))</formula>
    </cfRule>
  </conditionalFormatting>
  <conditionalFormatting sqref="E24:E999">
    <cfRule type="cellIs" dxfId="50" priority="13" operator="lessThanOrEqual">
      <formula>0</formula>
    </cfRule>
  </conditionalFormatting>
  <conditionalFormatting sqref="D24:D999">
    <cfRule type="cellIs" dxfId="49" priority="10" operator="lessThan">
      <formula>0</formula>
    </cfRule>
  </conditionalFormatting>
  <conditionalFormatting sqref="D25">
    <cfRule type="containsBlanks" dxfId="48" priority="20">
      <formula>LEN(TRIM(D25))=0</formula>
    </cfRule>
  </conditionalFormatting>
  <conditionalFormatting sqref="D24:D999">
    <cfRule type="containsErrors" dxfId="47" priority="23">
      <formula>ISERROR(D24)</formula>
    </cfRule>
  </conditionalFormatting>
  <dataValidations count="4">
    <dataValidation type="list" allowBlank="1" showInputMessage="1" showErrorMessage="1" sqref="C9" xr:uid="{00000000-0002-0000-0000-000000000000}">
      <formula1>"Entrada,Saída"</formula1>
    </dataValidation>
    <dataValidation type="date" allowBlank="1" showInputMessage="1" showErrorMessage="1" sqref="C10" xr:uid="{00000000-0002-0000-0000-000001000000}">
      <formula1>1</formula1>
      <formula2>402133</formula2>
    </dataValidation>
    <dataValidation type="list" allowBlank="1" showInputMessage="1" showErrorMessage="1" sqref="C8" xr:uid="{00000000-0002-0000-0000-000002000000}">
      <formula1>Tipo_Movimentacao</formula1>
    </dataValidation>
    <dataValidation type="list" allowBlank="1" showInputMessage="1" showErrorMessage="1" sqref="C3" xr:uid="{00000000-0002-0000-0000-000003000000}">
      <formula1>Produtos</formula1>
    </dataValidation>
  </dataValidations>
  <hyperlinks>
    <hyperlink ref="B3" location="'Cadastro de Produtos'!A1" display="Código" xr:uid="{00000000-0004-0000-0000-000000000000}"/>
  </hyperlinks>
  <pageMargins left="0.51181102362204722" right="0.1" top="0.4" bottom="0.35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theme="4" tint="0.39997558519241921"/>
  </sheetPr>
  <dimension ref="A1:P17"/>
  <sheetViews>
    <sheetView showGridLines="0" showRowColHeaders="0" zoomScale="80" zoomScaleNormal="80" workbookViewId="0">
      <pane xSplit="9" ySplit="8" topLeftCell="J9" activePane="bottomRight" state="frozen"/>
      <selection pane="topRight" activeCell="J1" sqref="J1"/>
      <selection pane="bottomLeft" activeCell="A9" sqref="A9"/>
      <selection pane="bottomRight" activeCell="A3" sqref="A3"/>
    </sheetView>
  </sheetViews>
  <sheetFormatPr defaultColWidth="0" defaultRowHeight="14.4" x14ac:dyDescent="0.3"/>
  <cols>
    <col min="1" max="1" width="11.109375" customWidth="1"/>
    <col min="2" max="2" width="17.88671875" customWidth="1"/>
    <col min="3" max="3" width="17.44140625" customWidth="1"/>
    <col min="4" max="4" width="14" customWidth="1"/>
    <col min="5" max="5" width="12.6640625" bestFit="1" customWidth="1"/>
    <col min="6" max="6" width="25.6640625" bestFit="1" customWidth="1"/>
    <col min="7" max="7" width="6.88671875" hidden="1" customWidth="1"/>
    <col min="8" max="8" width="12" style="7" bestFit="1" customWidth="1"/>
    <col min="9" max="9" width="18.6640625" hidden="1" customWidth="1"/>
    <col min="10" max="10" width="30" bestFit="1" customWidth="1"/>
    <col min="11" max="11" width="11.44140625" bestFit="1" customWidth="1"/>
    <col min="12" max="12" width="10.33203125" customWidth="1"/>
    <col min="13" max="13" width="13.88671875" bestFit="1" customWidth="1"/>
    <col min="14" max="14" width="12.33203125" bestFit="1" customWidth="1"/>
    <col min="15" max="15" width="66.5546875" bestFit="1" customWidth="1"/>
    <col min="16" max="16" width="9" hidden="1" customWidth="1"/>
    <col min="17" max="16384" width="9.109375" hidden="1"/>
  </cols>
  <sheetData>
    <row r="1" spans="1:15" ht="15" thickBot="1" x14ac:dyDescent="0.35"/>
    <row r="2" spans="1:15" x14ac:dyDescent="0.3">
      <c r="A2" s="11" t="s">
        <v>0</v>
      </c>
      <c r="B2" s="31" t="s">
        <v>1</v>
      </c>
      <c r="C2" s="118" t="s">
        <v>15</v>
      </c>
      <c r="D2" s="119"/>
      <c r="O2" s="91"/>
    </row>
    <row r="3" spans="1:15" x14ac:dyDescent="0.3">
      <c r="A3" s="34" t="s">
        <v>55</v>
      </c>
      <c r="B3" s="120" t="str">
        <f>VLOOKUP(A3,'Cadastro de Produtos'!A:B,2,0)</f>
        <v>Estabilizador BIVOLT 115V/220V - 300VA - preto</v>
      </c>
      <c r="C3" s="121"/>
      <c r="D3" s="41">
        <f ca="1">INDIRECT("C"&amp;lfUltimaLinhaAtiva(Tabela3[[#Headers],[Código]]))</f>
        <v>42223</v>
      </c>
    </row>
    <row r="4" spans="1:15" x14ac:dyDescent="0.3">
      <c r="A4" s="12" t="s">
        <v>2</v>
      </c>
      <c r="B4" s="38">
        <f>VLOOKUP(A3,'Cadastro de Produtos'!A:E,3,0)</f>
        <v>0</v>
      </c>
      <c r="C4" s="32" t="s">
        <v>9</v>
      </c>
      <c r="D4" s="42">
        <f ca="1">INDIRECT("l"&amp;lfUltimaLinhaAtiva(Tabela3[[#Headers],[Código]]))</f>
        <v>202</v>
      </c>
    </row>
    <row r="5" spans="1:15" x14ac:dyDescent="0.3">
      <c r="A5" s="12" t="s">
        <v>3</v>
      </c>
      <c r="B5" s="39">
        <f>VLOOKUP(A3,'Cadastro de Produtos'!A:E,4,0)</f>
        <v>0</v>
      </c>
      <c r="C5" s="32" t="s">
        <v>8</v>
      </c>
      <c r="D5" s="43">
        <f ca="1">INDIRECT("m"&amp;lfUltimaLinhaAtiva(Tabela3[[#Headers],[Código]]))</f>
        <v>363.59999999999997</v>
      </c>
    </row>
    <row r="6" spans="1:15" ht="15" thickBot="1" x14ac:dyDescent="0.35">
      <c r="A6" s="13" t="s">
        <v>4</v>
      </c>
      <c r="B6" s="40" t="str">
        <f>VLOOKUP(A3,'Cadastro de Produtos'!A:E,5,0)</f>
        <v>Estabilizador</v>
      </c>
      <c r="C6" s="33" t="s">
        <v>14</v>
      </c>
      <c r="D6" s="44">
        <f ca="1">INDIRECT("e"&amp;lfUltimaLinhaAtiva(Tabela3[[#Headers],[Código]]))</f>
        <v>0</v>
      </c>
    </row>
    <row r="8" spans="1:15" x14ac:dyDescent="0.3">
      <c r="A8" s="1" t="s">
        <v>0</v>
      </c>
      <c r="B8" s="1" t="s">
        <v>5</v>
      </c>
      <c r="C8" s="8" t="s">
        <v>6</v>
      </c>
      <c r="D8" s="9" t="s">
        <v>7</v>
      </c>
      <c r="E8" s="10" t="s">
        <v>31</v>
      </c>
      <c r="F8" s="4" t="s">
        <v>18</v>
      </c>
      <c r="G8" s="4" t="s">
        <v>19</v>
      </c>
      <c r="H8" s="45" t="s">
        <v>20</v>
      </c>
      <c r="I8" s="4" t="s">
        <v>23</v>
      </c>
      <c r="J8" s="30" t="s">
        <v>21</v>
      </c>
      <c r="K8" s="30" t="s">
        <v>27</v>
      </c>
      <c r="L8" s="30" t="s">
        <v>28</v>
      </c>
      <c r="M8" s="30" t="s">
        <v>13</v>
      </c>
      <c r="N8" s="30" t="s">
        <v>14</v>
      </c>
      <c r="O8" s="30" t="s">
        <v>30</v>
      </c>
    </row>
    <row r="9" spans="1:15" x14ac:dyDescent="0.3">
      <c r="A9" s="50" t="s">
        <v>55</v>
      </c>
      <c r="B9" s="50" t="s">
        <v>12</v>
      </c>
      <c r="C9" s="93">
        <v>42029</v>
      </c>
      <c r="D9" s="51">
        <v>220</v>
      </c>
      <c r="E9" s="52">
        <v>1.8</v>
      </c>
      <c r="F9" s="50" t="s">
        <v>33</v>
      </c>
      <c r="G9" s="50"/>
      <c r="H9" s="50"/>
      <c r="I9" s="50"/>
      <c r="J9" s="50" t="s">
        <v>720</v>
      </c>
      <c r="K9" s="87">
        <f t="shared" ref="K9" si="0">IFERROR(IF(B9="E",D9*E9,D9*N9),0)</f>
        <v>396</v>
      </c>
      <c r="L9" s="88">
        <f t="shared" ref="L9" si="1">IFERROR(IF(B9="E",IF(ISNUMBER(L8),L8+D9,D9),L8-D9),0)</f>
        <v>220</v>
      </c>
      <c r="M9" s="89">
        <f t="shared" ref="M9" si="2">IFERROR(IF(B9="E",IF(ISNUMBER(M8),M8+K9,K9),M8-(D9*N8)),0)</f>
        <v>396</v>
      </c>
      <c r="N9" s="90">
        <f t="shared" ref="N9" si="3">IFERROR(M9/L9,0)</f>
        <v>1.8</v>
      </c>
      <c r="O9" t="str">
        <f>VLOOKUP(A9,'Cadastro de Produtos'!A:B,2,0)</f>
        <v>Estabilizador BIVOLT 115V/220V - 300VA - preto</v>
      </c>
    </row>
    <row r="10" spans="1:15" x14ac:dyDescent="0.3">
      <c r="A10" s="50" t="s">
        <v>55</v>
      </c>
      <c r="B10" s="50" t="s">
        <v>17</v>
      </c>
      <c r="C10" s="114">
        <v>42029</v>
      </c>
      <c r="D10" s="51">
        <v>50</v>
      </c>
      <c r="E10" s="52">
        <v>0</v>
      </c>
      <c r="F10" s="103" t="s">
        <v>56</v>
      </c>
      <c r="G10" s="50"/>
      <c r="H10" s="104"/>
      <c r="I10" s="103"/>
      <c r="J10" s="105" t="s">
        <v>720</v>
      </c>
      <c r="K10" s="106">
        <f t="shared" ref="K10:K17" si="4">IFERROR(IF(B10="E",D10*E10,D10*N10),0)</f>
        <v>90</v>
      </c>
      <c r="L10" s="115">
        <f t="shared" ref="L10:L17" si="5">IFERROR(IF(B10="E",IF(ISNUMBER(L9),L9+D10,D10),L9-D10),0)</f>
        <v>170</v>
      </c>
      <c r="M10" s="107">
        <f t="shared" ref="M10:M17" si="6">IFERROR(IF(B10="E",IF(ISNUMBER(M9),M9+K10,K10),M9-(D10*N9)),0)</f>
        <v>306</v>
      </c>
      <c r="N10" s="108">
        <f t="shared" ref="N10:N17" si="7">IFERROR(M10/L10,0)</f>
        <v>1.8</v>
      </c>
      <c r="O10" t="str">
        <f>VLOOKUP(A10,'Cadastro de Produtos'!A:B,2,0)</f>
        <v>Estabilizador BIVOLT 115V/220V - 300VA - preto</v>
      </c>
    </row>
    <row r="11" spans="1:15" x14ac:dyDescent="0.3">
      <c r="A11" s="50" t="s">
        <v>62</v>
      </c>
      <c r="B11" s="50" t="s">
        <v>12</v>
      </c>
      <c r="C11" s="114">
        <v>42029</v>
      </c>
      <c r="D11" s="51">
        <v>50</v>
      </c>
      <c r="E11" s="52">
        <v>1.8</v>
      </c>
      <c r="F11" s="103" t="s">
        <v>33</v>
      </c>
      <c r="G11" s="50"/>
      <c r="H11" s="104"/>
      <c r="I11" s="103"/>
      <c r="J11" s="105" t="s">
        <v>720</v>
      </c>
      <c r="K11" s="106">
        <f t="shared" si="4"/>
        <v>90</v>
      </c>
      <c r="L11" s="115">
        <f t="shared" si="5"/>
        <v>220</v>
      </c>
      <c r="M11" s="107">
        <f t="shared" si="6"/>
        <v>396</v>
      </c>
      <c r="N11" s="109">
        <f t="shared" si="7"/>
        <v>1.8</v>
      </c>
      <c r="O11" t="str">
        <f>VLOOKUP(A11,'Cadastro de Produtos'!A:B,2,0)</f>
        <v>Estabilizador BIVOLT 115V/220V - 300VA - preto</v>
      </c>
    </row>
    <row r="12" spans="1:15" x14ac:dyDescent="0.3">
      <c r="A12" s="50" t="s">
        <v>55</v>
      </c>
      <c r="B12" s="50" t="s">
        <v>12</v>
      </c>
      <c r="C12" s="114">
        <v>42208</v>
      </c>
      <c r="D12" s="51">
        <v>5</v>
      </c>
      <c r="E12" s="52">
        <v>1.8</v>
      </c>
      <c r="F12" s="103" t="s">
        <v>399</v>
      </c>
      <c r="G12" s="50"/>
      <c r="H12" s="104"/>
      <c r="I12" s="103"/>
      <c r="J12" s="105" t="s">
        <v>34</v>
      </c>
      <c r="K12" s="106">
        <f t="shared" si="4"/>
        <v>9</v>
      </c>
      <c r="L12" s="115">
        <f t="shared" si="5"/>
        <v>225</v>
      </c>
      <c r="M12" s="107">
        <f t="shared" si="6"/>
        <v>405</v>
      </c>
      <c r="N12" s="109">
        <f t="shared" si="7"/>
        <v>1.8</v>
      </c>
      <c r="O12" t="str">
        <f>VLOOKUP(A12,'Cadastro de Produtos'!A:B,2,0)</f>
        <v>Estabilizador BIVOLT 115V/220V - 300VA - preto</v>
      </c>
    </row>
    <row r="13" spans="1:15" x14ac:dyDescent="0.3">
      <c r="A13" s="50" t="s">
        <v>55</v>
      </c>
      <c r="B13" s="50" t="s">
        <v>17</v>
      </c>
      <c r="C13" s="114">
        <v>42205</v>
      </c>
      <c r="D13" s="51">
        <v>20</v>
      </c>
      <c r="E13" s="52">
        <v>0</v>
      </c>
      <c r="F13" s="103" t="s">
        <v>273</v>
      </c>
      <c r="G13" s="50"/>
      <c r="H13" s="104"/>
      <c r="I13" s="103"/>
      <c r="J13" s="105" t="s">
        <v>34</v>
      </c>
      <c r="K13" s="106">
        <f t="shared" si="4"/>
        <v>36</v>
      </c>
      <c r="L13" s="115">
        <f t="shared" si="5"/>
        <v>205</v>
      </c>
      <c r="M13" s="107">
        <f t="shared" si="6"/>
        <v>369</v>
      </c>
      <c r="N13" s="109">
        <f t="shared" si="7"/>
        <v>1.8</v>
      </c>
      <c r="O13" t="str">
        <f>VLOOKUP(A13,'Cadastro de Produtos'!A:B,2,0)</f>
        <v>Estabilizador BIVOLT 115V/220V - 300VA - preto</v>
      </c>
    </row>
    <row r="14" spans="1:15" x14ac:dyDescent="0.3">
      <c r="A14" s="50" t="s">
        <v>55</v>
      </c>
      <c r="B14" s="50" t="s">
        <v>17</v>
      </c>
      <c r="C14" s="114">
        <v>42202</v>
      </c>
      <c r="D14" s="51">
        <v>30</v>
      </c>
      <c r="E14" s="52">
        <v>0</v>
      </c>
      <c r="F14" s="103" t="s">
        <v>704</v>
      </c>
      <c r="G14" s="50"/>
      <c r="H14" s="104"/>
      <c r="I14" s="103"/>
      <c r="J14" s="105" t="s">
        <v>34</v>
      </c>
      <c r="K14" s="106">
        <f t="shared" si="4"/>
        <v>54</v>
      </c>
      <c r="L14" s="115">
        <f t="shared" si="5"/>
        <v>175</v>
      </c>
      <c r="M14" s="107">
        <f t="shared" si="6"/>
        <v>315</v>
      </c>
      <c r="N14" s="109">
        <f t="shared" si="7"/>
        <v>1.8</v>
      </c>
      <c r="O14" t="str">
        <f>VLOOKUP(A14,'Cadastro de Produtos'!A:B,2,0)</f>
        <v>Estabilizador BIVOLT 115V/220V - 300VA - preto</v>
      </c>
    </row>
    <row r="15" spans="1:15" x14ac:dyDescent="0.3">
      <c r="A15" s="50" t="s">
        <v>62</v>
      </c>
      <c r="B15" s="50" t="s">
        <v>17</v>
      </c>
      <c r="C15" s="114">
        <v>42216</v>
      </c>
      <c r="D15" s="51">
        <v>10</v>
      </c>
      <c r="E15" s="52">
        <v>0</v>
      </c>
      <c r="F15" s="103" t="s">
        <v>704</v>
      </c>
      <c r="G15" s="50"/>
      <c r="H15" s="104"/>
      <c r="I15" s="103"/>
      <c r="J15" s="105" t="s">
        <v>34</v>
      </c>
      <c r="K15" s="106">
        <f t="shared" si="4"/>
        <v>18</v>
      </c>
      <c r="L15" s="115">
        <f t="shared" si="5"/>
        <v>165</v>
      </c>
      <c r="M15" s="107">
        <f t="shared" si="6"/>
        <v>297</v>
      </c>
      <c r="N15" s="109">
        <f t="shared" si="7"/>
        <v>1.8</v>
      </c>
      <c r="O15" t="str">
        <f>VLOOKUP(A15,'Cadastro de Produtos'!A:B,2,0)</f>
        <v>Estabilizador BIVOLT 115V/220V - 300VA - preto</v>
      </c>
    </row>
    <row r="16" spans="1:15" x14ac:dyDescent="0.3">
      <c r="A16" s="50" t="s">
        <v>55</v>
      </c>
      <c r="B16" s="50" t="s">
        <v>12</v>
      </c>
      <c r="C16" s="114">
        <v>42221</v>
      </c>
      <c r="D16" s="51">
        <v>43</v>
      </c>
      <c r="E16" s="52">
        <v>1.8</v>
      </c>
      <c r="F16" s="103" t="s">
        <v>22</v>
      </c>
      <c r="G16" s="50">
        <v>0</v>
      </c>
      <c r="H16" s="104">
        <v>999</v>
      </c>
      <c r="I16" s="103" t="s">
        <v>380</v>
      </c>
      <c r="J16" s="105" t="s">
        <v>722</v>
      </c>
      <c r="K16" s="106">
        <f t="shared" si="4"/>
        <v>77.400000000000006</v>
      </c>
      <c r="L16" s="115">
        <f t="shared" si="5"/>
        <v>208</v>
      </c>
      <c r="M16" s="107">
        <f t="shared" si="6"/>
        <v>374.4</v>
      </c>
      <c r="N16" s="109">
        <f t="shared" si="7"/>
        <v>1.7999999999999998</v>
      </c>
      <c r="O16" t="str">
        <f>VLOOKUP(A16,'Cadastro de Produtos'!A:B,2,0)</f>
        <v>Estabilizador BIVOLT 115V/220V - 300VA - preto</v>
      </c>
    </row>
    <row r="17" spans="1:15" x14ac:dyDescent="0.3">
      <c r="A17" s="50" t="s">
        <v>55</v>
      </c>
      <c r="B17" s="50" t="s">
        <v>17</v>
      </c>
      <c r="C17" s="114">
        <v>42223</v>
      </c>
      <c r="D17" s="51">
        <v>6</v>
      </c>
      <c r="E17" s="52">
        <v>0</v>
      </c>
      <c r="F17" s="103" t="s">
        <v>400</v>
      </c>
      <c r="G17" s="50"/>
      <c r="H17" s="104"/>
      <c r="I17" s="103" t="s">
        <v>724</v>
      </c>
      <c r="J17" s="105" t="s">
        <v>724</v>
      </c>
      <c r="K17" s="106">
        <f t="shared" si="4"/>
        <v>10.799999999999999</v>
      </c>
      <c r="L17" s="115">
        <f t="shared" si="5"/>
        <v>202</v>
      </c>
      <c r="M17" s="107">
        <f t="shared" si="6"/>
        <v>363.59999999999997</v>
      </c>
      <c r="N17" s="109">
        <f t="shared" si="7"/>
        <v>1.7999999999999998</v>
      </c>
      <c r="O17" t="str">
        <f>VLOOKUP(A17,'Cadastro de Produtos'!A:B,2,0)</f>
        <v>Estabilizador BIVOLT 115V/220V - 300VA - preto</v>
      </c>
    </row>
  </sheetData>
  <sheetProtection selectLockedCells="1" selectUnlockedCells="1"/>
  <mergeCells count="2">
    <mergeCell ref="C2:D2"/>
    <mergeCell ref="B3:C3"/>
  </mergeCells>
  <conditionalFormatting sqref="B9:B17">
    <cfRule type="cellIs" dxfId="46" priority="9" operator="equal">
      <formula>"s"</formula>
    </cfRule>
    <cfRule type="cellIs" dxfId="45" priority="10" operator="equal">
      <formula>"E"</formula>
    </cfRule>
  </conditionalFormatting>
  <conditionalFormatting sqref="F9:F17">
    <cfRule type="containsText" dxfId="44" priority="5" operator="containsText" text="saída">
      <formula>NOT(ISERROR(SEARCH("saída",F9)))</formula>
    </cfRule>
    <cfRule type="containsText" dxfId="43" priority="6" operator="containsText" text="entrada">
      <formula>NOT(ISERROR(SEARCH("entrada",F9)))</formula>
    </cfRule>
    <cfRule type="containsText" dxfId="42" priority="7" operator="containsText" text="negativo">
      <formula>NOT(ISERROR(SEARCH("negativo",F9)))</formula>
    </cfRule>
    <cfRule type="containsText" dxfId="41" priority="8" operator="containsText" text="positivo">
      <formula>NOT(ISERROR(SEARCH("positivo",F9)))</formula>
    </cfRule>
  </conditionalFormatting>
  <conditionalFormatting sqref="B5">
    <cfRule type="containsErrors" dxfId="40" priority="11">
      <formula>ISERROR(B5)</formula>
    </cfRule>
  </conditionalFormatting>
  <conditionalFormatting sqref="B3:C3">
    <cfRule type="containsErrors" dxfId="39" priority="2">
      <formula>ISERROR(B3)</formula>
    </cfRule>
  </conditionalFormatting>
  <conditionalFormatting sqref="B4:B6">
    <cfRule type="containsErrors" dxfId="38" priority="1">
      <formula>ISERROR(B4)</formula>
    </cfRule>
  </conditionalFormatting>
  <dataValidations count="1">
    <dataValidation type="list" allowBlank="1" showInputMessage="1" showErrorMessage="1" sqref="A3" xr:uid="{00000000-0002-0000-0100-000000000000}">
      <formula1>Produtos</formula1>
    </dataValidation>
  </dataValidations>
  <pageMargins left="0.15" right="0.11811023622047245" top="0" bottom="0" header="0" footer="0"/>
  <pageSetup paperSize="9" scale="55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8" tint="0.39997558519241921"/>
  </sheetPr>
  <dimension ref="A1:P726"/>
  <sheetViews>
    <sheetView showGridLines="0" showRowColHeader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3" sqref="K3"/>
    </sheetView>
  </sheetViews>
  <sheetFormatPr defaultColWidth="0" defaultRowHeight="14.4" x14ac:dyDescent="0.3"/>
  <cols>
    <col min="1" max="1" width="12.88671875" customWidth="1"/>
    <col min="2" max="2" width="20.6640625" customWidth="1"/>
    <col min="3" max="3" width="15.33203125" style="5" customWidth="1"/>
    <col min="4" max="4" width="9.109375" style="7" customWidth="1"/>
    <col min="5" max="5" width="13.44140625" style="6" customWidth="1"/>
    <col min="6" max="6" width="22.88671875" bestFit="1" customWidth="1"/>
    <col min="7" max="7" width="10.6640625" customWidth="1"/>
    <col min="8" max="8" width="10.5546875" bestFit="1" customWidth="1"/>
    <col min="9" max="9" width="18.6640625" bestFit="1" customWidth="1"/>
    <col min="10" max="10" width="39.33203125" bestFit="1" customWidth="1"/>
    <col min="11" max="11" width="9.109375" customWidth="1"/>
    <col min="12" max="12" width="66.5546875" bestFit="1" customWidth="1"/>
    <col min="13" max="16384" width="9.109375" hidden="1"/>
  </cols>
  <sheetData>
    <row r="1" spans="1:16" ht="33" customHeight="1" x14ac:dyDescent="0.3">
      <c r="A1" s="1" t="s">
        <v>0</v>
      </c>
      <c r="B1" s="1" t="s">
        <v>5</v>
      </c>
      <c r="C1" s="8" t="s">
        <v>6</v>
      </c>
      <c r="D1" s="9" t="s">
        <v>7</v>
      </c>
      <c r="E1" s="10" t="s">
        <v>31</v>
      </c>
      <c r="F1" s="4" t="s">
        <v>18</v>
      </c>
      <c r="G1" s="4" t="s">
        <v>19</v>
      </c>
      <c r="H1" s="4" t="s">
        <v>20</v>
      </c>
      <c r="I1" s="4" t="s">
        <v>23</v>
      </c>
      <c r="J1" s="4" t="s">
        <v>21</v>
      </c>
      <c r="K1" s="1" t="s">
        <v>29</v>
      </c>
      <c r="L1" s="1" t="s">
        <v>30</v>
      </c>
      <c r="M1" s="1" t="s">
        <v>12</v>
      </c>
      <c r="N1" s="1" t="s">
        <v>17</v>
      </c>
      <c r="O1" s="1" t="s">
        <v>698</v>
      </c>
      <c r="P1" s="1" t="s">
        <v>699</v>
      </c>
    </row>
    <row r="2" spans="1:16" x14ac:dyDescent="0.3">
      <c r="A2" t="s">
        <v>433</v>
      </c>
      <c r="B2" t="s">
        <v>12</v>
      </c>
      <c r="C2" s="92">
        <v>42029</v>
      </c>
      <c r="D2" s="46">
        <v>100</v>
      </c>
      <c r="E2" s="47">
        <v>0.61</v>
      </c>
      <c r="F2" t="s">
        <v>33</v>
      </c>
      <c r="J2" t="s">
        <v>720</v>
      </c>
      <c r="K2">
        <f>COUNTIF($A$1:A2,A2)</f>
        <v>1</v>
      </c>
      <c r="L2" t="str">
        <f>VLOOKUP(A2,'Cadastro de Produtos'!A:B,2,0)</f>
        <v>Webcam ASUS f9s</v>
      </c>
      <c r="M2">
        <f t="shared" ref="M2:M65" si="0">SUMIF(B2,"E",D2:D2)</f>
        <v>100</v>
      </c>
      <c r="N2">
        <f t="shared" ref="N2:N65" si="1">SUMIF(B2,"S",D2:D2)</f>
        <v>0</v>
      </c>
      <c r="O2">
        <f t="shared" ref="O2:O65" si="2">N2*-1</f>
        <v>0</v>
      </c>
      <c r="P2">
        <f t="shared" ref="P2:P65" si="3">SUM(M2+O2)</f>
        <v>100</v>
      </c>
    </row>
    <row r="3" spans="1:16" x14ac:dyDescent="0.3">
      <c r="A3" t="s">
        <v>434</v>
      </c>
      <c r="B3" t="s">
        <v>12</v>
      </c>
      <c r="C3" s="92">
        <v>42029</v>
      </c>
      <c r="D3" s="46">
        <v>15</v>
      </c>
      <c r="E3" s="47">
        <v>8.5</v>
      </c>
      <c r="F3" t="s">
        <v>33</v>
      </c>
      <c r="J3" t="s">
        <v>720</v>
      </c>
      <c r="K3">
        <f>COUNTIF($A$1:A3,A3)</f>
        <v>1</v>
      </c>
      <c r="L3" t="str">
        <f>VLOOKUP(A3,'Cadastro de Produtos'!A:B,2,0)</f>
        <v>WebCam Microsoft LifeCam VX-500 640X480</v>
      </c>
      <c r="M3">
        <f t="shared" si="0"/>
        <v>15</v>
      </c>
      <c r="N3">
        <f t="shared" si="1"/>
        <v>0</v>
      </c>
      <c r="O3">
        <f t="shared" si="2"/>
        <v>0</v>
      </c>
      <c r="P3">
        <f t="shared" si="3"/>
        <v>15</v>
      </c>
    </row>
    <row r="4" spans="1:16" x14ac:dyDescent="0.3">
      <c r="A4" t="s">
        <v>436</v>
      </c>
      <c r="B4" t="s">
        <v>12</v>
      </c>
      <c r="C4" s="92">
        <v>42029</v>
      </c>
      <c r="D4" s="46">
        <v>50</v>
      </c>
      <c r="E4" s="47">
        <v>0.49</v>
      </c>
      <c r="F4" t="s">
        <v>33</v>
      </c>
      <c r="J4" t="s">
        <v>720</v>
      </c>
      <c r="K4">
        <f>COUNTIF($A$1:A4,A4)</f>
        <v>1</v>
      </c>
      <c r="L4" t="str">
        <f>VLOOKUP(A4,'Cadastro de Produtos'!A:B,2,0)</f>
        <v>Windows 7 FPP Home Premium 32 e 64 bits GFC-00039</v>
      </c>
      <c r="M4">
        <f t="shared" si="0"/>
        <v>50</v>
      </c>
      <c r="N4">
        <f t="shared" si="1"/>
        <v>0</v>
      </c>
      <c r="O4">
        <f t="shared" si="2"/>
        <v>0</v>
      </c>
      <c r="P4">
        <f t="shared" si="3"/>
        <v>50</v>
      </c>
    </row>
    <row r="5" spans="1:16" x14ac:dyDescent="0.3">
      <c r="A5" t="s">
        <v>435</v>
      </c>
      <c r="B5" t="s">
        <v>12</v>
      </c>
      <c r="C5" s="92">
        <v>42029</v>
      </c>
      <c r="D5" s="46">
        <v>55</v>
      </c>
      <c r="E5" s="47">
        <v>1.26</v>
      </c>
      <c r="F5" t="s">
        <v>33</v>
      </c>
      <c r="J5" t="s">
        <v>720</v>
      </c>
      <c r="K5">
        <f>COUNTIF($A$1:A5,A5)</f>
        <v>1</v>
      </c>
      <c r="L5" t="str">
        <f>VLOOKUP(A5,'Cadastro de Produtos'!A:B,2,0)</f>
        <v>Windows 7 FPP Home Basic 32 e 64 bits F2C-00007</v>
      </c>
      <c r="M5">
        <f t="shared" si="0"/>
        <v>55</v>
      </c>
      <c r="N5">
        <f t="shared" si="1"/>
        <v>0</v>
      </c>
      <c r="O5">
        <f t="shared" si="2"/>
        <v>0</v>
      </c>
      <c r="P5">
        <f t="shared" si="3"/>
        <v>55</v>
      </c>
    </row>
    <row r="6" spans="1:16" x14ac:dyDescent="0.3">
      <c r="A6" t="s">
        <v>437</v>
      </c>
      <c r="B6" t="s">
        <v>12</v>
      </c>
      <c r="C6" s="92">
        <v>42029</v>
      </c>
      <c r="D6" s="46">
        <v>120</v>
      </c>
      <c r="E6" s="47">
        <v>0.01</v>
      </c>
      <c r="F6" t="s">
        <v>33</v>
      </c>
      <c r="J6" t="s">
        <v>720</v>
      </c>
      <c r="K6">
        <f>COUNTIF($A$1:A6,A6)</f>
        <v>1</v>
      </c>
      <c r="L6" t="str">
        <f>VLOOKUP(A6,'Cadastro de Produtos'!A:B,2,0)</f>
        <v>Windows 7 FPP Professional 32 e 64 bits FQC-00146</v>
      </c>
      <c r="M6">
        <f t="shared" si="0"/>
        <v>120</v>
      </c>
      <c r="N6">
        <f t="shared" si="1"/>
        <v>0</v>
      </c>
      <c r="O6">
        <f t="shared" si="2"/>
        <v>0</v>
      </c>
      <c r="P6">
        <f t="shared" si="3"/>
        <v>120</v>
      </c>
    </row>
    <row r="7" spans="1:16" x14ac:dyDescent="0.3">
      <c r="A7" t="s">
        <v>438</v>
      </c>
      <c r="B7" t="s">
        <v>12</v>
      </c>
      <c r="C7" s="92">
        <v>42029</v>
      </c>
      <c r="D7" s="46">
        <v>50</v>
      </c>
      <c r="E7" s="47">
        <v>3.26</v>
      </c>
      <c r="F7" t="s">
        <v>33</v>
      </c>
      <c r="J7" t="s">
        <v>720</v>
      </c>
      <c r="K7">
        <f>COUNTIF($A$1:A7,A7)</f>
        <v>1</v>
      </c>
      <c r="L7" t="str">
        <f>VLOOKUP(A7,'Cadastro de Produtos'!A:B,2,0)</f>
        <v>Windows 7 FPP Ultimate 32 e 64 bits GLC-00133</v>
      </c>
      <c r="M7">
        <f t="shared" si="0"/>
        <v>50</v>
      </c>
      <c r="N7">
        <f t="shared" si="1"/>
        <v>0</v>
      </c>
      <c r="O7">
        <f t="shared" si="2"/>
        <v>0</v>
      </c>
      <c r="P7">
        <f t="shared" si="3"/>
        <v>50</v>
      </c>
    </row>
    <row r="8" spans="1:16" x14ac:dyDescent="0.3">
      <c r="A8" t="s">
        <v>439</v>
      </c>
      <c r="B8" t="s">
        <v>12</v>
      </c>
      <c r="C8" s="92">
        <v>42029</v>
      </c>
      <c r="D8" s="46">
        <v>1</v>
      </c>
      <c r="E8" s="47">
        <v>12.78</v>
      </c>
      <c r="F8" t="s">
        <v>33</v>
      </c>
      <c r="J8" t="s">
        <v>720</v>
      </c>
      <c r="K8">
        <f>COUNTIF($A$1:A8,A8)</f>
        <v>1</v>
      </c>
      <c r="L8" t="str">
        <f>VLOOKUP(A8,'Cadastro de Produtos'!A:B,2,0)</f>
        <v>Windows 7 OEM Home Basic 32 bits F2C-00183</v>
      </c>
      <c r="M8">
        <f t="shared" si="0"/>
        <v>1</v>
      </c>
      <c r="N8">
        <f t="shared" si="1"/>
        <v>0</v>
      </c>
      <c r="O8">
        <f t="shared" si="2"/>
        <v>0</v>
      </c>
      <c r="P8">
        <f t="shared" si="3"/>
        <v>1</v>
      </c>
    </row>
    <row r="9" spans="1:16" x14ac:dyDescent="0.3">
      <c r="A9" t="s">
        <v>440</v>
      </c>
      <c r="B9" t="s">
        <v>12</v>
      </c>
      <c r="C9" s="92">
        <v>42029</v>
      </c>
      <c r="D9" s="46">
        <v>1</v>
      </c>
      <c r="E9" s="47">
        <v>7.74</v>
      </c>
      <c r="F9" t="s">
        <v>33</v>
      </c>
      <c r="J9" t="s">
        <v>720</v>
      </c>
      <c r="K9">
        <f>COUNTIF($A$1:A9,A9)</f>
        <v>1</v>
      </c>
      <c r="L9" t="str">
        <f>VLOOKUP(A9,'Cadastro de Produtos'!A:B,2,0)</f>
        <v>Windows 7 OEM Home Basic 64 bits F2C-00186</v>
      </c>
      <c r="M9">
        <f t="shared" si="0"/>
        <v>1</v>
      </c>
      <c r="N9">
        <f t="shared" si="1"/>
        <v>0</v>
      </c>
      <c r="O9">
        <f t="shared" si="2"/>
        <v>0</v>
      </c>
      <c r="P9">
        <f t="shared" si="3"/>
        <v>1</v>
      </c>
    </row>
    <row r="10" spans="1:16" x14ac:dyDescent="0.3">
      <c r="A10" t="s">
        <v>441</v>
      </c>
      <c r="B10" t="s">
        <v>12</v>
      </c>
      <c r="C10" s="92">
        <v>42029</v>
      </c>
      <c r="D10" s="46">
        <v>3</v>
      </c>
      <c r="E10" s="47">
        <v>5.49</v>
      </c>
      <c r="F10" t="s">
        <v>33</v>
      </c>
      <c r="J10" t="s">
        <v>720</v>
      </c>
      <c r="K10">
        <f>COUNTIF($A$1:A10,A10)</f>
        <v>1</v>
      </c>
      <c r="L10" t="str">
        <f>VLOOKUP(A10,'Cadastro de Produtos'!A:B,2,0)</f>
        <v>Windows 7 OEM Home Premium 32 bits GFC-00624</v>
      </c>
      <c r="M10">
        <f t="shared" si="0"/>
        <v>3</v>
      </c>
      <c r="N10">
        <f t="shared" si="1"/>
        <v>0</v>
      </c>
      <c r="O10">
        <f t="shared" si="2"/>
        <v>0</v>
      </c>
      <c r="P10">
        <f t="shared" si="3"/>
        <v>3</v>
      </c>
    </row>
    <row r="11" spans="1:16" x14ac:dyDescent="0.3">
      <c r="A11" t="s">
        <v>443</v>
      </c>
      <c r="B11" t="s">
        <v>12</v>
      </c>
      <c r="C11" s="92">
        <v>42029</v>
      </c>
      <c r="D11" s="46">
        <v>0.5</v>
      </c>
      <c r="E11" s="47">
        <v>25.08</v>
      </c>
      <c r="F11" t="s">
        <v>33</v>
      </c>
      <c r="J11" t="s">
        <v>720</v>
      </c>
      <c r="K11">
        <f>COUNTIF($A$1:A11,A11)</f>
        <v>1</v>
      </c>
      <c r="L11" t="str">
        <f>VLOOKUP(A11,'Cadastro de Produtos'!A:B,2,0)</f>
        <v>Windows 7 OEM Professional 32 bits FQC-00721</v>
      </c>
      <c r="M11">
        <f t="shared" si="0"/>
        <v>0.5</v>
      </c>
      <c r="N11">
        <f t="shared" si="1"/>
        <v>0</v>
      </c>
      <c r="O11">
        <f t="shared" si="2"/>
        <v>0</v>
      </c>
      <c r="P11">
        <f t="shared" si="3"/>
        <v>0.5</v>
      </c>
    </row>
    <row r="12" spans="1:16" x14ac:dyDescent="0.3">
      <c r="A12" t="s">
        <v>444</v>
      </c>
      <c r="B12" t="s">
        <v>12</v>
      </c>
      <c r="C12" s="92">
        <v>42029</v>
      </c>
      <c r="D12" s="46">
        <v>1</v>
      </c>
      <c r="E12" s="47">
        <v>7.69</v>
      </c>
      <c r="F12" t="s">
        <v>33</v>
      </c>
      <c r="J12" t="s">
        <v>720</v>
      </c>
      <c r="K12">
        <f>COUNTIF($A$1:A12,A12)</f>
        <v>1</v>
      </c>
      <c r="L12" t="str">
        <f>VLOOKUP(A12,'Cadastro de Produtos'!A:B,2,0)</f>
        <v>Windows 7 OEM Professional 64 bits FQC-00756</v>
      </c>
      <c r="M12">
        <f t="shared" si="0"/>
        <v>1</v>
      </c>
      <c r="N12">
        <f t="shared" si="1"/>
        <v>0</v>
      </c>
      <c r="O12">
        <f t="shared" si="2"/>
        <v>0</v>
      </c>
      <c r="P12">
        <f t="shared" si="3"/>
        <v>1</v>
      </c>
    </row>
    <row r="13" spans="1:16" x14ac:dyDescent="0.3">
      <c r="A13" t="s">
        <v>445</v>
      </c>
      <c r="B13" t="s">
        <v>12</v>
      </c>
      <c r="C13" s="92">
        <v>42029</v>
      </c>
      <c r="D13" s="46">
        <v>1</v>
      </c>
      <c r="E13" s="47">
        <v>0.01</v>
      </c>
      <c r="F13" t="s">
        <v>33</v>
      </c>
      <c r="J13" t="s">
        <v>720</v>
      </c>
      <c r="K13">
        <f>COUNTIF($A$1:A13,A13)</f>
        <v>1</v>
      </c>
      <c r="L13" t="str">
        <f>VLOOKUP(A13,'Cadastro de Produtos'!A:B,2,0)</f>
        <v>Windows 7 OEM Starter 32 bits GJC-00102</v>
      </c>
      <c r="M13">
        <f t="shared" si="0"/>
        <v>1</v>
      </c>
      <c r="N13">
        <f t="shared" si="1"/>
        <v>0</v>
      </c>
      <c r="O13">
        <f t="shared" si="2"/>
        <v>0</v>
      </c>
      <c r="P13">
        <f t="shared" si="3"/>
        <v>1</v>
      </c>
    </row>
    <row r="14" spans="1:16" x14ac:dyDescent="0.3">
      <c r="A14" t="s">
        <v>446</v>
      </c>
      <c r="B14" t="s">
        <v>12</v>
      </c>
      <c r="C14" s="92">
        <v>42029</v>
      </c>
      <c r="D14" s="46">
        <v>2</v>
      </c>
      <c r="E14" s="47">
        <v>0.01</v>
      </c>
      <c r="F14" t="s">
        <v>33</v>
      </c>
      <c r="J14" t="s">
        <v>720</v>
      </c>
      <c r="K14">
        <f>COUNTIF($A$1:A14,A14)</f>
        <v>1</v>
      </c>
      <c r="L14" t="str">
        <f>VLOOKUP(A14,'Cadastro de Produtos'!A:B,2,0)</f>
        <v>Windows 7 OEM Ultimate 32 bits GLC-00692</v>
      </c>
      <c r="M14">
        <f t="shared" si="0"/>
        <v>2</v>
      </c>
      <c r="N14">
        <f t="shared" si="1"/>
        <v>0</v>
      </c>
      <c r="O14">
        <f t="shared" si="2"/>
        <v>0</v>
      </c>
      <c r="P14">
        <f t="shared" si="3"/>
        <v>2</v>
      </c>
    </row>
    <row r="15" spans="1:16" x14ac:dyDescent="0.3">
      <c r="A15" t="s">
        <v>447</v>
      </c>
      <c r="B15" t="s">
        <v>12</v>
      </c>
      <c r="C15" s="92">
        <v>42029</v>
      </c>
      <c r="D15" s="46">
        <v>1</v>
      </c>
      <c r="E15" s="47">
        <v>0.01</v>
      </c>
      <c r="F15" t="s">
        <v>33</v>
      </c>
      <c r="J15" t="s">
        <v>720</v>
      </c>
      <c r="K15">
        <f>COUNTIF($A$1:A15,A15)</f>
        <v>1</v>
      </c>
      <c r="L15" t="str">
        <f>VLOOKUP(A15,'Cadastro de Produtos'!A:B,2,0)</f>
        <v>Windows 7 OEM Ultimate 64 bits GLC-00727</v>
      </c>
      <c r="M15">
        <f t="shared" si="0"/>
        <v>1</v>
      </c>
      <c r="N15">
        <f t="shared" si="1"/>
        <v>0</v>
      </c>
      <c r="O15">
        <f t="shared" si="2"/>
        <v>0</v>
      </c>
      <c r="P15">
        <f t="shared" si="3"/>
        <v>1</v>
      </c>
    </row>
    <row r="16" spans="1:16" x14ac:dyDescent="0.3">
      <c r="A16" t="s">
        <v>448</v>
      </c>
      <c r="B16" t="s">
        <v>12</v>
      </c>
      <c r="C16" s="92">
        <v>42029</v>
      </c>
      <c r="D16" s="46">
        <v>2</v>
      </c>
      <c r="E16" s="47">
        <v>590</v>
      </c>
      <c r="F16" t="s">
        <v>33</v>
      </c>
      <c r="J16" t="s">
        <v>720</v>
      </c>
      <c r="K16">
        <f>COUNTIF($A$1:A16,A16)</f>
        <v>1</v>
      </c>
      <c r="L16" t="str">
        <f>VLOOKUP(A16,'Cadastro de Produtos'!A:B,2,0)</f>
        <v>Windows Server 2008 Cal User Single Open Comercial R18-02709</v>
      </c>
      <c r="M16">
        <f t="shared" si="0"/>
        <v>2</v>
      </c>
      <c r="N16">
        <f t="shared" si="1"/>
        <v>0</v>
      </c>
      <c r="O16">
        <f t="shared" si="2"/>
        <v>0</v>
      </c>
      <c r="P16">
        <f t="shared" si="3"/>
        <v>2</v>
      </c>
    </row>
    <row r="17" spans="1:16" x14ac:dyDescent="0.3">
      <c r="A17" t="s">
        <v>449</v>
      </c>
      <c r="B17" t="s">
        <v>12</v>
      </c>
      <c r="C17" s="92">
        <v>42029</v>
      </c>
      <c r="D17" s="46">
        <v>0</v>
      </c>
      <c r="E17" s="47">
        <v>2.81</v>
      </c>
      <c r="F17" t="s">
        <v>33</v>
      </c>
      <c r="J17" t="s">
        <v>720</v>
      </c>
      <c r="K17">
        <f>COUNTIF($A$1:A17,A17)</f>
        <v>1</v>
      </c>
      <c r="L17" t="str">
        <f>VLOOKUP(A17,'Cadastro de Produtos'!A:B,2,0)</f>
        <v>Windows Server 2008 Standard 32/64BITS OEM BR (4CPU-5CLIENTS) P73-04853</v>
      </c>
      <c r="M17">
        <f t="shared" si="0"/>
        <v>0</v>
      </c>
      <c r="N17">
        <f t="shared" si="1"/>
        <v>0</v>
      </c>
      <c r="O17">
        <f t="shared" si="2"/>
        <v>0</v>
      </c>
      <c r="P17">
        <f t="shared" si="3"/>
        <v>0</v>
      </c>
    </row>
    <row r="18" spans="1:16" x14ac:dyDescent="0.3">
      <c r="A18" t="s">
        <v>450</v>
      </c>
      <c r="B18" t="s">
        <v>12</v>
      </c>
      <c r="C18" s="92">
        <v>42029</v>
      </c>
      <c r="D18" s="46">
        <v>1</v>
      </c>
      <c r="E18" s="47">
        <v>3.11</v>
      </c>
      <c r="F18" t="s">
        <v>33</v>
      </c>
      <c r="J18" t="s">
        <v>720</v>
      </c>
      <c r="K18">
        <f>COUNTIF($A$1:A18,A18)</f>
        <v>1</v>
      </c>
      <c r="L18" t="str">
        <f>VLOOKUP(A18,'Cadastro de Produtos'!A:B,2,0)</f>
        <v>Windows Server 2008 Standard Single Open Comercial P73-04190</v>
      </c>
      <c r="M18">
        <f t="shared" si="0"/>
        <v>1</v>
      </c>
      <c r="N18">
        <f t="shared" si="1"/>
        <v>0</v>
      </c>
      <c r="O18">
        <f t="shared" si="2"/>
        <v>0</v>
      </c>
      <c r="P18">
        <f t="shared" si="3"/>
        <v>1</v>
      </c>
    </row>
    <row r="19" spans="1:16" x14ac:dyDescent="0.3">
      <c r="A19" t="s">
        <v>451</v>
      </c>
      <c r="B19" t="s">
        <v>12</v>
      </c>
      <c r="C19" s="92">
        <v>42029</v>
      </c>
      <c r="D19" s="46">
        <v>0.5</v>
      </c>
      <c r="E19" s="47">
        <v>3.11</v>
      </c>
      <c r="F19" t="s">
        <v>33</v>
      </c>
      <c r="J19" t="s">
        <v>720</v>
      </c>
      <c r="K19">
        <f>COUNTIF($A$1:A19,A19)</f>
        <v>1</v>
      </c>
      <c r="L19" t="str">
        <f>VLOOKUP(A19,'Cadastro de Produtos'!A:B,2,0)</f>
        <v>Windows Servr 2008 Standard x64 OEM ING (4CPU-5CLIENTS) P73-04001</v>
      </c>
      <c r="M19">
        <f t="shared" si="0"/>
        <v>0.5</v>
      </c>
      <c r="N19">
        <f t="shared" si="1"/>
        <v>0</v>
      </c>
      <c r="O19">
        <f t="shared" si="2"/>
        <v>0</v>
      </c>
      <c r="P19">
        <f t="shared" si="3"/>
        <v>0.5</v>
      </c>
    </row>
    <row r="20" spans="1:16" x14ac:dyDescent="0.3">
      <c r="A20" t="s">
        <v>452</v>
      </c>
      <c r="B20" t="s">
        <v>12</v>
      </c>
      <c r="C20" s="92">
        <v>42029</v>
      </c>
      <c r="D20" s="46">
        <v>1</v>
      </c>
      <c r="E20" s="47">
        <v>2.39</v>
      </c>
      <c r="F20" t="s">
        <v>33</v>
      </c>
      <c r="J20" t="s">
        <v>720</v>
      </c>
      <c r="K20">
        <f>COUNTIF($A$1:A20,A20)</f>
        <v>1</v>
      </c>
      <c r="L20" t="str">
        <f>VLOOKUP(A20,'Cadastro de Produtos'!A:B,2,0)</f>
        <v>Adaptador DVI-VGA</v>
      </c>
      <c r="M20">
        <f t="shared" si="0"/>
        <v>1</v>
      </c>
      <c r="N20">
        <f t="shared" si="1"/>
        <v>0</v>
      </c>
      <c r="O20">
        <f t="shared" si="2"/>
        <v>0</v>
      </c>
      <c r="P20">
        <f t="shared" si="3"/>
        <v>1</v>
      </c>
    </row>
    <row r="21" spans="1:16" x14ac:dyDescent="0.3">
      <c r="A21" t="s">
        <v>453</v>
      </c>
      <c r="B21" t="s">
        <v>12</v>
      </c>
      <c r="C21" s="92">
        <v>42029</v>
      </c>
      <c r="D21" s="46">
        <v>1.5</v>
      </c>
      <c r="E21" s="47">
        <v>2.59</v>
      </c>
      <c r="F21" t="s">
        <v>33</v>
      </c>
      <c r="J21" t="s">
        <v>720</v>
      </c>
      <c r="K21">
        <f>COUNTIF($A$1:A21,A21)</f>
        <v>1</v>
      </c>
      <c r="L21" t="str">
        <f>VLOOKUP(A21,'Cadastro de Produtos'!A:B,2,0)</f>
        <v>Adaptador de cartão de memória Mini USB</v>
      </c>
      <c r="M21">
        <f t="shared" si="0"/>
        <v>1.5</v>
      </c>
      <c r="N21">
        <f t="shared" si="1"/>
        <v>0</v>
      </c>
      <c r="O21">
        <f t="shared" si="2"/>
        <v>0</v>
      </c>
      <c r="P21">
        <f t="shared" si="3"/>
        <v>1.5</v>
      </c>
    </row>
    <row r="22" spans="1:16" x14ac:dyDescent="0.3">
      <c r="A22" t="s">
        <v>455</v>
      </c>
      <c r="B22" t="s">
        <v>12</v>
      </c>
      <c r="C22" s="92">
        <v>42029</v>
      </c>
      <c r="D22" s="46">
        <v>217</v>
      </c>
      <c r="E22" s="47">
        <v>2.97</v>
      </c>
      <c r="F22" t="s">
        <v>33</v>
      </c>
      <c r="J22" t="s">
        <v>720</v>
      </c>
      <c r="K22">
        <f>COUNTIF($A$1:A22,A22)</f>
        <v>1</v>
      </c>
      <c r="L22" t="str">
        <f>VLOOKUP(A22,'Cadastro de Produtos'!A:B,2,0)</f>
        <v>Adaptador USB Captura Digital</v>
      </c>
      <c r="M22">
        <f t="shared" si="0"/>
        <v>217</v>
      </c>
      <c r="N22">
        <f t="shared" si="1"/>
        <v>0</v>
      </c>
      <c r="O22">
        <f t="shared" si="2"/>
        <v>0</v>
      </c>
      <c r="P22">
        <f t="shared" si="3"/>
        <v>217</v>
      </c>
    </row>
    <row r="23" spans="1:16" x14ac:dyDescent="0.3">
      <c r="A23" t="s">
        <v>456</v>
      </c>
      <c r="B23" t="s">
        <v>12</v>
      </c>
      <c r="C23" s="92">
        <v>42029</v>
      </c>
      <c r="D23" s="46">
        <v>297</v>
      </c>
      <c r="E23" s="47">
        <v>3.06</v>
      </c>
      <c r="F23" t="s">
        <v>33</v>
      </c>
      <c r="J23" t="s">
        <v>720</v>
      </c>
      <c r="K23">
        <f>COUNTIF($A$1:A23,A23)</f>
        <v>1</v>
      </c>
      <c r="L23" t="str">
        <f>VLOOKUP(A23,'Cadastro de Produtos'!A:B,2,0)</f>
        <v>Adaptador USB WIFI n (150 Mbps) com Antena</v>
      </c>
      <c r="M23">
        <f t="shared" si="0"/>
        <v>297</v>
      </c>
      <c r="N23">
        <f t="shared" si="1"/>
        <v>0</v>
      </c>
      <c r="O23">
        <f t="shared" si="2"/>
        <v>0</v>
      </c>
      <c r="P23">
        <f t="shared" si="3"/>
        <v>297</v>
      </c>
    </row>
    <row r="24" spans="1:16" x14ac:dyDescent="0.3">
      <c r="A24" t="s">
        <v>457</v>
      </c>
      <c r="B24" t="s">
        <v>12</v>
      </c>
      <c r="C24" s="92">
        <v>42029</v>
      </c>
      <c r="D24" s="46">
        <v>0.5</v>
      </c>
      <c r="E24" s="47">
        <v>1.7</v>
      </c>
      <c r="F24" t="s">
        <v>33</v>
      </c>
      <c r="J24" t="s">
        <v>720</v>
      </c>
      <c r="K24">
        <f>COUNTIF($A$1:A24,A24)</f>
        <v>1</v>
      </c>
      <c r="L24" t="str">
        <f>VLOOKUP(A24,'Cadastro de Produtos'!A:B,2,0)</f>
        <v>Adaptador Wireless D-Link DWA-645 PCMCIA 300Mbps</v>
      </c>
      <c r="M24">
        <f t="shared" si="0"/>
        <v>0.5</v>
      </c>
      <c r="N24">
        <f t="shared" si="1"/>
        <v>0</v>
      </c>
      <c r="O24">
        <f t="shared" si="2"/>
        <v>0</v>
      </c>
      <c r="P24">
        <f t="shared" si="3"/>
        <v>0.5</v>
      </c>
    </row>
    <row r="25" spans="1:16" x14ac:dyDescent="0.3">
      <c r="A25" t="s">
        <v>463</v>
      </c>
      <c r="B25" t="s">
        <v>12</v>
      </c>
      <c r="C25" s="92">
        <v>42029</v>
      </c>
      <c r="D25" s="46">
        <v>0.5</v>
      </c>
      <c r="E25" s="47">
        <v>475.01</v>
      </c>
      <c r="F25" t="s">
        <v>33</v>
      </c>
      <c r="J25" t="s">
        <v>720</v>
      </c>
      <c r="K25">
        <f>COUNTIF($A$1:A25,A25)</f>
        <v>1</v>
      </c>
      <c r="L25" t="str">
        <f>VLOOKUP(A25,'Cadastro de Produtos'!A:B,2,0)</f>
        <v>Bateria para Notebook HK421 4 cells 14.8V 29Wh GR932</v>
      </c>
      <c r="M25">
        <f t="shared" si="0"/>
        <v>0.5</v>
      </c>
      <c r="N25">
        <f t="shared" si="1"/>
        <v>0</v>
      </c>
      <c r="O25">
        <f t="shared" si="2"/>
        <v>0</v>
      </c>
      <c r="P25">
        <f t="shared" si="3"/>
        <v>0.5</v>
      </c>
    </row>
    <row r="26" spans="1:16" x14ac:dyDescent="0.3">
      <c r="A26" t="s">
        <v>465</v>
      </c>
      <c r="B26" t="s">
        <v>12</v>
      </c>
      <c r="C26" s="92">
        <v>42029</v>
      </c>
      <c r="D26" s="46">
        <v>0</v>
      </c>
      <c r="E26" s="47">
        <v>28.26</v>
      </c>
      <c r="F26" t="s">
        <v>33</v>
      </c>
      <c r="J26" t="s">
        <v>720</v>
      </c>
      <c r="K26">
        <f>COUNTIF($A$1:A26,A26)</f>
        <v>1</v>
      </c>
      <c r="L26" t="str">
        <f>VLOOKUP(A26,'Cadastro de Produtos'!A:B,2,0)</f>
        <v>Bateria para Notebook U4873 9 cells 11.1V 80WH F5126</v>
      </c>
      <c r="M26">
        <f t="shared" si="0"/>
        <v>0</v>
      </c>
      <c r="N26">
        <f t="shared" si="1"/>
        <v>0</v>
      </c>
      <c r="O26">
        <f t="shared" si="2"/>
        <v>0</v>
      </c>
      <c r="P26">
        <f t="shared" si="3"/>
        <v>0</v>
      </c>
    </row>
    <row r="27" spans="1:16" x14ac:dyDescent="0.3">
      <c r="A27" t="s">
        <v>466</v>
      </c>
      <c r="B27" t="s">
        <v>12</v>
      </c>
      <c r="C27" s="92">
        <v>42029</v>
      </c>
      <c r="D27" s="46">
        <v>1</v>
      </c>
      <c r="E27" s="47">
        <v>0.01</v>
      </c>
      <c r="F27" t="s">
        <v>33</v>
      </c>
      <c r="J27" t="s">
        <v>720</v>
      </c>
      <c r="K27">
        <f>COUNTIF($A$1:A27,A27)</f>
        <v>1</v>
      </c>
      <c r="L27" t="str">
        <f>VLOOKUP(A27,'Cadastro de Produtos'!A:B,2,0)</f>
        <v>Battery Cr2032 notebook ASUS F9S</v>
      </c>
      <c r="M27">
        <f t="shared" si="0"/>
        <v>1</v>
      </c>
      <c r="N27">
        <f t="shared" si="1"/>
        <v>0</v>
      </c>
      <c r="O27">
        <f t="shared" si="2"/>
        <v>0</v>
      </c>
      <c r="P27">
        <f t="shared" si="3"/>
        <v>1</v>
      </c>
    </row>
    <row r="28" spans="1:16" x14ac:dyDescent="0.3">
      <c r="A28" t="s">
        <v>467</v>
      </c>
      <c r="B28" t="s">
        <v>12</v>
      </c>
      <c r="C28" s="92">
        <v>42029</v>
      </c>
      <c r="D28" s="46">
        <v>2</v>
      </c>
      <c r="E28" s="47">
        <v>0.89</v>
      </c>
      <c r="F28" t="s">
        <v>33</v>
      </c>
      <c r="J28" t="s">
        <v>720</v>
      </c>
      <c r="K28">
        <f>COUNTIF($A$1:A28,A28)</f>
        <v>1</v>
      </c>
      <c r="L28" t="str">
        <f>VLOOKUP(A28,'Cadastro de Produtos'!A:B,2,0)</f>
        <v>Bluetooth notebook Asus F9S</v>
      </c>
      <c r="M28">
        <f t="shared" si="0"/>
        <v>2</v>
      </c>
      <c r="N28">
        <f t="shared" si="1"/>
        <v>0</v>
      </c>
      <c r="O28">
        <f t="shared" si="2"/>
        <v>0</v>
      </c>
      <c r="P28">
        <f t="shared" si="3"/>
        <v>2</v>
      </c>
    </row>
    <row r="29" spans="1:16" x14ac:dyDescent="0.3">
      <c r="A29" t="s">
        <v>468</v>
      </c>
      <c r="B29" t="s">
        <v>12</v>
      </c>
      <c r="C29" s="92">
        <v>42029</v>
      </c>
      <c r="D29" s="46">
        <v>0</v>
      </c>
      <c r="E29" s="47">
        <v>6</v>
      </c>
      <c r="F29" t="s">
        <v>33</v>
      </c>
      <c r="J29" t="s">
        <v>720</v>
      </c>
      <c r="K29">
        <f>COUNTIF($A$1:A29,A29)</f>
        <v>1</v>
      </c>
      <c r="L29" t="str">
        <f>VLOOKUP(A29,'Cadastro de Produtos'!A:B,2,0)</f>
        <v>Cabo de dados sata</v>
      </c>
      <c r="M29">
        <f t="shared" si="0"/>
        <v>0</v>
      </c>
      <c r="N29">
        <f t="shared" si="1"/>
        <v>0</v>
      </c>
      <c r="O29">
        <f t="shared" si="2"/>
        <v>0</v>
      </c>
      <c r="P29">
        <f t="shared" si="3"/>
        <v>0</v>
      </c>
    </row>
    <row r="30" spans="1:16" x14ac:dyDescent="0.3">
      <c r="A30" t="s">
        <v>469</v>
      </c>
      <c r="B30" t="s">
        <v>12</v>
      </c>
      <c r="C30" s="92">
        <v>42029</v>
      </c>
      <c r="D30" s="46">
        <v>1</v>
      </c>
      <c r="E30" s="47">
        <v>309.89999999999998</v>
      </c>
      <c r="F30" t="s">
        <v>33</v>
      </c>
      <c r="J30" t="s">
        <v>720</v>
      </c>
      <c r="K30">
        <f>COUNTIF($A$1:A30,A30)</f>
        <v>1</v>
      </c>
      <c r="L30" t="str">
        <f>VLOOKUP(A30,'Cadastro de Produtos'!A:B,2,0)</f>
        <v>Cabo de força sata</v>
      </c>
      <c r="M30">
        <f t="shared" si="0"/>
        <v>1</v>
      </c>
      <c r="N30">
        <f t="shared" si="1"/>
        <v>0</v>
      </c>
      <c r="O30">
        <f t="shared" si="2"/>
        <v>0</v>
      </c>
      <c r="P30">
        <f t="shared" si="3"/>
        <v>1</v>
      </c>
    </row>
    <row r="31" spans="1:16" x14ac:dyDescent="0.3">
      <c r="A31" t="s">
        <v>473</v>
      </c>
      <c r="B31" t="s">
        <v>12</v>
      </c>
      <c r="C31" s="92">
        <v>42029</v>
      </c>
      <c r="D31" s="46">
        <v>12</v>
      </c>
      <c r="E31" s="47">
        <v>21.9</v>
      </c>
      <c r="F31" t="s">
        <v>33</v>
      </c>
      <c r="J31" t="s">
        <v>720</v>
      </c>
      <c r="K31">
        <f>COUNTIF($A$1:A31,A31)</f>
        <v>1</v>
      </c>
      <c r="L31" t="str">
        <f>VLOOKUP(A31,'Cadastro de Produtos'!A:B,2,0)</f>
        <v>Caixa cabo de rede Furukawa 305 metros</v>
      </c>
      <c r="M31">
        <f t="shared" si="0"/>
        <v>12</v>
      </c>
      <c r="N31">
        <f t="shared" si="1"/>
        <v>0</v>
      </c>
      <c r="O31">
        <f t="shared" si="2"/>
        <v>0</v>
      </c>
      <c r="P31">
        <f t="shared" si="3"/>
        <v>12</v>
      </c>
    </row>
    <row r="32" spans="1:16" x14ac:dyDescent="0.3">
      <c r="A32" t="s">
        <v>475</v>
      </c>
      <c r="B32" t="s">
        <v>12</v>
      </c>
      <c r="C32" s="92">
        <v>42029</v>
      </c>
      <c r="D32" s="46">
        <v>1</v>
      </c>
      <c r="E32" s="47">
        <v>24.55</v>
      </c>
      <c r="F32" t="s">
        <v>33</v>
      </c>
      <c r="J32" t="s">
        <v>720</v>
      </c>
      <c r="K32">
        <f>COUNTIF($A$1:A32,A32)</f>
        <v>1</v>
      </c>
      <c r="L32" t="str">
        <f>VLOOKUP(A32,'Cadastro de Produtos'!A:B,2,0)</f>
        <v>Carenagem Inferior Asus F9S</v>
      </c>
      <c r="M32">
        <f t="shared" si="0"/>
        <v>1</v>
      </c>
      <c r="N32">
        <f t="shared" si="1"/>
        <v>0</v>
      </c>
      <c r="O32">
        <f t="shared" si="2"/>
        <v>0</v>
      </c>
      <c r="P32">
        <f t="shared" si="3"/>
        <v>1</v>
      </c>
    </row>
    <row r="33" spans="1:16" x14ac:dyDescent="0.3">
      <c r="A33" t="s">
        <v>477</v>
      </c>
      <c r="B33" t="s">
        <v>12</v>
      </c>
      <c r="C33" s="92">
        <v>42029</v>
      </c>
      <c r="D33" s="46">
        <v>47</v>
      </c>
      <c r="E33" s="47">
        <v>0.44</v>
      </c>
      <c r="F33" t="s">
        <v>33</v>
      </c>
      <c r="J33" t="s">
        <v>720</v>
      </c>
      <c r="K33">
        <f>COUNTIF($A$1:A33,A33)</f>
        <v>1</v>
      </c>
      <c r="L33" t="str">
        <f>VLOOKUP(A33,'Cadastro de Produtos'!A:B,2,0)</f>
        <v>Chaveador KVM Trendnet Rack Mount 8 portas TK-801R</v>
      </c>
      <c r="M33">
        <f t="shared" si="0"/>
        <v>47</v>
      </c>
      <c r="N33">
        <f t="shared" si="1"/>
        <v>0</v>
      </c>
      <c r="O33">
        <f t="shared" si="2"/>
        <v>0</v>
      </c>
      <c r="P33">
        <f t="shared" si="3"/>
        <v>47</v>
      </c>
    </row>
    <row r="34" spans="1:16" x14ac:dyDescent="0.3">
      <c r="A34" t="s">
        <v>494</v>
      </c>
      <c r="B34" t="s">
        <v>12</v>
      </c>
      <c r="C34" s="92">
        <v>42029</v>
      </c>
      <c r="D34" s="46">
        <v>1</v>
      </c>
      <c r="E34" s="47">
        <v>56.9</v>
      </c>
      <c r="F34" t="s">
        <v>33</v>
      </c>
      <c r="J34" t="s">
        <v>720</v>
      </c>
      <c r="K34">
        <f>COUNTIF($A$1:A34,A34)</f>
        <v>1</v>
      </c>
      <c r="L34" t="str">
        <f>VLOOKUP(A34,'Cadastro de Produtos'!A:B,2,0)</f>
        <v>Cooler notebook Asus F9S</v>
      </c>
      <c r="M34">
        <f t="shared" si="0"/>
        <v>1</v>
      </c>
      <c r="N34">
        <f t="shared" si="1"/>
        <v>0</v>
      </c>
      <c r="O34">
        <f t="shared" si="2"/>
        <v>0</v>
      </c>
      <c r="P34">
        <f t="shared" si="3"/>
        <v>1</v>
      </c>
    </row>
    <row r="35" spans="1:16" x14ac:dyDescent="0.3">
      <c r="A35" t="s">
        <v>495</v>
      </c>
      <c r="B35" t="s">
        <v>12</v>
      </c>
      <c r="C35" s="92">
        <v>42029</v>
      </c>
      <c r="D35" s="46">
        <v>1</v>
      </c>
      <c r="E35" s="47">
        <v>34</v>
      </c>
      <c r="F35" t="s">
        <v>33</v>
      </c>
      <c r="J35" t="s">
        <v>720</v>
      </c>
      <c r="K35">
        <f>COUNTIF($A$1:A35,A35)</f>
        <v>1</v>
      </c>
      <c r="L35" t="str">
        <f>VLOOKUP(A35,'Cadastro de Produtos'!A:B,2,0)</f>
        <v>Cooler para INTEL Cooler Master Socket 775</v>
      </c>
      <c r="M35">
        <f t="shared" si="0"/>
        <v>1</v>
      </c>
      <c r="N35">
        <f t="shared" si="1"/>
        <v>0</v>
      </c>
      <c r="O35">
        <f t="shared" si="2"/>
        <v>0</v>
      </c>
      <c r="P35">
        <f t="shared" si="3"/>
        <v>1</v>
      </c>
    </row>
    <row r="36" spans="1:16" x14ac:dyDescent="0.3">
      <c r="A36" t="s">
        <v>431</v>
      </c>
      <c r="B36" t="s">
        <v>12</v>
      </c>
      <c r="C36" s="92">
        <v>42029</v>
      </c>
      <c r="D36" s="46">
        <v>0.3</v>
      </c>
      <c r="E36" s="47">
        <v>53.8</v>
      </c>
      <c r="F36" t="s">
        <v>33</v>
      </c>
      <c r="J36" t="s">
        <v>720</v>
      </c>
      <c r="K36">
        <f>COUNTIF($A$1:A36,A36)</f>
        <v>1</v>
      </c>
      <c r="L36" t="str">
        <f>VLOOKUP(A36,'Cadastro de Produtos'!A:B,2,0)</f>
        <v>Web Cam Microsoft Vx-1000 Preta</v>
      </c>
      <c r="M36">
        <f t="shared" si="0"/>
        <v>0.3</v>
      </c>
      <c r="N36">
        <f t="shared" si="1"/>
        <v>0</v>
      </c>
      <c r="O36">
        <f t="shared" si="2"/>
        <v>0</v>
      </c>
      <c r="P36">
        <f t="shared" si="3"/>
        <v>0.3</v>
      </c>
    </row>
    <row r="37" spans="1:16" x14ac:dyDescent="0.3">
      <c r="A37" t="s">
        <v>432</v>
      </c>
      <c r="B37" t="s">
        <v>12</v>
      </c>
      <c r="C37" s="92">
        <v>42029</v>
      </c>
      <c r="D37" s="46">
        <v>1</v>
      </c>
      <c r="E37" s="47">
        <v>5.84</v>
      </c>
      <c r="F37" t="s">
        <v>33</v>
      </c>
      <c r="J37" t="s">
        <v>720</v>
      </c>
      <c r="K37">
        <f>COUNTIF($A$1:A37,A37)</f>
        <v>1</v>
      </c>
      <c r="L37" t="str">
        <f>VLOOKUP(A37,'Cadastro de Produtos'!A:B,2,0)</f>
        <v>Web Cam Mtek MyCam SC1301 1.3MP USB 2.0 Preto Piano</v>
      </c>
      <c r="M37">
        <f t="shared" si="0"/>
        <v>1</v>
      </c>
      <c r="N37">
        <f t="shared" si="1"/>
        <v>0</v>
      </c>
      <c r="O37">
        <f t="shared" si="2"/>
        <v>0</v>
      </c>
      <c r="P37">
        <f t="shared" si="3"/>
        <v>1</v>
      </c>
    </row>
    <row r="38" spans="1:16" x14ac:dyDescent="0.3">
      <c r="A38" t="s">
        <v>489</v>
      </c>
      <c r="B38" t="s">
        <v>12</v>
      </c>
      <c r="C38" s="92">
        <v>42029</v>
      </c>
      <c r="D38" s="46">
        <v>0.9</v>
      </c>
      <c r="E38" s="47">
        <v>56.9</v>
      </c>
      <c r="F38" t="s">
        <v>33</v>
      </c>
      <c r="J38" t="s">
        <v>720</v>
      </c>
      <c r="K38">
        <f>COUNTIF($A$1:A38,A38)</f>
        <v>1</v>
      </c>
      <c r="L38" t="str">
        <f>VLOOKUP(A38,'Cadastro de Produtos'!A:B,2,0)</f>
        <v>Computador Core i7 930 2.88GHz, SSD, HD, 6GB Triple Channel, 1GB ATI 5830, DVD</v>
      </c>
      <c r="M38">
        <f t="shared" si="0"/>
        <v>0.9</v>
      </c>
      <c r="N38">
        <f t="shared" si="1"/>
        <v>0</v>
      </c>
      <c r="O38">
        <f t="shared" si="2"/>
        <v>0</v>
      </c>
      <c r="P38">
        <f t="shared" si="3"/>
        <v>0.9</v>
      </c>
    </row>
    <row r="39" spans="1:16" x14ac:dyDescent="0.3">
      <c r="A39" t="s">
        <v>499</v>
      </c>
      <c r="B39" t="s">
        <v>12</v>
      </c>
      <c r="C39" s="92">
        <v>42029</v>
      </c>
      <c r="D39" s="46">
        <v>0</v>
      </c>
      <c r="E39" s="47">
        <v>157.9</v>
      </c>
      <c r="F39" t="s">
        <v>33</v>
      </c>
      <c r="J39" t="s">
        <v>720</v>
      </c>
      <c r="K39">
        <f>COUNTIF($A$1:A39,A39)</f>
        <v>1</v>
      </c>
      <c r="L39" t="str">
        <f>VLOOKUP(A39,'Cadastro de Produtos'!A:B,2,0)</f>
        <v>Computador Core 2 Quad Q8400 2.66GHz, 320GB, 4GB 800, DVD-RW, LCD 19</v>
      </c>
      <c r="M39">
        <f t="shared" si="0"/>
        <v>0</v>
      </c>
      <c r="N39">
        <f t="shared" si="1"/>
        <v>0</v>
      </c>
      <c r="O39">
        <f t="shared" si="2"/>
        <v>0</v>
      </c>
      <c r="P39">
        <f t="shared" si="3"/>
        <v>0</v>
      </c>
    </row>
    <row r="40" spans="1:16" x14ac:dyDescent="0.3">
      <c r="A40" t="s">
        <v>486</v>
      </c>
      <c r="B40" t="s">
        <v>12</v>
      </c>
      <c r="C40" s="92">
        <v>42029</v>
      </c>
      <c r="D40" s="46">
        <v>1</v>
      </c>
      <c r="E40" s="47">
        <v>192.27</v>
      </c>
      <c r="F40" t="s">
        <v>33</v>
      </c>
      <c r="J40" t="s">
        <v>720</v>
      </c>
      <c r="K40">
        <f>COUNTIF($A$1:A40,A40)</f>
        <v>1</v>
      </c>
      <c r="L40" t="str">
        <f>VLOOKUP(A40,'Cadastro de Produtos'!A:B,2,0)</f>
        <v>Computador Core i3 530 2.93GHz, HD 500GB, 4GB 1333, DVD, 450W</v>
      </c>
      <c r="M40">
        <f t="shared" si="0"/>
        <v>1</v>
      </c>
      <c r="N40">
        <f t="shared" si="1"/>
        <v>0</v>
      </c>
      <c r="O40">
        <f t="shared" si="2"/>
        <v>0</v>
      </c>
      <c r="P40">
        <f t="shared" si="3"/>
        <v>1</v>
      </c>
    </row>
    <row r="41" spans="1:16" x14ac:dyDescent="0.3">
      <c r="A41" t="s">
        <v>442</v>
      </c>
      <c r="B41" t="s">
        <v>12</v>
      </c>
      <c r="C41" s="92">
        <v>42029</v>
      </c>
      <c r="D41" s="46">
        <v>2</v>
      </c>
      <c r="E41" s="47">
        <v>42.5</v>
      </c>
      <c r="F41" t="s">
        <v>33</v>
      </c>
      <c r="J41" t="s">
        <v>720</v>
      </c>
      <c r="K41">
        <f>COUNTIF($A$1:A41,A41)</f>
        <v>1</v>
      </c>
      <c r="L41" t="str">
        <f>VLOOKUP(A41,'Cadastro de Produtos'!A:B,2,0)</f>
        <v>Windows 7 OEM Home Premium 64 bits GFC-00627</v>
      </c>
      <c r="M41">
        <f t="shared" si="0"/>
        <v>2</v>
      </c>
      <c r="N41">
        <f t="shared" si="1"/>
        <v>0</v>
      </c>
      <c r="O41">
        <f t="shared" si="2"/>
        <v>0</v>
      </c>
      <c r="P41">
        <f t="shared" si="3"/>
        <v>2</v>
      </c>
    </row>
    <row r="42" spans="1:16" x14ac:dyDescent="0.3">
      <c r="A42" t="s">
        <v>487</v>
      </c>
      <c r="B42" t="s">
        <v>12</v>
      </c>
      <c r="C42" s="92">
        <v>42029</v>
      </c>
      <c r="D42" s="46">
        <v>1</v>
      </c>
      <c r="E42" s="47">
        <v>129.9</v>
      </c>
      <c r="F42" t="s">
        <v>33</v>
      </c>
      <c r="J42" t="s">
        <v>720</v>
      </c>
      <c r="K42">
        <f>COUNTIF($A$1:A42,A42)</f>
        <v>1</v>
      </c>
      <c r="L42" t="str">
        <f>VLOOKUP(A42,'Cadastro de Produtos'!A:B,2,0)</f>
        <v>Computador Core i5 650 3.20GHz, HD 500GB, 4GB Dual Channel, DVD, 250W</v>
      </c>
      <c r="M42">
        <f t="shared" si="0"/>
        <v>1</v>
      </c>
      <c r="N42">
        <f t="shared" si="1"/>
        <v>0</v>
      </c>
      <c r="O42">
        <f t="shared" si="2"/>
        <v>0</v>
      </c>
      <c r="P42">
        <f t="shared" si="3"/>
        <v>1</v>
      </c>
    </row>
    <row r="43" spans="1:16" x14ac:dyDescent="0.3">
      <c r="A43" t="s">
        <v>488</v>
      </c>
      <c r="B43" t="s">
        <v>12</v>
      </c>
      <c r="C43" s="92">
        <v>42029</v>
      </c>
      <c r="D43" s="46">
        <v>1</v>
      </c>
      <c r="E43" s="47">
        <v>167.49</v>
      </c>
      <c r="F43" t="s">
        <v>33</v>
      </c>
      <c r="J43" t="s">
        <v>720</v>
      </c>
      <c r="K43">
        <f>COUNTIF($A$1:A43,A43)</f>
        <v>1</v>
      </c>
      <c r="L43" t="str">
        <f>VLOOKUP(A43,'Cadastro de Produtos'!A:B,2,0)</f>
        <v>Computador Core i5 750 2.66GHz, HD 500GB, 4GB 1333, 1GB Video, DVD, 350W</v>
      </c>
      <c r="M43">
        <f t="shared" si="0"/>
        <v>1</v>
      </c>
      <c r="N43">
        <f t="shared" si="1"/>
        <v>0</v>
      </c>
      <c r="O43">
        <f t="shared" si="2"/>
        <v>0</v>
      </c>
      <c r="P43">
        <f t="shared" si="3"/>
        <v>1</v>
      </c>
    </row>
    <row r="44" spans="1:16" x14ac:dyDescent="0.3">
      <c r="A44" t="s">
        <v>497</v>
      </c>
      <c r="B44" t="s">
        <v>12</v>
      </c>
      <c r="C44" s="92">
        <v>42029</v>
      </c>
      <c r="D44" s="46">
        <v>0</v>
      </c>
      <c r="E44" s="47">
        <v>181.61</v>
      </c>
      <c r="F44" t="s">
        <v>33</v>
      </c>
      <c r="J44" t="s">
        <v>720</v>
      </c>
      <c r="K44">
        <f>COUNTIF($A$1:A44,A44)</f>
        <v>1</v>
      </c>
      <c r="L44" t="str">
        <f>VLOOKUP(A44,'Cadastro de Produtos'!A:B,2,0)</f>
        <v>Estabilizador MONOVOLT 115V - 300VA - preto</v>
      </c>
      <c r="M44">
        <f t="shared" si="0"/>
        <v>0</v>
      </c>
      <c r="N44">
        <f t="shared" si="1"/>
        <v>0</v>
      </c>
      <c r="O44">
        <f t="shared" si="2"/>
        <v>0</v>
      </c>
      <c r="P44">
        <f t="shared" si="3"/>
        <v>0</v>
      </c>
    </row>
    <row r="45" spans="1:16" x14ac:dyDescent="0.3">
      <c r="A45" t="s">
        <v>464</v>
      </c>
      <c r="B45" t="s">
        <v>12</v>
      </c>
      <c r="C45" s="92">
        <v>42029</v>
      </c>
      <c r="D45" s="46">
        <v>1</v>
      </c>
      <c r="E45" s="47">
        <v>0.01</v>
      </c>
      <c r="F45" t="s">
        <v>33</v>
      </c>
      <c r="J45" t="s">
        <v>720</v>
      </c>
      <c r="K45">
        <f>COUNTIF($A$1:A45,A45)</f>
        <v>1</v>
      </c>
      <c r="L45" t="str">
        <f>VLOOKUP(A45,'Cadastro de Produtos'!A:B,2,0)</f>
        <v>Bateria para Notebook P5413 8 cells 9.6V/4500mAh J9453</v>
      </c>
      <c r="M45">
        <f t="shared" si="0"/>
        <v>1</v>
      </c>
      <c r="N45">
        <f t="shared" si="1"/>
        <v>0</v>
      </c>
      <c r="O45">
        <f t="shared" si="2"/>
        <v>0</v>
      </c>
      <c r="P45">
        <f t="shared" si="3"/>
        <v>1</v>
      </c>
    </row>
    <row r="46" spans="1:16" x14ac:dyDescent="0.3">
      <c r="A46" t="s">
        <v>454</v>
      </c>
      <c r="B46" t="s">
        <v>12</v>
      </c>
      <c r="C46" s="92">
        <v>42029</v>
      </c>
      <c r="D46" s="46">
        <v>1</v>
      </c>
      <c r="E46" s="47">
        <v>40.090000000000003</v>
      </c>
      <c r="F46" t="s">
        <v>33</v>
      </c>
      <c r="J46" t="s">
        <v>720</v>
      </c>
      <c r="K46">
        <f>COUNTIF($A$1:A46,A46)</f>
        <v>1</v>
      </c>
      <c r="L46" t="str">
        <f>VLOOKUP(A46,'Cadastro de Produtos'!A:B,2,0)</f>
        <v>Adaptador DVI-VGA</v>
      </c>
      <c r="M46">
        <f t="shared" si="0"/>
        <v>1</v>
      </c>
      <c r="N46">
        <f t="shared" si="1"/>
        <v>0</v>
      </c>
      <c r="O46">
        <f t="shared" si="2"/>
        <v>0</v>
      </c>
      <c r="P46">
        <f t="shared" si="3"/>
        <v>1</v>
      </c>
    </row>
    <row r="47" spans="1:16" x14ac:dyDescent="0.3">
      <c r="A47" t="s">
        <v>490</v>
      </c>
      <c r="B47" t="s">
        <v>12</v>
      </c>
      <c r="C47" s="92">
        <v>42029</v>
      </c>
      <c r="D47" s="46">
        <v>0.8</v>
      </c>
      <c r="E47" s="47">
        <v>47.9</v>
      </c>
      <c r="F47" t="s">
        <v>33</v>
      </c>
      <c r="J47" t="s">
        <v>720</v>
      </c>
      <c r="K47">
        <f>COUNTIF($A$1:A47,A47)</f>
        <v>1</v>
      </c>
      <c r="L47" t="str">
        <f>VLOOKUP(A47,'Cadastro de Produtos'!A:B,2,0)</f>
        <v>Computador Mini Atom 330 DUAL CORE, HD 250GB, 2GB, DVD, LCD 15.6</v>
      </c>
      <c r="M47">
        <f t="shared" si="0"/>
        <v>0.8</v>
      </c>
      <c r="N47">
        <f t="shared" si="1"/>
        <v>0</v>
      </c>
      <c r="O47">
        <f t="shared" si="2"/>
        <v>0</v>
      </c>
      <c r="P47">
        <f t="shared" si="3"/>
        <v>0.8</v>
      </c>
    </row>
    <row r="48" spans="1:16" x14ac:dyDescent="0.3">
      <c r="A48" t="s">
        <v>659</v>
      </c>
      <c r="B48" t="s">
        <v>12</v>
      </c>
      <c r="C48" s="92">
        <v>42029</v>
      </c>
      <c r="D48" s="46">
        <v>0.7</v>
      </c>
      <c r="E48" s="47">
        <v>28.8</v>
      </c>
      <c r="F48" t="s">
        <v>33</v>
      </c>
      <c r="J48" t="s">
        <v>720</v>
      </c>
      <c r="K48">
        <f>COUNTIF($A$1:A48,A48)</f>
        <v>1</v>
      </c>
      <c r="L48" t="str">
        <f>VLOOKUP(A48,'Cadastro de Produtos'!A:B,2,0)</f>
        <v>Monitor AOC LCD 15 1619Swa Widescreen</v>
      </c>
      <c r="M48">
        <f t="shared" si="0"/>
        <v>0.7</v>
      </c>
      <c r="N48">
        <f t="shared" si="1"/>
        <v>0</v>
      </c>
      <c r="O48">
        <f t="shared" si="2"/>
        <v>0</v>
      </c>
      <c r="P48">
        <f t="shared" si="3"/>
        <v>0.7</v>
      </c>
    </row>
    <row r="49" spans="1:16" x14ac:dyDescent="0.3">
      <c r="A49" t="s">
        <v>498</v>
      </c>
      <c r="B49" t="s">
        <v>12</v>
      </c>
      <c r="C49" s="92">
        <v>42029</v>
      </c>
      <c r="D49" s="46">
        <v>1</v>
      </c>
      <c r="E49" s="47">
        <v>9.9</v>
      </c>
      <c r="F49" t="s">
        <v>33</v>
      </c>
      <c r="J49" t="s">
        <v>720</v>
      </c>
      <c r="K49">
        <f>COUNTIF($A$1:A49,A49)</f>
        <v>1</v>
      </c>
      <c r="L49" t="str">
        <f>VLOOKUP(A49,'Cadastro de Produtos'!A:B,2,0)</f>
        <v>Fan para gabinete</v>
      </c>
      <c r="M49">
        <f t="shared" si="0"/>
        <v>1</v>
      </c>
      <c r="N49">
        <f t="shared" si="1"/>
        <v>0</v>
      </c>
      <c r="O49">
        <f t="shared" si="2"/>
        <v>0</v>
      </c>
      <c r="P49">
        <f t="shared" si="3"/>
        <v>1</v>
      </c>
    </row>
    <row r="50" spans="1:16" x14ac:dyDescent="0.3">
      <c r="A50" t="s">
        <v>470</v>
      </c>
      <c r="B50" t="s">
        <v>12</v>
      </c>
      <c r="C50" s="92">
        <v>42029</v>
      </c>
      <c r="D50" s="46">
        <v>1</v>
      </c>
      <c r="E50" s="47">
        <v>34.9</v>
      </c>
      <c r="F50" t="s">
        <v>33</v>
      </c>
      <c r="J50" t="s">
        <v>720</v>
      </c>
      <c r="K50">
        <f>COUNTIF($A$1:A50,A50)</f>
        <v>1</v>
      </c>
      <c r="L50" t="str">
        <f>VLOOKUP(A50,'Cadastro de Produtos'!A:B,2,0)</f>
        <v>Cabo de rede furukawa Par Trançado (o metro)</v>
      </c>
      <c r="M50">
        <f t="shared" si="0"/>
        <v>1</v>
      </c>
      <c r="N50">
        <f t="shared" si="1"/>
        <v>0</v>
      </c>
      <c r="O50">
        <f t="shared" si="2"/>
        <v>0</v>
      </c>
      <c r="P50">
        <f t="shared" si="3"/>
        <v>1</v>
      </c>
    </row>
    <row r="51" spans="1:16" x14ac:dyDescent="0.3">
      <c r="A51" t="s">
        <v>471</v>
      </c>
      <c r="B51" t="s">
        <v>12</v>
      </c>
      <c r="C51" s="92">
        <v>42029</v>
      </c>
      <c r="D51" s="46">
        <v>1</v>
      </c>
      <c r="E51" s="47">
        <v>101.62</v>
      </c>
      <c r="F51" t="s">
        <v>33</v>
      </c>
      <c r="J51" t="s">
        <v>720</v>
      </c>
      <c r="K51">
        <f>COUNTIF($A$1:A51,A51)</f>
        <v>1</v>
      </c>
      <c r="L51" t="str">
        <f>VLOOKUP(A51,'Cadastro de Produtos'!A:B,2,0)</f>
        <v>CABO HDMI X HDMI com FILTRO - 1,5MT</v>
      </c>
      <c r="M51">
        <f t="shared" si="0"/>
        <v>1</v>
      </c>
      <c r="N51">
        <f t="shared" si="1"/>
        <v>0</v>
      </c>
      <c r="O51">
        <f t="shared" si="2"/>
        <v>0</v>
      </c>
      <c r="P51">
        <f t="shared" si="3"/>
        <v>1</v>
      </c>
    </row>
    <row r="52" spans="1:16" x14ac:dyDescent="0.3">
      <c r="A52" t="s">
        <v>660</v>
      </c>
      <c r="B52" t="s">
        <v>12</v>
      </c>
      <c r="C52" s="92">
        <v>42029</v>
      </c>
      <c r="D52" s="46">
        <v>1</v>
      </c>
      <c r="E52" s="47">
        <v>250.9</v>
      </c>
      <c r="F52" t="s">
        <v>33</v>
      </c>
      <c r="J52" t="s">
        <v>720</v>
      </c>
      <c r="K52">
        <f>COUNTIF($A$1:A52,A52)</f>
        <v>1</v>
      </c>
      <c r="L52" t="str">
        <f>VLOOKUP(A52,'Cadastro de Produtos'!A:B,2,0)</f>
        <v>Monitor AOC LCD 18.5 F19L Widescreen</v>
      </c>
      <c r="M52">
        <f t="shared" si="0"/>
        <v>1</v>
      </c>
      <c r="N52">
        <f t="shared" si="1"/>
        <v>0</v>
      </c>
      <c r="O52">
        <f t="shared" si="2"/>
        <v>0</v>
      </c>
      <c r="P52">
        <f t="shared" si="3"/>
        <v>1</v>
      </c>
    </row>
    <row r="53" spans="1:16" x14ac:dyDescent="0.3">
      <c r="A53" t="s">
        <v>472</v>
      </c>
      <c r="B53" t="s">
        <v>12</v>
      </c>
      <c r="C53" s="92">
        <v>42029</v>
      </c>
      <c r="D53" s="46">
        <v>0.7</v>
      </c>
      <c r="E53" s="47">
        <v>45</v>
      </c>
      <c r="F53" t="s">
        <v>33</v>
      </c>
      <c r="J53" t="s">
        <v>720</v>
      </c>
      <c r="K53">
        <f>COUNTIF($A$1:A53,A53)</f>
        <v>1</v>
      </c>
      <c r="L53" t="str">
        <f>VLOOKUP(A53,'Cadastro de Produtos'!A:B,2,0)</f>
        <v>Cabo USB 2.0 para impressora 1,8</v>
      </c>
      <c r="M53">
        <f t="shared" si="0"/>
        <v>0.7</v>
      </c>
      <c r="N53">
        <f t="shared" si="1"/>
        <v>0</v>
      </c>
      <c r="O53">
        <f t="shared" si="2"/>
        <v>0</v>
      </c>
      <c r="P53">
        <f t="shared" si="3"/>
        <v>0.7</v>
      </c>
    </row>
    <row r="54" spans="1:16" x14ac:dyDescent="0.3">
      <c r="A54" t="s">
        <v>474</v>
      </c>
      <c r="B54" t="s">
        <v>12</v>
      </c>
      <c r="C54" s="92">
        <v>42029</v>
      </c>
      <c r="D54" s="46">
        <v>1</v>
      </c>
      <c r="E54" s="47">
        <v>7.2</v>
      </c>
      <c r="F54" t="s">
        <v>33</v>
      </c>
      <c r="J54" t="s">
        <v>720</v>
      </c>
      <c r="K54">
        <f>COUNTIF($A$1:A54,A54)</f>
        <v>1</v>
      </c>
      <c r="L54" t="str">
        <f>VLOOKUP(A54,'Cadastro de Produtos'!A:B,2,0)</f>
        <v>Caixa de som MTEK SPK785USBP USB (Preto)</v>
      </c>
      <c r="M54">
        <f t="shared" si="0"/>
        <v>1</v>
      </c>
      <c r="N54">
        <f t="shared" si="1"/>
        <v>0</v>
      </c>
      <c r="O54">
        <f t="shared" si="2"/>
        <v>0</v>
      </c>
      <c r="P54">
        <f t="shared" si="3"/>
        <v>1</v>
      </c>
    </row>
    <row r="55" spans="1:16" x14ac:dyDescent="0.3">
      <c r="A55" t="s">
        <v>476</v>
      </c>
      <c r="B55" t="s">
        <v>12</v>
      </c>
      <c r="C55" s="92">
        <v>42029</v>
      </c>
      <c r="D55" s="46">
        <v>0</v>
      </c>
      <c r="E55" s="47">
        <v>44.18</v>
      </c>
      <c r="F55" t="s">
        <v>33</v>
      </c>
      <c r="J55" t="s">
        <v>720</v>
      </c>
      <c r="K55">
        <f>COUNTIF($A$1:A55,A55)</f>
        <v>1</v>
      </c>
      <c r="L55" t="str">
        <f>VLOOKUP(A55,'Cadastro de Produtos'!A:B,2,0)</f>
        <v>Carenagem touchpad ASus F9S</v>
      </c>
      <c r="M55">
        <f t="shared" si="0"/>
        <v>0</v>
      </c>
      <c r="N55">
        <f t="shared" si="1"/>
        <v>0</v>
      </c>
      <c r="O55">
        <f t="shared" si="2"/>
        <v>0</v>
      </c>
      <c r="P55">
        <f t="shared" si="3"/>
        <v>0</v>
      </c>
    </row>
    <row r="56" spans="1:16" x14ac:dyDescent="0.3">
      <c r="A56" t="s">
        <v>492</v>
      </c>
      <c r="B56" t="s">
        <v>12</v>
      </c>
      <c r="C56" s="92">
        <v>42029</v>
      </c>
      <c r="D56" s="46">
        <v>0.85</v>
      </c>
      <c r="E56" s="47">
        <v>87.9</v>
      </c>
      <c r="F56" t="s">
        <v>33</v>
      </c>
      <c r="J56" t="s">
        <v>720</v>
      </c>
      <c r="K56">
        <f>COUNTIF($A$1:A56,A56)</f>
        <v>1</v>
      </c>
      <c r="L56" t="str">
        <f>VLOOKUP(A56,'Cadastro de Produtos'!A:B,2,0)</f>
        <v>Conector RJ45 Furucawa</v>
      </c>
      <c r="M56">
        <f t="shared" si="0"/>
        <v>0.85</v>
      </c>
      <c r="N56">
        <f t="shared" si="1"/>
        <v>0</v>
      </c>
      <c r="O56">
        <f t="shared" si="2"/>
        <v>0</v>
      </c>
      <c r="P56">
        <f t="shared" si="3"/>
        <v>0.85</v>
      </c>
    </row>
    <row r="57" spans="1:16" x14ac:dyDescent="0.3">
      <c r="A57" t="s">
        <v>493</v>
      </c>
      <c r="B57" t="s">
        <v>12</v>
      </c>
      <c r="C57" s="92">
        <v>42029</v>
      </c>
      <c r="D57" s="46">
        <v>1</v>
      </c>
      <c r="E57" s="47">
        <v>265.89999999999998</v>
      </c>
      <c r="F57" t="s">
        <v>33</v>
      </c>
      <c r="J57" t="s">
        <v>720</v>
      </c>
      <c r="K57">
        <f>COUNTIF($A$1:A57,A57)</f>
        <v>1</v>
      </c>
      <c r="L57" t="str">
        <f>VLOOKUP(A57,'Cadastro de Produtos'!A:B,2,0)</f>
        <v>Conversor USB para Som Virtual 7.1</v>
      </c>
      <c r="M57">
        <f t="shared" si="0"/>
        <v>1</v>
      </c>
      <c r="N57">
        <f t="shared" si="1"/>
        <v>0</v>
      </c>
      <c r="O57">
        <f t="shared" si="2"/>
        <v>0</v>
      </c>
      <c r="P57">
        <f t="shared" si="3"/>
        <v>1</v>
      </c>
    </row>
    <row r="58" spans="1:16" x14ac:dyDescent="0.3">
      <c r="A58" t="s">
        <v>500</v>
      </c>
      <c r="B58" t="s">
        <v>12</v>
      </c>
      <c r="C58" s="92">
        <v>42029</v>
      </c>
      <c r="D58" s="46">
        <v>0.9</v>
      </c>
      <c r="E58" s="47">
        <v>43.05</v>
      </c>
      <c r="F58" t="s">
        <v>33</v>
      </c>
      <c r="J58" t="s">
        <v>720</v>
      </c>
      <c r="K58">
        <f>COUNTIF($A$1:A58,A58)</f>
        <v>1</v>
      </c>
      <c r="L58" t="str">
        <f>VLOOKUP(A58,'Cadastro de Produtos'!A:B,2,0)</f>
        <v>Fax Modem 56K PCI</v>
      </c>
      <c r="M58">
        <f t="shared" si="0"/>
        <v>0.9</v>
      </c>
      <c r="N58">
        <f t="shared" si="1"/>
        <v>0</v>
      </c>
      <c r="O58">
        <f t="shared" si="2"/>
        <v>0</v>
      </c>
      <c r="P58">
        <f t="shared" si="3"/>
        <v>0.9</v>
      </c>
    </row>
    <row r="59" spans="1:16" x14ac:dyDescent="0.3">
      <c r="A59" t="s">
        <v>688</v>
      </c>
      <c r="B59" t="s">
        <v>12</v>
      </c>
      <c r="C59" s="92">
        <v>42029</v>
      </c>
      <c r="D59" s="46">
        <v>0</v>
      </c>
      <c r="E59" s="47">
        <v>159.9</v>
      </c>
      <c r="F59" t="s">
        <v>33</v>
      </c>
      <c r="J59" t="s">
        <v>720</v>
      </c>
      <c r="K59">
        <f>COUNTIF($A$1:A59,A59)</f>
        <v>1</v>
      </c>
      <c r="L59" t="str">
        <f>VLOOKUP(A59,'Cadastro de Produtos'!A:B,2,0)</f>
        <v>Mouse Óptico Mtek PM520P PS/2 (Preto)</v>
      </c>
      <c r="M59">
        <f t="shared" si="0"/>
        <v>0</v>
      </c>
      <c r="N59">
        <f t="shared" si="1"/>
        <v>0</v>
      </c>
      <c r="O59">
        <f t="shared" si="2"/>
        <v>0</v>
      </c>
      <c r="P59">
        <f t="shared" si="3"/>
        <v>0</v>
      </c>
    </row>
    <row r="60" spans="1:16" x14ac:dyDescent="0.3">
      <c r="A60" t="s">
        <v>664</v>
      </c>
      <c r="B60" t="s">
        <v>12</v>
      </c>
      <c r="C60" s="92">
        <v>42029</v>
      </c>
      <c r="D60" s="46">
        <v>0</v>
      </c>
      <c r="E60" s="47">
        <v>239.9</v>
      </c>
      <c r="F60" t="s">
        <v>33</v>
      </c>
      <c r="J60" t="s">
        <v>720</v>
      </c>
      <c r="K60">
        <f>COUNTIF($A$1:A60,A60)</f>
        <v>1</v>
      </c>
      <c r="L60" t="str">
        <f>VLOOKUP(A60,'Cadastro de Produtos'!A:B,2,0)</f>
        <v>Monitor LG LCD 19 W1953 Widescreen</v>
      </c>
      <c r="M60">
        <f t="shared" si="0"/>
        <v>0</v>
      </c>
      <c r="N60">
        <f t="shared" si="1"/>
        <v>0</v>
      </c>
      <c r="O60">
        <f t="shared" si="2"/>
        <v>0</v>
      </c>
      <c r="P60">
        <f t="shared" si="3"/>
        <v>0</v>
      </c>
    </row>
    <row r="61" spans="1:16" x14ac:dyDescent="0.3">
      <c r="A61" t="s">
        <v>663</v>
      </c>
      <c r="B61" t="s">
        <v>12</v>
      </c>
      <c r="C61" s="92">
        <v>42029</v>
      </c>
      <c r="D61" s="46">
        <v>1.1000000000000001</v>
      </c>
      <c r="E61" s="47">
        <v>63</v>
      </c>
      <c r="F61" t="s">
        <v>33</v>
      </c>
      <c r="J61" t="s">
        <v>720</v>
      </c>
      <c r="K61">
        <f>COUNTIF($A$1:A61,A61)</f>
        <v>1</v>
      </c>
      <c r="L61" t="str">
        <f>VLOOKUP(A61,'Cadastro de Produtos'!A:B,2,0)</f>
        <v>Monitor LG LCD 18.5 W1943C BR WIDESCREEN</v>
      </c>
      <c r="M61">
        <f t="shared" si="0"/>
        <v>1.1000000000000001</v>
      </c>
      <c r="N61">
        <f t="shared" si="1"/>
        <v>0</v>
      </c>
      <c r="O61">
        <f t="shared" si="2"/>
        <v>0</v>
      </c>
      <c r="P61">
        <f t="shared" si="3"/>
        <v>1.1000000000000001</v>
      </c>
    </row>
    <row r="62" spans="1:16" x14ac:dyDescent="0.3">
      <c r="A62" t="s">
        <v>665</v>
      </c>
      <c r="B62" t="s">
        <v>12</v>
      </c>
      <c r="C62" s="92">
        <v>42029</v>
      </c>
      <c r="D62" s="46">
        <v>1.4</v>
      </c>
      <c r="E62" s="47">
        <v>63</v>
      </c>
      <c r="F62" t="s">
        <v>33</v>
      </c>
      <c r="J62" t="s">
        <v>720</v>
      </c>
      <c r="K62">
        <f>COUNTIF($A$1:A62,A62)</f>
        <v>1</v>
      </c>
      <c r="L62" t="str">
        <f>VLOOKUP(A62,'Cadastro de Produtos'!A:B,2,0)</f>
        <v>Monitor LG LCD 20 W2043S Widescreen</v>
      </c>
      <c r="M62">
        <f t="shared" si="0"/>
        <v>1.4</v>
      </c>
      <c r="N62">
        <f t="shared" si="1"/>
        <v>0</v>
      </c>
      <c r="O62">
        <f t="shared" si="2"/>
        <v>0</v>
      </c>
      <c r="P62">
        <f t="shared" si="3"/>
        <v>1.4</v>
      </c>
    </row>
    <row r="63" spans="1:16" x14ac:dyDescent="0.3">
      <c r="A63" t="s">
        <v>668</v>
      </c>
      <c r="B63" t="s">
        <v>12</v>
      </c>
      <c r="C63" s="92">
        <v>42029</v>
      </c>
      <c r="D63" s="46">
        <v>1</v>
      </c>
      <c r="E63" s="47">
        <v>17.989999999999998</v>
      </c>
      <c r="F63" t="s">
        <v>33</v>
      </c>
      <c r="J63" t="s">
        <v>720</v>
      </c>
      <c r="K63">
        <f>COUNTIF($A$1:A63,A63)</f>
        <v>1</v>
      </c>
      <c r="L63" t="str">
        <f>VLOOKUP(A63,'Cadastro de Produtos'!A:B,2,0)</f>
        <v>Monitor LG LCD 23 W2353V Widescreen</v>
      </c>
      <c r="M63">
        <f t="shared" si="0"/>
        <v>1</v>
      </c>
      <c r="N63">
        <f t="shared" si="1"/>
        <v>0</v>
      </c>
      <c r="O63">
        <f t="shared" si="2"/>
        <v>0</v>
      </c>
      <c r="P63">
        <f t="shared" si="3"/>
        <v>1</v>
      </c>
    </row>
    <row r="64" spans="1:16" x14ac:dyDescent="0.3">
      <c r="A64" t="s">
        <v>670</v>
      </c>
      <c r="B64" t="s">
        <v>12</v>
      </c>
      <c r="C64" s="92">
        <v>42029</v>
      </c>
      <c r="D64" s="46">
        <v>1</v>
      </c>
      <c r="E64" s="47">
        <v>99.9</v>
      </c>
      <c r="F64" t="s">
        <v>33</v>
      </c>
      <c r="J64" t="s">
        <v>720</v>
      </c>
      <c r="K64">
        <f>COUNTIF($A$1:A64,A64)</f>
        <v>1</v>
      </c>
      <c r="L64" t="str">
        <f>VLOOKUP(A64,'Cadastro de Produtos'!A:B,2,0)</f>
        <v>Monitor LG LED 20" E2050T 1600X900 Wide</v>
      </c>
      <c r="M64">
        <f t="shared" si="0"/>
        <v>1</v>
      </c>
      <c r="N64">
        <f t="shared" si="1"/>
        <v>0</v>
      </c>
      <c r="O64">
        <f t="shared" si="2"/>
        <v>0</v>
      </c>
      <c r="P64">
        <f t="shared" si="3"/>
        <v>1</v>
      </c>
    </row>
    <row r="65" spans="1:16" x14ac:dyDescent="0.3">
      <c r="A65" t="s">
        <v>671</v>
      </c>
      <c r="B65" t="s">
        <v>12</v>
      </c>
      <c r="C65" s="92">
        <v>42029</v>
      </c>
      <c r="D65" s="46">
        <v>1</v>
      </c>
      <c r="E65" s="47">
        <v>0.01</v>
      </c>
      <c r="F65" t="s">
        <v>33</v>
      </c>
      <c r="J65" t="s">
        <v>720</v>
      </c>
      <c r="K65">
        <f>COUNTIF($A$1:A65,A65)</f>
        <v>1</v>
      </c>
      <c r="L65" t="str">
        <f>VLOOKUP(A65,'Cadastro de Produtos'!A:B,2,0)</f>
        <v>Monitor LG LED 21,5 E2250 Full HD/HDMI Widescreen</v>
      </c>
      <c r="M65">
        <f t="shared" si="0"/>
        <v>1</v>
      </c>
      <c r="N65">
        <f t="shared" si="1"/>
        <v>0</v>
      </c>
      <c r="O65">
        <f t="shared" si="2"/>
        <v>0</v>
      </c>
      <c r="P65">
        <f t="shared" si="3"/>
        <v>1</v>
      </c>
    </row>
    <row r="66" spans="1:16" x14ac:dyDescent="0.3">
      <c r="A66" t="s">
        <v>661</v>
      </c>
      <c r="B66" t="s">
        <v>12</v>
      </c>
      <c r="C66" s="92">
        <v>42029</v>
      </c>
      <c r="D66" s="46">
        <v>0.3</v>
      </c>
      <c r="E66" s="47">
        <v>0.01</v>
      </c>
      <c r="F66" t="s">
        <v>33</v>
      </c>
      <c r="J66" t="s">
        <v>720</v>
      </c>
      <c r="K66">
        <f>COUNTIF($A$1:A66,A66)</f>
        <v>1</v>
      </c>
      <c r="L66" t="str">
        <f>VLOOKUP(A66,'Cadastro de Produtos'!A:B,2,0)</f>
        <v>Monitor AOC LCD AOC 2236VWA Widescreen</v>
      </c>
      <c r="M66">
        <f t="shared" ref="M66:M129" si="4">SUMIF(B66,"E",D66:D66)</f>
        <v>0.3</v>
      </c>
      <c r="N66">
        <f t="shared" ref="N66:N129" si="5">SUMIF(B66,"S",D66:D66)</f>
        <v>0</v>
      </c>
      <c r="O66">
        <f t="shared" ref="O66:O129" si="6">N66*-1</f>
        <v>0</v>
      </c>
      <c r="P66">
        <f t="shared" ref="P66:P129" si="7">SUM(M66+O66)</f>
        <v>0.3</v>
      </c>
    </row>
    <row r="67" spans="1:16" x14ac:dyDescent="0.3">
      <c r="A67" t="s">
        <v>674</v>
      </c>
      <c r="B67" t="s">
        <v>12</v>
      </c>
      <c r="C67" s="92">
        <v>42029</v>
      </c>
      <c r="D67" s="46">
        <v>0.9</v>
      </c>
      <c r="E67" s="47">
        <v>79.900000000000006</v>
      </c>
      <c r="F67" t="s">
        <v>33</v>
      </c>
      <c r="J67" t="s">
        <v>720</v>
      </c>
      <c r="K67">
        <f>COUNTIF($A$1:A67,A67)</f>
        <v>1</v>
      </c>
      <c r="L67" t="str">
        <f>VLOOKUP(A67,'Cadastro de Produtos'!A:B,2,0)</f>
        <v>Monitor Philips LCD 18.5 185Vw9 Widescreen</v>
      </c>
      <c r="M67">
        <f t="shared" si="4"/>
        <v>0.9</v>
      </c>
      <c r="N67">
        <f t="shared" si="5"/>
        <v>0</v>
      </c>
      <c r="O67">
        <f t="shared" si="6"/>
        <v>0</v>
      </c>
      <c r="P67">
        <f t="shared" si="7"/>
        <v>0.9</v>
      </c>
    </row>
    <row r="68" spans="1:16" x14ac:dyDescent="0.3">
      <c r="A68" t="s">
        <v>675</v>
      </c>
      <c r="B68" t="s">
        <v>12</v>
      </c>
      <c r="C68" s="92">
        <v>42029</v>
      </c>
      <c r="D68" s="46">
        <v>0.9</v>
      </c>
      <c r="E68" s="47">
        <v>79.900000000000006</v>
      </c>
      <c r="F68" t="s">
        <v>33</v>
      </c>
      <c r="J68" t="s">
        <v>720</v>
      </c>
      <c r="K68">
        <f>COUNTIF($A$1:A68,A68)</f>
        <v>1</v>
      </c>
      <c r="L68" t="str">
        <f>VLOOKUP(A68,'Cadastro de Produtos'!A:B,2,0)</f>
        <v>Monitor Samsung LCD 15.6 B1630 Wide</v>
      </c>
      <c r="M68">
        <f t="shared" si="4"/>
        <v>0.9</v>
      </c>
      <c r="N68">
        <f t="shared" si="5"/>
        <v>0</v>
      </c>
      <c r="O68">
        <f t="shared" si="6"/>
        <v>0</v>
      </c>
      <c r="P68">
        <f t="shared" si="7"/>
        <v>0.9</v>
      </c>
    </row>
    <row r="69" spans="1:16" x14ac:dyDescent="0.3">
      <c r="A69" t="s">
        <v>680</v>
      </c>
      <c r="B69" t="s">
        <v>12</v>
      </c>
      <c r="C69" s="92">
        <v>42029</v>
      </c>
      <c r="D69" s="46">
        <v>1.9</v>
      </c>
      <c r="E69" s="47">
        <v>69.900000000000006</v>
      </c>
      <c r="F69" t="s">
        <v>33</v>
      </c>
      <c r="J69" t="s">
        <v>720</v>
      </c>
      <c r="K69">
        <f>COUNTIF($A$1:A69,A69)</f>
        <v>1</v>
      </c>
      <c r="L69" t="str">
        <f>VLOOKUP(A69,'Cadastro de Produtos'!A:B,2,0)</f>
        <v>Monitor Samsung LCD 21,5 B2230N Wide</v>
      </c>
      <c r="M69">
        <f t="shared" si="4"/>
        <v>1.9</v>
      </c>
      <c r="N69">
        <f t="shared" si="5"/>
        <v>0</v>
      </c>
      <c r="O69">
        <f t="shared" si="6"/>
        <v>0</v>
      </c>
      <c r="P69">
        <f t="shared" si="7"/>
        <v>1.9</v>
      </c>
    </row>
    <row r="70" spans="1:16" x14ac:dyDescent="0.3">
      <c r="A70" t="s">
        <v>681</v>
      </c>
      <c r="B70" t="s">
        <v>12</v>
      </c>
      <c r="C70" s="92">
        <v>42029</v>
      </c>
      <c r="D70" s="46">
        <v>1</v>
      </c>
      <c r="E70" s="47">
        <v>72.900000000000006</v>
      </c>
      <c r="F70" t="s">
        <v>33</v>
      </c>
      <c r="J70" t="s">
        <v>720</v>
      </c>
      <c r="K70">
        <f>COUNTIF($A$1:A70,A70)</f>
        <v>1</v>
      </c>
      <c r="L70" t="str">
        <f>VLOOKUP(A70,'Cadastro de Produtos'!A:B,2,0)</f>
        <v>Monitor Samsung LCD 21,5" P2270H Full HD Widescreen</v>
      </c>
      <c r="M70">
        <f t="shared" si="4"/>
        <v>1</v>
      </c>
      <c r="N70">
        <f t="shared" si="5"/>
        <v>0</v>
      </c>
      <c r="O70">
        <f t="shared" si="6"/>
        <v>0</v>
      </c>
      <c r="P70">
        <f t="shared" si="7"/>
        <v>1</v>
      </c>
    </row>
    <row r="71" spans="1:16" x14ac:dyDescent="0.3">
      <c r="A71" t="s">
        <v>682</v>
      </c>
      <c r="B71" t="s">
        <v>12</v>
      </c>
      <c r="C71" s="92">
        <v>42029</v>
      </c>
      <c r="D71" s="46">
        <v>1</v>
      </c>
      <c r="E71" s="47">
        <v>72.900000000000006</v>
      </c>
      <c r="F71" t="s">
        <v>33</v>
      </c>
      <c r="J71" t="s">
        <v>720</v>
      </c>
      <c r="K71">
        <f>COUNTIF($A$1:A71,A71)</f>
        <v>1</v>
      </c>
      <c r="L71" t="str">
        <f>VLOOKUP(A71,'Cadastro de Produtos'!A:B,2,0)</f>
        <v>Monitor Samsung LCD 23 P2370H Rose Black</v>
      </c>
      <c r="M71">
        <f t="shared" si="4"/>
        <v>1</v>
      </c>
      <c r="N71">
        <f t="shared" si="5"/>
        <v>0</v>
      </c>
      <c r="O71">
        <f t="shared" si="6"/>
        <v>0</v>
      </c>
      <c r="P71">
        <f t="shared" si="7"/>
        <v>1</v>
      </c>
    </row>
    <row r="72" spans="1:16" x14ac:dyDescent="0.3">
      <c r="A72" t="s">
        <v>683</v>
      </c>
      <c r="B72" t="s">
        <v>12</v>
      </c>
      <c r="C72" s="92">
        <v>42029</v>
      </c>
      <c r="D72" s="46">
        <v>1</v>
      </c>
      <c r="E72" s="47">
        <v>72.900000000000006</v>
      </c>
      <c r="F72" t="s">
        <v>33</v>
      </c>
      <c r="J72" t="s">
        <v>720</v>
      </c>
      <c r="K72">
        <f>COUNTIF($A$1:A72,A72)</f>
        <v>1</v>
      </c>
      <c r="L72" t="str">
        <f>VLOOKUP(A72,'Cadastro de Produtos'!A:B,2,0)</f>
        <v>Monitor TV Samsung LCD 20" 2033M 1600x900 Wide</v>
      </c>
      <c r="M72">
        <f t="shared" si="4"/>
        <v>1</v>
      </c>
      <c r="N72">
        <f t="shared" si="5"/>
        <v>0</v>
      </c>
      <c r="O72">
        <f t="shared" si="6"/>
        <v>0</v>
      </c>
      <c r="P72">
        <f t="shared" si="7"/>
        <v>1</v>
      </c>
    </row>
    <row r="73" spans="1:16" x14ac:dyDescent="0.3">
      <c r="A73" t="s">
        <v>676</v>
      </c>
      <c r="B73" t="s">
        <v>12</v>
      </c>
      <c r="C73" s="92">
        <v>42029</v>
      </c>
      <c r="D73" s="46">
        <v>1</v>
      </c>
      <c r="E73" s="47">
        <v>74.900000000000006</v>
      </c>
      <c r="F73" t="s">
        <v>33</v>
      </c>
      <c r="J73" t="s">
        <v>720</v>
      </c>
      <c r="K73">
        <f>COUNTIF($A$1:A73,A73)</f>
        <v>1</v>
      </c>
      <c r="L73" t="str">
        <f>VLOOKUP(A73,'Cadastro de Produtos'!A:B,2,0)</f>
        <v>Monitor Samsung LCD 18,5 B1930 1366x768 Wide</v>
      </c>
      <c r="M73">
        <f t="shared" si="4"/>
        <v>1</v>
      </c>
      <c r="N73">
        <f t="shared" si="5"/>
        <v>0</v>
      </c>
      <c r="O73">
        <f t="shared" si="6"/>
        <v>0</v>
      </c>
      <c r="P73">
        <f t="shared" si="7"/>
        <v>1</v>
      </c>
    </row>
    <row r="74" spans="1:16" x14ac:dyDescent="0.3">
      <c r="A74" t="s">
        <v>684</v>
      </c>
      <c r="B74" t="s">
        <v>12</v>
      </c>
      <c r="C74" s="92">
        <v>42029</v>
      </c>
      <c r="D74" s="46">
        <v>1</v>
      </c>
      <c r="E74" s="47">
        <v>59.9</v>
      </c>
      <c r="F74" t="s">
        <v>33</v>
      </c>
      <c r="J74" t="s">
        <v>720</v>
      </c>
      <c r="K74">
        <f>COUNTIF($A$1:A74,A74)</f>
        <v>1</v>
      </c>
      <c r="L74" t="str">
        <f>VLOOKUP(A74,'Cadastro de Produtos'!A:B,2,0)</f>
        <v>Monitor TV Samsung LCD 24" P2470HN 1920x1080 Wide</v>
      </c>
      <c r="M74">
        <f t="shared" si="4"/>
        <v>1</v>
      </c>
      <c r="N74">
        <f t="shared" si="5"/>
        <v>0</v>
      </c>
      <c r="O74">
        <f t="shared" si="6"/>
        <v>0</v>
      </c>
      <c r="P74">
        <f t="shared" si="7"/>
        <v>1</v>
      </c>
    </row>
    <row r="75" spans="1:16" x14ac:dyDescent="0.3">
      <c r="A75" t="s">
        <v>677</v>
      </c>
      <c r="B75" t="s">
        <v>12</v>
      </c>
      <c r="C75" s="92">
        <v>42029</v>
      </c>
      <c r="D75" s="46">
        <v>0.4</v>
      </c>
      <c r="E75" s="47">
        <v>56.05</v>
      </c>
      <c r="F75" t="s">
        <v>33</v>
      </c>
      <c r="J75" t="s">
        <v>720</v>
      </c>
      <c r="K75">
        <f>COUNTIF($A$1:A75,A75)</f>
        <v>1</v>
      </c>
      <c r="L75" t="str">
        <f>VLOOKUP(A75,'Cadastro de Produtos'!A:B,2,0)</f>
        <v>Monitor Samsung LCD 19 LD190G Widescreen</v>
      </c>
      <c r="M75">
        <f t="shared" si="4"/>
        <v>0.4</v>
      </c>
      <c r="N75">
        <f t="shared" si="5"/>
        <v>0</v>
      </c>
      <c r="O75">
        <f t="shared" si="6"/>
        <v>0</v>
      </c>
      <c r="P75">
        <f t="shared" si="7"/>
        <v>0.4</v>
      </c>
    </row>
    <row r="76" spans="1:16" x14ac:dyDescent="0.3">
      <c r="A76" t="s">
        <v>678</v>
      </c>
      <c r="B76" t="s">
        <v>12</v>
      </c>
      <c r="C76" s="92">
        <v>42029</v>
      </c>
      <c r="D76" s="46">
        <v>1</v>
      </c>
      <c r="E76" s="47">
        <v>18</v>
      </c>
      <c r="F76" t="s">
        <v>33</v>
      </c>
      <c r="J76" t="s">
        <v>720</v>
      </c>
      <c r="K76">
        <f>COUNTIF($A$1:A76,A76)</f>
        <v>1</v>
      </c>
      <c r="L76" t="str">
        <f>VLOOKUP(A76,'Cadastro de Produtos'!A:B,2,0)</f>
        <v>Monitor Samsung LCD 20 P2050 Wide</v>
      </c>
      <c r="M76">
        <f t="shared" si="4"/>
        <v>1</v>
      </c>
      <c r="N76">
        <f t="shared" si="5"/>
        <v>0</v>
      </c>
      <c r="O76">
        <f t="shared" si="6"/>
        <v>0</v>
      </c>
      <c r="P76">
        <f t="shared" si="7"/>
        <v>1</v>
      </c>
    </row>
    <row r="77" spans="1:16" x14ac:dyDescent="0.3">
      <c r="A77" t="s">
        <v>685</v>
      </c>
      <c r="B77" t="s">
        <v>12</v>
      </c>
      <c r="C77" s="92">
        <v>42029</v>
      </c>
      <c r="D77" s="46">
        <v>1</v>
      </c>
      <c r="E77" s="47">
        <v>0.01</v>
      </c>
      <c r="F77" t="s">
        <v>33</v>
      </c>
      <c r="J77" t="s">
        <v>720</v>
      </c>
      <c r="K77">
        <f>COUNTIF($A$1:A77,A77)</f>
        <v>1</v>
      </c>
      <c r="L77" t="str">
        <f>VLOOKUP(A77,'Cadastro de Produtos'!A:B,2,0)</f>
        <v>Mouse Optico Microsoft 200 USB Preto NTD-00006</v>
      </c>
      <c r="M77">
        <f t="shared" si="4"/>
        <v>1</v>
      </c>
      <c r="N77">
        <f t="shared" si="5"/>
        <v>0</v>
      </c>
      <c r="O77">
        <f t="shared" si="6"/>
        <v>0</v>
      </c>
      <c r="P77">
        <f t="shared" si="7"/>
        <v>1</v>
      </c>
    </row>
    <row r="78" spans="1:16" x14ac:dyDescent="0.3">
      <c r="A78" t="s">
        <v>686</v>
      </c>
      <c r="B78" t="s">
        <v>12</v>
      </c>
      <c r="C78" s="92">
        <v>42029</v>
      </c>
      <c r="D78" s="46">
        <v>0.3</v>
      </c>
      <c r="E78" s="47">
        <v>79.900000000000006</v>
      </c>
      <c r="F78" t="s">
        <v>33</v>
      </c>
      <c r="J78" t="s">
        <v>720</v>
      </c>
      <c r="K78">
        <f>COUNTIF($A$1:A78,A78)</f>
        <v>1</v>
      </c>
      <c r="L78" t="str">
        <f>VLOOKUP(A78,'Cadastro de Produtos'!A:B,2,0)</f>
        <v>Mouse Óptico Mtek B110 USB (s/ fio)</v>
      </c>
      <c r="M78">
        <f t="shared" si="4"/>
        <v>0.3</v>
      </c>
      <c r="N78">
        <f t="shared" si="5"/>
        <v>0</v>
      </c>
      <c r="O78">
        <f t="shared" si="6"/>
        <v>0</v>
      </c>
      <c r="P78">
        <f t="shared" si="7"/>
        <v>0.3</v>
      </c>
    </row>
    <row r="79" spans="1:16" x14ac:dyDescent="0.3">
      <c r="A79" t="s">
        <v>687</v>
      </c>
      <c r="B79" t="s">
        <v>12</v>
      </c>
      <c r="C79" s="92">
        <v>42029</v>
      </c>
      <c r="D79" s="46">
        <v>0.9</v>
      </c>
      <c r="E79" s="47">
        <v>45</v>
      </c>
      <c r="F79" t="s">
        <v>33</v>
      </c>
      <c r="J79" t="s">
        <v>720</v>
      </c>
      <c r="K79">
        <f>COUNTIF($A$1:A79,A79)</f>
        <v>1</v>
      </c>
      <c r="L79" t="str">
        <f>VLOOKUP(A79,'Cadastro de Produtos'!A:B,2,0)</f>
        <v>Mouse Óptico Mtek MS608 USB (Preto)</v>
      </c>
      <c r="M79">
        <f t="shared" si="4"/>
        <v>0.9</v>
      </c>
      <c r="N79">
        <f t="shared" si="5"/>
        <v>0</v>
      </c>
      <c r="O79">
        <f t="shared" si="6"/>
        <v>0</v>
      </c>
      <c r="P79">
        <f t="shared" si="7"/>
        <v>0.9</v>
      </c>
    </row>
    <row r="80" spans="1:16" x14ac:dyDescent="0.3">
      <c r="A80" t="s">
        <v>690</v>
      </c>
      <c r="B80" t="s">
        <v>12</v>
      </c>
      <c r="C80" s="92">
        <v>42029</v>
      </c>
      <c r="D80" s="46">
        <v>0.9</v>
      </c>
      <c r="E80" s="47">
        <v>59.9</v>
      </c>
      <c r="F80" t="s">
        <v>33</v>
      </c>
      <c r="J80" t="s">
        <v>720</v>
      </c>
      <c r="K80">
        <f>COUNTIF($A$1:A80,A80)</f>
        <v>1</v>
      </c>
      <c r="L80" t="str">
        <f>VLOOKUP(A80,'Cadastro de Produtos'!A:B,2,0)</f>
        <v>Multifuncional HP Officejet J3680 Imp/Scan/Cópia/Fax</v>
      </c>
      <c r="M80">
        <f t="shared" si="4"/>
        <v>0.9</v>
      </c>
      <c r="N80">
        <f t="shared" si="5"/>
        <v>0</v>
      </c>
      <c r="O80">
        <f t="shared" si="6"/>
        <v>0</v>
      </c>
      <c r="P80">
        <f t="shared" si="7"/>
        <v>0.9</v>
      </c>
    </row>
    <row r="81" spans="1:16" x14ac:dyDescent="0.3">
      <c r="A81" t="s">
        <v>691</v>
      </c>
      <c r="B81" t="s">
        <v>12</v>
      </c>
      <c r="C81" s="92">
        <v>42029</v>
      </c>
      <c r="D81" s="46">
        <v>0</v>
      </c>
      <c r="E81" s="47">
        <v>59.9</v>
      </c>
      <c r="F81" t="s">
        <v>33</v>
      </c>
      <c r="J81" t="s">
        <v>720</v>
      </c>
      <c r="K81">
        <f>COUNTIF($A$1:A81,A81)</f>
        <v>1</v>
      </c>
      <c r="L81" t="str">
        <f>VLOOKUP(A81,'Cadastro de Produtos'!A:B,2,0)</f>
        <v>Multifuncional HP Officejet J4660 Imp/Scan/Cópia/Fax InkJet</v>
      </c>
      <c r="M81">
        <f t="shared" si="4"/>
        <v>0</v>
      </c>
      <c r="N81">
        <f t="shared" si="5"/>
        <v>0</v>
      </c>
      <c r="O81">
        <f t="shared" si="6"/>
        <v>0</v>
      </c>
      <c r="P81">
        <f t="shared" si="7"/>
        <v>0</v>
      </c>
    </row>
    <row r="82" spans="1:16" x14ac:dyDescent="0.3">
      <c r="A82" t="s">
        <v>692</v>
      </c>
      <c r="B82" t="s">
        <v>12</v>
      </c>
      <c r="C82" s="92">
        <v>42029</v>
      </c>
      <c r="D82" s="46">
        <v>1</v>
      </c>
      <c r="E82" s="47">
        <v>59.9</v>
      </c>
      <c r="F82" t="s">
        <v>33</v>
      </c>
      <c r="J82" t="s">
        <v>720</v>
      </c>
      <c r="K82">
        <f>COUNTIF($A$1:A82,A82)</f>
        <v>1</v>
      </c>
      <c r="L82" t="str">
        <f>VLOOKUP(A82,'Cadastro de Produtos'!A:B,2,0)</f>
        <v>Multifuncional Lexmark X203N Imp/Scan/Copia Mono Laser</v>
      </c>
      <c r="M82">
        <f t="shared" si="4"/>
        <v>1</v>
      </c>
      <c r="N82">
        <f t="shared" si="5"/>
        <v>0</v>
      </c>
      <c r="O82">
        <f t="shared" si="6"/>
        <v>0</v>
      </c>
      <c r="P82">
        <f t="shared" si="7"/>
        <v>1</v>
      </c>
    </row>
    <row r="83" spans="1:16" x14ac:dyDescent="0.3">
      <c r="A83" t="s">
        <v>694</v>
      </c>
      <c r="B83" t="s">
        <v>12</v>
      </c>
      <c r="C83" s="92">
        <v>42029</v>
      </c>
      <c r="D83" s="46">
        <v>0</v>
      </c>
      <c r="E83" s="47">
        <v>245.62</v>
      </c>
      <c r="F83" t="s">
        <v>33</v>
      </c>
      <c r="J83" t="s">
        <v>720</v>
      </c>
      <c r="K83">
        <f>COUNTIF($A$1:A83,A83)</f>
        <v>1</v>
      </c>
      <c r="L83" t="str">
        <f>VLOOKUP(A83,'Cadastro de Produtos'!A:B,2,0)</f>
        <v>Nobreak APC Bivolt 1200va</v>
      </c>
      <c r="M83">
        <f t="shared" si="4"/>
        <v>0</v>
      </c>
      <c r="N83">
        <f t="shared" si="5"/>
        <v>0</v>
      </c>
      <c r="O83">
        <f t="shared" si="6"/>
        <v>0</v>
      </c>
      <c r="P83">
        <f t="shared" si="7"/>
        <v>0</v>
      </c>
    </row>
    <row r="84" spans="1:16" x14ac:dyDescent="0.3">
      <c r="A84" t="s">
        <v>491</v>
      </c>
      <c r="B84" t="s">
        <v>12</v>
      </c>
      <c r="C84" s="92">
        <v>42029</v>
      </c>
      <c r="D84" s="46">
        <v>0.6</v>
      </c>
      <c r="E84" s="47">
        <v>78.900000000000006</v>
      </c>
      <c r="F84" t="s">
        <v>33</v>
      </c>
      <c r="J84" t="s">
        <v>720</v>
      </c>
      <c r="K84">
        <f>COUNTIF($A$1:A84,A84)</f>
        <v>1</v>
      </c>
      <c r="L84" t="str">
        <f>VLOOKUP(A84,'Cadastro de Produtos'!A:B,2,0)</f>
        <v>Computador Pentium Dual Core E5400 2.7GHz, HD 500GB, 2GB 800, DVD, 450W</v>
      </c>
      <c r="M84">
        <f t="shared" si="4"/>
        <v>0.6</v>
      </c>
      <c r="N84">
        <f t="shared" si="5"/>
        <v>0</v>
      </c>
      <c r="O84">
        <f t="shared" si="6"/>
        <v>0</v>
      </c>
      <c r="P84">
        <f t="shared" si="7"/>
        <v>0.6</v>
      </c>
    </row>
    <row r="85" spans="1:16" x14ac:dyDescent="0.3">
      <c r="A85" t="s">
        <v>672</v>
      </c>
      <c r="B85" t="s">
        <v>12</v>
      </c>
      <c r="C85" s="92">
        <v>42029</v>
      </c>
      <c r="D85" s="46">
        <v>0.7</v>
      </c>
      <c r="E85" s="47">
        <v>207</v>
      </c>
      <c r="F85" t="s">
        <v>33</v>
      </c>
      <c r="J85" t="s">
        <v>720</v>
      </c>
      <c r="K85">
        <f>COUNTIF($A$1:A85,A85)</f>
        <v>1</v>
      </c>
      <c r="L85" t="str">
        <f>VLOOKUP(A85,'Cadastro de Produtos'!A:B,2,0)</f>
        <v>Monitor LG LED 22" E2240S 1920x1080 5ms Wide</v>
      </c>
      <c r="M85">
        <f t="shared" si="4"/>
        <v>0.7</v>
      </c>
      <c r="N85">
        <f t="shared" si="5"/>
        <v>0</v>
      </c>
      <c r="O85">
        <f t="shared" si="6"/>
        <v>0</v>
      </c>
      <c r="P85">
        <f t="shared" si="7"/>
        <v>0.7</v>
      </c>
    </row>
    <row r="86" spans="1:16" x14ac:dyDescent="0.3">
      <c r="A86" t="s">
        <v>696</v>
      </c>
      <c r="B86" t="s">
        <v>12</v>
      </c>
      <c r="C86" s="92">
        <v>42029</v>
      </c>
      <c r="D86" s="46">
        <v>1</v>
      </c>
      <c r="E86" s="47">
        <v>89.9</v>
      </c>
      <c r="F86" t="s">
        <v>33</v>
      </c>
      <c r="J86" t="s">
        <v>720</v>
      </c>
      <c r="K86">
        <f>COUNTIF($A$1:A86,A86)</f>
        <v>1</v>
      </c>
      <c r="L86" t="str">
        <f>VLOOKUP(A86,'Cadastro de Produtos'!A:B,2,0)</f>
        <v>Nobreak APC Bivolt 600VA</v>
      </c>
      <c r="M86">
        <f t="shared" si="4"/>
        <v>1</v>
      </c>
      <c r="N86">
        <f t="shared" si="5"/>
        <v>0</v>
      </c>
      <c r="O86">
        <f t="shared" si="6"/>
        <v>0</v>
      </c>
      <c r="P86">
        <f t="shared" si="7"/>
        <v>1</v>
      </c>
    </row>
    <row r="87" spans="1:16" x14ac:dyDescent="0.3">
      <c r="A87" t="s">
        <v>697</v>
      </c>
      <c r="B87" t="s">
        <v>12</v>
      </c>
      <c r="C87" s="92">
        <v>42029</v>
      </c>
      <c r="D87" s="46">
        <v>1</v>
      </c>
      <c r="E87" s="47">
        <v>0.01</v>
      </c>
      <c r="F87" t="s">
        <v>33</v>
      </c>
      <c r="J87" t="s">
        <v>720</v>
      </c>
      <c r="K87">
        <f>COUNTIF($A$1:A87,A87)</f>
        <v>1</v>
      </c>
      <c r="L87" t="str">
        <f>VLOOKUP(A87,'Cadastro de Produtos'!A:B,2,0)</f>
        <v>Nobreak APC Mono 1500VA</v>
      </c>
      <c r="M87">
        <f t="shared" si="4"/>
        <v>1</v>
      </c>
      <c r="N87">
        <f t="shared" si="5"/>
        <v>0</v>
      </c>
      <c r="O87">
        <f t="shared" si="6"/>
        <v>0</v>
      </c>
      <c r="P87">
        <f t="shared" si="7"/>
        <v>1</v>
      </c>
    </row>
    <row r="88" spans="1:16" x14ac:dyDescent="0.3">
      <c r="A88" t="s">
        <v>496</v>
      </c>
      <c r="B88" t="s">
        <v>12</v>
      </c>
      <c r="C88" s="92">
        <v>42029</v>
      </c>
      <c r="D88" s="46">
        <v>1</v>
      </c>
      <c r="E88" s="47">
        <v>24</v>
      </c>
      <c r="F88" t="s">
        <v>33</v>
      </c>
      <c r="J88" t="s">
        <v>720</v>
      </c>
      <c r="K88">
        <f>COUNTIF($A$1:A88,A88)</f>
        <v>1</v>
      </c>
      <c r="L88" t="str">
        <f>VLOOKUP(A88,'Cadastro de Produtos'!A:B,2,0)</f>
        <v>Estabilizador BIVOLT 115V/220V - 300VA - preto</v>
      </c>
      <c r="M88">
        <f t="shared" si="4"/>
        <v>1</v>
      </c>
      <c r="N88">
        <f t="shared" si="5"/>
        <v>0</v>
      </c>
      <c r="O88">
        <f t="shared" si="6"/>
        <v>0</v>
      </c>
      <c r="P88">
        <f t="shared" si="7"/>
        <v>1</v>
      </c>
    </row>
    <row r="89" spans="1:16" x14ac:dyDescent="0.3">
      <c r="A89" t="s">
        <v>662</v>
      </c>
      <c r="B89" t="s">
        <v>12</v>
      </c>
      <c r="C89" s="92">
        <v>42029</v>
      </c>
      <c r="D89" s="46">
        <v>4</v>
      </c>
      <c r="E89" s="47">
        <v>32.9</v>
      </c>
      <c r="F89" t="s">
        <v>33</v>
      </c>
      <c r="J89" t="s">
        <v>720</v>
      </c>
      <c r="K89">
        <f>COUNTIF($A$1:A89,A89)</f>
        <v>1</v>
      </c>
      <c r="L89" t="str">
        <f>VLOOKUP(A89,'Cadastro de Produtos'!A:B,2,0)</f>
        <v>Monitor LG LCD 15.6 W1643C Widescreen</v>
      </c>
      <c r="M89">
        <f t="shared" si="4"/>
        <v>4</v>
      </c>
      <c r="N89">
        <f t="shared" si="5"/>
        <v>0</v>
      </c>
      <c r="O89">
        <f t="shared" si="6"/>
        <v>0</v>
      </c>
      <c r="P89">
        <f t="shared" si="7"/>
        <v>4</v>
      </c>
    </row>
    <row r="90" spans="1:16" x14ac:dyDescent="0.3">
      <c r="A90" t="s">
        <v>673</v>
      </c>
      <c r="B90" t="s">
        <v>12</v>
      </c>
      <c r="C90" s="92">
        <v>42029</v>
      </c>
      <c r="D90" s="46">
        <v>1</v>
      </c>
      <c r="E90" s="47">
        <v>0.01</v>
      </c>
      <c r="F90" t="s">
        <v>33</v>
      </c>
      <c r="J90" t="s">
        <v>720</v>
      </c>
      <c r="K90">
        <f>COUNTIF($A$1:A90,A90)</f>
        <v>1</v>
      </c>
      <c r="L90" t="str">
        <f>VLOOKUP(A90,'Cadastro de Produtos'!A:B,2,0)</f>
        <v>Monitor Philips LCD 15.6 161VW Widescreen</v>
      </c>
      <c r="M90">
        <f t="shared" si="4"/>
        <v>1</v>
      </c>
      <c r="N90">
        <f t="shared" si="5"/>
        <v>0</v>
      </c>
      <c r="O90">
        <f t="shared" si="6"/>
        <v>0</v>
      </c>
      <c r="P90">
        <f t="shared" si="7"/>
        <v>1</v>
      </c>
    </row>
    <row r="91" spans="1:16" x14ac:dyDescent="0.3">
      <c r="A91" t="s">
        <v>502</v>
      </c>
      <c r="B91" t="s">
        <v>12</v>
      </c>
      <c r="C91" s="92">
        <v>42029</v>
      </c>
      <c r="D91" s="46">
        <v>2</v>
      </c>
      <c r="E91" s="47">
        <v>19.899999999999999</v>
      </c>
      <c r="F91" t="s">
        <v>33</v>
      </c>
      <c r="J91" t="s">
        <v>720</v>
      </c>
      <c r="K91">
        <f>COUNTIF($A$1:A91,A91)</f>
        <v>1</v>
      </c>
      <c r="L91" t="str">
        <f>VLOOKUP(A91,'Cadastro de Produtos'!A:B,2,0)</f>
        <v>Fingerprint F2J notebook Asus F9S</v>
      </c>
      <c r="M91">
        <f t="shared" si="4"/>
        <v>2</v>
      </c>
      <c r="N91">
        <f t="shared" si="5"/>
        <v>0</v>
      </c>
      <c r="O91">
        <f t="shared" si="6"/>
        <v>0</v>
      </c>
      <c r="P91">
        <f t="shared" si="7"/>
        <v>2</v>
      </c>
    </row>
    <row r="92" spans="1:16" x14ac:dyDescent="0.3">
      <c r="A92" t="s">
        <v>503</v>
      </c>
      <c r="B92" t="s">
        <v>12</v>
      </c>
      <c r="C92" s="92">
        <v>42029</v>
      </c>
      <c r="D92" s="46">
        <v>0</v>
      </c>
      <c r="E92" s="47">
        <v>0.01</v>
      </c>
      <c r="F92" t="s">
        <v>33</v>
      </c>
      <c r="J92" t="s">
        <v>720</v>
      </c>
      <c r="K92">
        <f>COUNTIF($A$1:A92,A92)</f>
        <v>1</v>
      </c>
      <c r="L92" t="str">
        <f>VLOOKUP(A92,'Cadastro de Produtos'!A:B,2,0)</f>
        <v>Fone de ouvido Edifier Cyber-Pro CD-6632 Com microfone</v>
      </c>
      <c r="M92">
        <f t="shared" si="4"/>
        <v>0</v>
      </c>
      <c r="N92">
        <f t="shared" si="5"/>
        <v>0</v>
      </c>
      <c r="O92">
        <f t="shared" si="6"/>
        <v>0</v>
      </c>
      <c r="P92">
        <f t="shared" si="7"/>
        <v>0</v>
      </c>
    </row>
    <row r="93" spans="1:16" x14ac:dyDescent="0.3">
      <c r="A93" t="s">
        <v>658</v>
      </c>
      <c r="B93" t="s">
        <v>12</v>
      </c>
      <c r="C93" s="92">
        <v>42029</v>
      </c>
      <c r="D93" s="46">
        <v>5</v>
      </c>
      <c r="E93" s="47">
        <v>25.9</v>
      </c>
      <c r="F93" t="s">
        <v>33</v>
      </c>
      <c r="J93" t="s">
        <v>720</v>
      </c>
      <c r="K93">
        <f>COUNTIF($A$1:A93,A93)</f>
        <v>1</v>
      </c>
      <c r="L93" t="str">
        <f>VLOOKUP(A93,'Cadastro de Produtos'!A:B,2,0)</f>
        <v>Moldura LCD ASUS f9s</v>
      </c>
      <c r="M93">
        <f t="shared" si="4"/>
        <v>5</v>
      </c>
      <c r="N93">
        <f t="shared" si="5"/>
        <v>0</v>
      </c>
      <c r="O93">
        <f t="shared" si="6"/>
        <v>0</v>
      </c>
      <c r="P93">
        <f t="shared" si="7"/>
        <v>5</v>
      </c>
    </row>
    <row r="94" spans="1:16" x14ac:dyDescent="0.3">
      <c r="A94" t="s">
        <v>637</v>
      </c>
      <c r="B94" t="s">
        <v>12</v>
      </c>
      <c r="C94" s="92">
        <v>42029</v>
      </c>
      <c r="D94" s="46">
        <v>17</v>
      </c>
      <c r="E94" s="47">
        <v>0.01</v>
      </c>
      <c r="F94" t="s">
        <v>33</v>
      </c>
      <c r="J94" t="s">
        <v>720</v>
      </c>
      <c r="K94">
        <f>COUNTIF($A$1:A94,A94)</f>
        <v>1</v>
      </c>
      <c r="L94" t="str">
        <f>VLOOKUP(A94,'Cadastro de Produtos'!A:B,2,0)</f>
        <v>Memória DDR2 2GB 667MHz (PC2-5300) Kingston</v>
      </c>
      <c r="M94">
        <f t="shared" si="4"/>
        <v>17</v>
      </c>
      <c r="N94">
        <f t="shared" si="5"/>
        <v>0</v>
      </c>
      <c r="O94">
        <f t="shared" si="6"/>
        <v>0</v>
      </c>
      <c r="P94">
        <f t="shared" si="7"/>
        <v>17</v>
      </c>
    </row>
    <row r="95" spans="1:16" x14ac:dyDescent="0.3">
      <c r="A95" t="s">
        <v>651</v>
      </c>
      <c r="B95" t="s">
        <v>12</v>
      </c>
      <c r="C95" s="92">
        <v>42029</v>
      </c>
      <c r="D95" s="46">
        <v>1</v>
      </c>
      <c r="E95" s="47">
        <v>29.99</v>
      </c>
      <c r="F95" t="s">
        <v>33</v>
      </c>
      <c r="J95" t="s">
        <v>720</v>
      </c>
      <c r="K95">
        <f>COUNTIF($A$1:A95,A95)</f>
        <v>1</v>
      </c>
      <c r="L95" t="str">
        <f>VLOOKUP(A95,'Cadastro de Produtos'!A:B,2,0)</f>
        <v>Memória ECC DDR 1GB 400MHz (PC-3200) Kingston</v>
      </c>
      <c r="M95">
        <f t="shared" si="4"/>
        <v>1</v>
      </c>
      <c r="N95">
        <f t="shared" si="5"/>
        <v>0</v>
      </c>
      <c r="O95">
        <f t="shared" si="6"/>
        <v>0</v>
      </c>
      <c r="P95">
        <f t="shared" si="7"/>
        <v>1</v>
      </c>
    </row>
    <row r="96" spans="1:16" x14ac:dyDescent="0.3">
      <c r="A96" t="s">
        <v>643</v>
      </c>
      <c r="B96" t="s">
        <v>12</v>
      </c>
      <c r="C96" s="92">
        <v>42029</v>
      </c>
      <c r="D96" s="46">
        <v>2</v>
      </c>
      <c r="E96" s="47">
        <v>0.01</v>
      </c>
      <c r="F96" t="s">
        <v>33</v>
      </c>
      <c r="J96" t="s">
        <v>720</v>
      </c>
      <c r="K96">
        <f>COUNTIF($A$1:A96,A96)</f>
        <v>1</v>
      </c>
      <c r="L96" t="str">
        <f>VLOOKUP(A96,'Cadastro de Produtos'!A:B,2,0)</f>
        <v>Memória de Notebook DDR 1GB 266MHz (PC-2100) Kingston</v>
      </c>
      <c r="M96">
        <f t="shared" si="4"/>
        <v>2</v>
      </c>
      <c r="N96">
        <f t="shared" si="5"/>
        <v>0</v>
      </c>
      <c r="O96">
        <f t="shared" si="6"/>
        <v>0</v>
      </c>
      <c r="P96">
        <f t="shared" si="7"/>
        <v>2</v>
      </c>
    </row>
    <row r="97" spans="1:16" x14ac:dyDescent="0.3">
      <c r="A97" t="s">
        <v>638</v>
      </c>
      <c r="B97" t="s">
        <v>12</v>
      </c>
      <c r="C97" s="92">
        <v>42029</v>
      </c>
      <c r="D97" s="46">
        <v>3</v>
      </c>
      <c r="E97" s="47">
        <v>11.89</v>
      </c>
      <c r="F97" t="s">
        <v>33</v>
      </c>
      <c r="J97" t="s">
        <v>720</v>
      </c>
      <c r="K97">
        <f>COUNTIF($A$1:A97,A97)</f>
        <v>1</v>
      </c>
      <c r="L97" t="str">
        <f>VLOOKUP(A97,'Cadastro de Produtos'!A:B,2,0)</f>
        <v>Memória DDR2 2GB 800MHz (PC2-6400) Kingston</v>
      </c>
      <c r="M97">
        <f t="shared" si="4"/>
        <v>3</v>
      </c>
      <c r="N97">
        <f t="shared" si="5"/>
        <v>0</v>
      </c>
      <c r="O97">
        <f t="shared" si="6"/>
        <v>0</v>
      </c>
      <c r="P97">
        <f t="shared" si="7"/>
        <v>3</v>
      </c>
    </row>
    <row r="98" spans="1:16" x14ac:dyDescent="0.3">
      <c r="A98" t="s">
        <v>639</v>
      </c>
      <c r="B98" t="s">
        <v>12</v>
      </c>
      <c r="C98" s="92">
        <v>42029</v>
      </c>
      <c r="D98" s="46">
        <v>1</v>
      </c>
      <c r="E98" s="47">
        <v>11.89</v>
      </c>
      <c r="F98" t="s">
        <v>33</v>
      </c>
      <c r="J98" t="s">
        <v>720</v>
      </c>
      <c r="K98">
        <f>COUNTIF($A$1:A98,A98)</f>
        <v>1</v>
      </c>
      <c r="L98" t="str">
        <f>VLOOKUP(A98,'Cadastro de Produtos'!A:B,2,0)</f>
        <v>Memória DDR2 4GB 667 ECC (Kit 2x2) KVR667D2E5K2/4G Kingston</v>
      </c>
      <c r="M98">
        <f t="shared" si="4"/>
        <v>1</v>
      </c>
      <c r="N98">
        <f t="shared" si="5"/>
        <v>0</v>
      </c>
      <c r="O98">
        <f t="shared" si="6"/>
        <v>0</v>
      </c>
      <c r="P98">
        <f t="shared" si="7"/>
        <v>1</v>
      </c>
    </row>
    <row r="99" spans="1:16" x14ac:dyDescent="0.3">
      <c r="A99" t="s">
        <v>640</v>
      </c>
      <c r="B99" t="s">
        <v>12</v>
      </c>
      <c r="C99" s="92">
        <v>42029</v>
      </c>
      <c r="D99" s="46">
        <v>1</v>
      </c>
      <c r="E99" s="47">
        <v>11.89</v>
      </c>
      <c r="F99" t="s">
        <v>33</v>
      </c>
      <c r="J99" t="s">
        <v>720</v>
      </c>
      <c r="K99">
        <f>COUNTIF($A$1:A99,A99)</f>
        <v>1</v>
      </c>
      <c r="L99" t="str">
        <f>VLOOKUP(A99,'Cadastro de Produtos'!A:B,2,0)</f>
        <v>Memória DDR3 2GB 1333MHz (PC3-10600) Kingston</v>
      </c>
      <c r="M99">
        <f t="shared" si="4"/>
        <v>1</v>
      </c>
      <c r="N99">
        <f t="shared" si="5"/>
        <v>0</v>
      </c>
      <c r="O99">
        <f t="shared" si="6"/>
        <v>0</v>
      </c>
      <c r="P99">
        <f t="shared" si="7"/>
        <v>1</v>
      </c>
    </row>
    <row r="100" spans="1:16" x14ac:dyDescent="0.3">
      <c r="A100" t="s">
        <v>641</v>
      </c>
      <c r="B100" t="s">
        <v>12</v>
      </c>
      <c r="C100" s="92">
        <v>42029</v>
      </c>
      <c r="D100" s="46">
        <v>3</v>
      </c>
      <c r="E100" s="47">
        <v>11.89</v>
      </c>
      <c r="F100" t="s">
        <v>33</v>
      </c>
      <c r="J100" t="s">
        <v>720</v>
      </c>
      <c r="K100">
        <f>COUNTIF($A$1:A100,A100)</f>
        <v>1</v>
      </c>
      <c r="L100" t="str">
        <f>VLOOKUP(A100,'Cadastro de Produtos'!A:B,2,0)</f>
        <v>Memória DDR3 4GB 1333MHz (PC3-10600) Kingston KVR1333D3N9/4G</v>
      </c>
      <c r="M100">
        <f t="shared" si="4"/>
        <v>3</v>
      </c>
      <c r="N100">
        <f t="shared" si="5"/>
        <v>0</v>
      </c>
      <c r="O100">
        <f t="shared" si="6"/>
        <v>0</v>
      </c>
      <c r="P100">
        <f t="shared" si="7"/>
        <v>3</v>
      </c>
    </row>
    <row r="101" spans="1:16" x14ac:dyDescent="0.3">
      <c r="A101" t="s">
        <v>642</v>
      </c>
      <c r="B101" t="s">
        <v>12</v>
      </c>
      <c r="C101" s="92">
        <v>42029</v>
      </c>
      <c r="D101" s="46">
        <v>5</v>
      </c>
      <c r="E101" s="47">
        <v>11.89</v>
      </c>
      <c r="F101" t="s">
        <v>33</v>
      </c>
      <c r="J101" t="s">
        <v>720</v>
      </c>
      <c r="K101">
        <f>COUNTIF($A$1:A101,A101)</f>
        <v>1</v>
      </c>
      <c r="L101" t="str">
        <f>VLOOKUP(A101,'Cadastro de Produtos'!A:B,2,0)</f>
        <v>Memória DDR3 4GB KIT (2x2GB) 1600MHz (PC3-12800) Kingston</v>
      </c>
      <c r="M101">
        <f t="shared" si="4"/>
        <v>5</v>
      </c>
      <c r="N101">
        <f t="shared" si="5"/>
        <v>0</v>
      </c>
      <c r="O101">
        <f t="shared" si="6"/>
        <v>0</v>
      </c>
      <c r="P101">
        <f t="shared" si="7"/>
        <v>5</v>
      </c>
    </row>
    <row r="102" spans="1:16" x14ac:dyDescent="0.3">
      <c r="A102" t="s">
        <v>644</v>
      </c>
      <c r="B102" t="s">
        <v>12</v>
      </c>
      <c r="C102" s="92">
        <v>42029</v>
      </c>
      <c r="D102" s="46">
        <v>1</v>
      </c>
      <c r="E102" s="47">
        <v>16.989999999999998</v>
      </c>
      <c r="F102" t="s">
        <v>33</v>
      </c>
      <c r="J102" t="s">
        <v>720</v>
      </c>
      <c r="K102">
        <f>COUNTIF($A$1:A102,A102)</f>
        <v>1</v>
      </c>
      <c r="L102" t="str">
        <f>VLOOKUP(A102,'Cadastro de Produtos'!A:B,2,0)</f>
        <v>Memória de Notebook DDR 1GB 333MHz (PC-2700) Kingston</v>
      </c>
      <c r="M102">
        <f t="shared" si="4"/>
        <v>1</v>
      </c>
      <c r="N102">
        <f t="shared" si="5"/>
        <v>0</v>
      </c>
      <c r="O102">
        <f t="shared" si="6"/>
        <v>0</v>
      </c>
      <c r="P102">
        <f t="shared" si="7"/>
        <v>1</v>
      </c>
    </row>
    <row r="103" spans="1:16" x14ac:dyDescent="0.3">
      <c r="A103" t="s">
        <v>645</v>
      </c>
      <c r="B103" t="s">
        <v>12</v>
      </c>
      <c r="C103" s="92">
        <v>42029</v>
      </c>
      <c r="D103" s="46">
        <v>1</v>
      </c>
      <c r="E103" s="47">
        <v>16.989999999999998</v>
      </c>
      <c r="F103" t="s">
        <v>33</v>
      </c>
      <c r="J103" t="s">
        <v>720</v>
      </c>
      <c r="K103">
        <f>COUNTIF($A$1:A103,A103)</f>
        <v>1</v>
      </c>
      <c r="L103" t="str">
        <f>VLOOKUP(A103,'Cadastro de Produtos'!A:B,2,0)</f>
        <v>Memória de Notebook DDR 1GB 400MHz (PC-3200) Kingston</v>
      </c>
      <c r="M103">
        <f t="shared" si="4"/>
        <v>1</v>
      </c>
      <c r="N103">
        <f t="shared" si="5"/>
        <v>0</v>
      </c>
      <c r="O103">
        <f t="shared" si="6"/>
        <v>0</v>
      </c>
      <c r="P103">
        <f t="shared" si="7"/>
        <v>1</v>
      </c>
    </row>
    <row r="104" spans="1:16" x14ac:dyDescent="0.3">
      <c r="A104" t="s">
        <v>646</v>
      </c>
      <c r="B104" t="s">
        <v>12</v>
      </c>
      <c r="C104" s="92">
        <v>42029</v>
      </c>
      <c r="D104" s="46">
        <v>4</v>
      </c>
      <c r="E104" s="47">
        <v>16.989999999999998</v>
      </c>
      <c r="F104" t="s">
        <v>33</v>
      </c>
      <c r="J104" t="s">
        <v>720</v>
      </c>
      <c r="K104">
        <f>COUNTIF($A$1:A104,A104)</f>
        <v>1</v>
      </c>
      <c r="L104" t="str">
        <f>VLOOKUP(A104,'Cadastro de Produtos'!A:B,2,0)</f>
        <v>Memória de Notebook DDR2 1GB 533MHz (PC2-4200) Kingston</v>
      </c>
      <c r="M104">
        <f t="shared" si="4"/>
        <v>4</v>
      </c>
      <c r="N104">
        <f t="shared" si="5"/>
        <v>0</v>
      </c>
      <c r="O104">
        <f t="shared" si="6"/>
        <v>0</v>
      </c>
      <c r="P104">
        <f t="shared" si="7"/>
        <v>4</v>
      </c>
    </row>
    <row r="105" spans="1:16" x14ac:dyDescent="0.3">
      <c r="A105" t="s">
        <v>647</v>
      </c>
      <c r="B105" t="s">
        <v>12</v>
      </c>
      <c r="C105" s="92">
        <v>42029</v>
      </c>
      <c r="D105" s="46">
        <v>4</v>
      </c>
      <c r="E105" s="47">
        <v>16.989999999999998</v>
      </c>
      <c r="F105" t="s">
        <v>33</v>
      </c>
      <c r="J105" t="s">
        <v>720</v>
      </c>
      <c r="K105">
        <f>COUNTIF($A$1:A105,A105)</f>
        <v>1</v>
      </c>
      <c r="L105" t="str">
        <f>VLOOKUP(A105,'Cadastro de Produtos'!A:B,2,0)</f>
        <v>Memória de Notebook DDR2 1GB 667MHz (PC2-5300) Kingston</v>
      </c>
      <c r="M105">
        <f t="shared" si="4"/>
        <v>4</v>
      </c>
      <c r="N105">
        <f t="shared" si="5"/>
        <v>0</v>
      </c>
      <c r="O105">
        <f t="shared" si="6"/>
        <v>0</v>
      </c>
      <c r="P105">
        <f t="shared" si="7"/>
        <v>4</v>
      </c>
    </row>
    <row r="106" spans="1:16" x14ac:dyDescent="0.3">
      <c r="A106" t="s">
        <v>648</v>
      </c>
      <c r="B106" t="s">
        <v>12</v>
      </c>
      <c r="C106" s="92">
        <v>42029</v>
      </c>
      <c r="D106" s="46">
        <v>4</v>
      </c>
      <c r="E106" s="47">
        <v>16.989999999999998</v>
      </c>
      <c r="F106" t="s">
        <v>33</v>
      </c>
      <c r="J106" t="s">
        <v>720</v>
      </c>
      <c r="K106">
        <f>COUNTIF($A$1:A106,A106)</f>
        <v>1</v>
      </c>
      <c r="L106" t="str">
        <f>VLOOKUP(A106,'Cadastro de Produtos'!A:B,2,0)</f>
        <v>Memória de Notebook DDR2 2GB 667MHz (PC2-5300) Kingston</v>
      </c>
      <c r="M106">
        <f t="shared" si="4"/>
        <v>4</v>
      </c>
      <c r="N106">
        <f t="shared" si="5"/>
        <v>0</v>
      </c>
      <c r="O106">
        <f t="shared" si="6"/>
        <v>0</v>
      </c>
      <c r="P106">
        <f t="shared" si="7"/>
        <v>4</v>
      </c>
    </row>
    <row r="107" spans="1:16" x14ac:dyDescent="0.3">
      <c r="A107" t="s">
        <v>652</v>
      </c>
      <c r="B107" t="s">
        <v>12</v>
      </c>
      <c r="C107" s="92">
        <v>42029</v>
      </c>
      <c r="D107" s="46">
        <v>0.5</v>
      </c>
      <c r="E107" s="47">
        <v>27.9</v>
      </c>
      <c r="F107" t="s">
        <v>33</v>
      </c>
      <c r="J107" t="s">
        <v>720</v>
      </c>
      <c r="K107">
        <f>COUNTIF($A$1:A107,A107)</f>
        <v>1</v>
      </c>
      <c r="L107" t="str">
        <f>VLOOKUP(A107,'Cadastro de Produtos'!A:B,2,0)</f>
        <v>Memória ECC DDR2 2GB 667MHz PC2 5300 (KVR667D2S4F5/2G) Kingston</v>
      </c>
      <c r="M107">
        <f t="shared" si="4"/>
        <v>0.5</v>
      </c>
      <c r="N107">
        <f t="shared" si="5"/>
        <v>0</v>
      </c>
      <c r="O107">
        <f t="shared" si="6"/>
        <v>0</v>
      </c>
      <c r="P107">
        <f t="shared" si="7"/>
        <v>0.5</v>
      </c>
    </row>
    <row r="108" spans="1:16" x14ac:dyDescent="0.3">
      <c r="A108" t="s">
        <v>649</v>
      </c>
      <c r="B108" t="s">
        <v>12</v>
      </c>
      <c r="C108" s="92">
        <v>42029</v>
      </c>
      <c r="D108" s="46">
        <v>5</v>
      </c>
      <c r="E108" s="47">
        <v>16.989999999999998</v>
      </c>
      <c r="F108" t="s">
        <v>33</v>
      </c>
      <c r="J108" t="s">
        <v>720</v>
      </c>
      <c r="K108">
        <f>COUNTIF($A$1:A108,A108)</f>
        <v>1</v>
      </c>
      <c r="L108" t="str">
        <f>VLOOKUP(A108,'Cadastro de Produtos'!A:B,2,0)</f>
        <v>Memória de Notebook DDR2 512MB 667MHz (PC2-5300)</v>
      </c>
      <c r="M108">
        <f t="shared" si="4"/>
        <v>5</v>
      </c>
      <c r="N108">
        <f t="shared" si="5"/>
        <v>0</v>
      </c>
      <c r="O108">
        <f t="shared" si="6"/>
        <v>0</v>
      </c>
      <c r="P108">
        <f t="shared" si="7"/>
        <v>5</v>
      </c>
    </row>
    <row r="109" spans="1:16" x14ac:dyDescent="0.3">
      <c r="A109" t="s">
        <v>650</v>
      </c>
      <c r="B109" t="s">
        <v>12</v>
      </c>
      <c r="C109" s="92">
        <v>42029</v>
      </c>
      <c r="D109" s="46">
        <v>6</v>
      </c>
      <c r="E109" s="47">
        <v>16.989999999999998</v>
      </c>
      <c r="F109" t="s">
        <v>33</v>
      </c>
      <c r="J109" t="s">
        <v>720</v>
      </c>
      <c r="K109">
        <f>COUNTIF($A$1:A109,A109)</f>
        <v>1</v>
      </c>
      <c r="L109" t="str">
        <f>VLOOKUP(A109,'Cadastro de Produtos'!A:B,2,0)</f>
        <v>Memória ECC DDR 1GB 333MHz (PC-2700) Kingston</v>
      </c>
      <c r="M109">
        <f t="shared" si="4"/>
        <v>6</v>
      </c>
      <c r="N109">
        <f t="shared" si="5"/>
        <v>0</v>
      </c>
      <c r="O109">
        <f t="shared" si="6"/>
        <v>0</v>
      </c>
      <c r="P109">
        <f t="shared" si="7"/>
        <v>6</v>
      </c>
    </row>
    <row r="110" spans="1:16" x14ac:dyDescent="0.3">
      <c r="A110" t="s">
        <v>653</v>
      </c>
      <c r="B110" t="s">
        <v>12</v>
      </c>
      <c r="C110" s="92">
        <v>42029</v>
      </c>
      <c r="D110" s="46">
        <v>3.5</v>
      </c>
      <c r="E110" s="47">
        <v>0.01</v>
      </c>
      <c r="F110" t="s">
        <v>33</v>
      </c>
      <c r="J110" t="s">
        <v>720</v>
      </c>
      <c r="K110">
        <f>COUNTIF($A$1:A110,A110)</f>
        <v>1</v>
      </c>
      <c r="L110" t="str">
        <f>VLOOKUP(A110,'Cadastro de Produtos'!A:B,2,0)</f>
        <v>Memória ECC DDR2 4GB 667MHz PC2 5300 (KVR667D2D4F5/4G) Kingston</v>
      </c>
      <c r="M110">
        <f t="shared" si="4"/>
        <v>3.5</v>
      </c>
      <c r="N110">
        <f t="shared" si="5"/>
        <v>0</v>
      </c>
      <c r="O110">
        <f t="shared" si="6"/>
        <v>0</v>
      </c>
      <c r="P110">
        <f t="shared" si="7"/>
        <v>3.5</v>
      </c>
    </row>
    <row r="111" spans="1:16" x14ac:dyDescent="0.3">
      <c r="A111" t="s">
        <v>654</v>
      </c>
      <c r="B111" t="s">
        <v>12</v>
      </c>
      <c r="C111" s="92">
        <v>42029</v>
      </c>
      <c r="D111" s="46">
        <v>1</v>
      </c>
      <c r="E111" s="47">
        <v>0.01</v>
      </c>
      <c r="F111" t="s">
        <v>33</v>
      </c>
      <c r="J111" t="s">
        <v>720</v>
      </c>
      <c r="K111">
        <f>COUNTIF($A$1:A111,A111)</f>
        <v>1</v>
      </c>
      <c r="L111" t="str">
        <f>VLOOKUP(A111,'Cadastro de Produtos'!A:B,2,0)</f>
        <v>Memória ECC DDR3 2GB 1333MHz (PC3-10600) KVR1333D3E9S/2GI Kingston</v>
      </c>
      <c r="M111">
        <f t="shared" si="4"/>
        <v>1</v>
      </c>
      <c r="N111">
        <f t="shared" si="5"/>
        <v>0</v>
      </c>
      <c r="O111">
        <f t="shared" si="6"/>
        <v>0</v>
      </c>
      <c r="P111">
        <f t="shared" si="7"/>
        <v>1</v>
      </c>
    </row>
    <row r="112" spans="1:16" x14ac:dyDescent="0.3">
      <c r="A112" t="s">
        <v>655</v>
      </c>
      <c r="B112" t="s">
        <v>12</v>
      </c>
      <c r="C112" s="92">
        <v>42029</v>
      </c>
      <c r="D112" s="46">
        <v>2</v>
      </c>
      <c r="E112" s="47">
        <v>0.01</v>
      </c>
      <c r="F112" t="s">
        <v>33</v>
      </c>
      <c r="J112" t="s">
        <v>720</v>
      </c>
      <c r="K112">
        <f>COUNTIF($A$1:A112,A112)</f>
        <v>1</v>
      </c>
      <c r="L112" t="str">
        <f>VLOOKUP(A112,'Cadastro de Produtos'!A:B,2,0)</f>
        <v>Memória ECC DDR3 4GB 1333MHz (PC3-10600) KVR1333D3D4R9S/4GI Kingston</v>
      </c>
      <c r="M112">
        <f t="shared" si="4"/>
        <v>2</v>
      </c>
      <c r="N112">
        <f t="shared" si="5"/>
        <v>0</v>
      </c>
      <c r="O112">
        <f t="shared" si="6"/>
        <v>0</v>
      </c>
      <c r="P112">
        <f t="shared" si="7"/>
        <v>2</v>
      </c>
    </row>
    <row r="113" spans="1:16" x14ac:dyDescent="0.3">
      <c r="A113" t="s">
        <v>656</v>
      </c>
      <c r="B113" t="s">
        <v>12</v>
      </c>
      <c r="C113" s="92">
        <v>42029</v>
      </c>
      <c r="D113" s="46">
        <v>0</v>
      </c>
      <c r="E113" s="47">
        <v>0.01</v>
      </c>
      <c r="F113" t="s">
        <v>33</v>
      </c>
      <c r="J113" t="s">
        <v>720</v>
      </c>
      <c r="K113">
        <f>COUNTIF($A$1:A113,A113)</f>
        <v>1</v>
      </c>
      <c r="L113" t="str">
        <f>VLOOKUP(A113,'Cadastro de Produtos'!A:B,2,0)</f>
        <v>Mini Bluetooth USB</v>
      </c>
      <c r="M113">
        <f t="shared" si="4"/>
        <v>0</v>
      </c>
      <c r="N113">
        <f t="shared" si="5"/>
        <v>0</v>
      </c>
      <c r="O113">
        <f t="shared" si="6"/>
        <v>0</v>
      </c>
      <c r="P113">
        <f t="shared" si="7"/>
        <v>0</v>
      </c>
    </row>
    <row r="114" spans="1:16" x14ac:dyDescent="0.3">
      <c r="A114" t="s">
        <v>657</v>
      </c>
      <c r="B114" t="s">
        <v>12</v>
      </c>
      <c r="C114" s="92">
        <v>42029</v>
      </c>
      <c r="D114" s="46">
        <v>2</v>
      </c>
      <c r="E114" s="47">
        <v>0.01</v>
      </c>
      <c r="F114" t="s">
        <v>33</v>
      </c>
      <c r="J114" t="s">
        <v>720</v>
      </c>
      <c r="K114">
        <f>COUNTIF($A$1:A114,A114)</f>
        <v>1</v>
      </c>
      <c r="L114" t="str">
        <f>VLOOKUP(A114,'Cadastro de Produtos'!A:B,2,0)</f>
        <v>Modem notebook Asus A8J A8 Z99 56k Laptop internal B93M1015-F</v>
      </c>
      <c r="M114">
        <f t="shared" si="4"/>
        <v>2</v>
      </c>
      <c r="N114">
        <f t="shared" si="5"/>
        <v>0</v>
      </c>
      <c r="O114">
        <f t="shared" si="6"/>
        <v>0</v>
      </c>
      <c r="P114">
        <f t="shared" si="7"/>
        <v>2</v>
      </c>
    </row>
    <row r="115" spans="1:16" x14ac:dyDescent="0.3">
      <c r="A115" t="s">
        <v>693</v>
      </c>
      <c r="B115" t="s">
        <v>12</v>
      </c>
      <c r="C115" s="92">
        <v>42029</v>
      </c>
      <c r="D115" s="46">
        <v>1</v>
      </c>
      <c r="E115" s="47">
        <v>245.62</v>
      </c>
      <c r="F115" t="s">
        <v>33</v>
      </c>
      <c r="J115" t="s">
        <v>720</v>
      </c>
      <c r="K115">
        <f>COUNTIF($A$1:A115,A115)</f>
        <v>1</v>
      </c>
      <c r="L115" t="str">
        <f>VLOOKUP(A115,'Cadastro de Produtos'!A:B,2,0)</f>
        <v>Multifuncional Samsung SCX-4600L/XAZ Laser Mono 1200x1200dpi 22ppm 64MB</v>
      </c>
      <c r="M115">
        <f t="shared" si="4"/>
        <v>1</v>
      </c>
      <c r="N115">
        <f t="shared" si="5"/>
        <v>0</v>
      </c>
      <c r="O115">
        <f t="shared" si="6"/>
        <v>0</v>
      </c>
      <c r="P115">
        <f t="shared" si="7"/>
        <v>1</v>
      </c>
    </row>
    <row r="116" spans="1:16" x14ac:dyDescent="0.3">
      <c r="A116" t="s">
        <v>458</v>
      </c>
      <c r="B116" t="s">
        <v>12</v>
      </c>
      <c r="C116" s="92">
        <v>42029</v>
      </c>
      <c r="D116" s="46">
        <v>68</v>
      </c>
      <c r="E116" s="47">
        <v>0.01</v>
      </c>
      <c r="F116" t="s">
        <v>33</v>
      </c>
      <c r="J116" t="s">
        <v>720</v>
      </c>
      <c r="K116">
        <f>COUNTIF($A$1:A116,A116)</f>
        <v>1</v>
      </c>
      <c r="L116" t="str">
        <f>VLOOKUP(A116,'Cadastro de Produtos'!A:B,2,0)</f>
        <v>Adaptador Wireless ENCORE ENLWI-NX2 PCI 300MBPS 802.11n</v>
      </c>
      <c r="M116">
        <f t="shared" si="4"/>
        <v>68</v>
      </c>
      <c r="N116">
        <f t="shared" si="5"/>
        <v>0</v>
      </c>
      <c r="O116">
        <f t="shared" si="6"/>
        <v>0</v>
      </c>
      <c r="P116">
        <f t="shared" si="7"/>
        <v>68</v>
      </c>
    </row>
    <row r="117" spans="1:16" x14ac:dyDescent="0.3">
      <c r="A117" t="s">
        <v>459</v>
      </c>
      <c r="B117" t="s">
        <v>12</v>
      </c>
      <c r="C117" s="92">
        <v>42029</v>
      </c>
      <c r="D117" s="46">
        <v>24</v>
      </c>
      <c r="E117" s="47">
        <v>0.01</v>
      </c>
      <c r="F117" t="s">
        <v>33</v>
      </c>
      <c r="J117" t="s">
        <v>720</v>
      </c>
      <c r="K117">
        <f>COUNTIF($A$1:A117,A117)</f>
        <v>1</v>
      </c>
      <c r="L117" t="str">
        <f>VLOOKUP(A117,'Cadastro de Produtos'!A:B,2,0)</f>
        <v>Adaptador Wireless TP-LINK TL-WN620G USB</v>
      </c>
      <c r="M117">
        <f t="shared" si="4"/>
        <v>24</v>
      </c>
      <c r="N117">
        <f t="shared" si="5"/>
        <v>0</v>
      </c>
      <c r="O117">
        <f t="shared" si="6"/>
        <v>0</v>
      </c>
      <c r="P117">
        <f t="shared" si="7"/>
        <v>24</v>
      </c>
    </row>
    <row r="118" spans="1:16" x14ac:dyDescent="0.3">
      <c r="A118" t="s">
        <v>460</v>
      </c>
      <c r="B118" t="s">
        <v>12</v>
      </c>
      <c r="C118" s="92">
        <v>42029</v>
      </c>
      <c r="D118" s="46">
        <v>61</v>
      </c>
      <c r="E118" s="47">
        <v>0.01</v>
      </c>
      <c r="F118" t="s">
        <v>33</v>
      </c>
      <c r="J118" t="s">
        <v>720</v>
      </c>
      <c r="K118">
        <f>COUNTIF($A$1:A118,A118)</f>
        <v>1</v>
      </c>
      <c r="L118" t="str">
        <f>VLOOKUP(A118,'Cadastro de Produtos'!A:B,2,0)</f>
        <v>Bateria notebook A32-F9 for ASUS F9E F9S F6K233E-SL F6A A31-F9</v>
      </c>
      <c r="M118">
        <f t="shared" si="4"/>
        <v>61</v>
      </c>
      <c r="N118">
        <f t="shared" si="5"/>
        <v>0</v>
      </c>
      <c r="O118">
        <f t="shared" si="6"/>
        <v>0</v>
      </c>
      <c r="P118">
        <f t="shared" si="7"/>
        <v>61</v>
      </c>
    </row>
    <row r="119" spans="1:16" x14ac:dyDescent="0.3">
      <c r="A119" t="s">
        <v>461</v>
      </c>
      <c r="B119" t="s">
        <v>12</v>
      </c>
      <c r="C119" s="92">
        <v>42029</v>
      </c>
      <c r="D119" s="46">
        <v>26</v>
      </c>
      <c r="E119" s="47">
        <v>0.01</v>
      </c>
      <c r="F119" t="s">
        <v>33</v>
      </c>
      <c r="J119" t="s">
        <v>720</v>
      </c>
      <c r="K119">
        <f>COUNTIF($A$1:A119,A119)</f>
        <v>1</v>
      </c>
      <c r="L119" t="str">
        <f>VLOOKUP(A119,'Cadastro de Produtos'!A:B,2,0)</f>
        <v>Bateria para Notebook 6Y270 11.1V/4400mAh 312-0191</v>
      </c>
      <c r="M119">
        <f t="shared" si="4"/>
        <v>26</v>
      </c>
      <c r="N119">
        <f t="shared" si="5"/>
        <v>0</v>
      </c>
      <c r="O119">
        <f t="shared" si="6"/>
        <v>0</v>
      </c>
      <c r="P119">
        <f t="shared" si="7"/>
        <v>26</v>
      </c>
    </row>
    <row r="120" spans="1:16" x14ac:dyDescent="0.3">
      <c r="A120" t="s">
        <v>462</v>
      </c>
      <c r="B120" t="s">
        <v>12</v>
      </c>
      <c r="C120" s="92">
        <v>42029</v>
      </c>
      <c r="D120" s="46">
        <v>19</v>
      </c>
      <c r="E120" s="47">
        <v>0.01</v>
      </c>
      <c r="F120" t="s">
        <v>33</v>
      </c>
      <c r="J120" t="s">
        <v>720</v>
      </c>
      <c r="K120">
        <f>COUNTIF($A$1:A120,A120)</f>
        <v>1</v>
      </c>
      <c r="L120" t="str">
        <f>VLOOKUP(A120,'Cadastro de Produtos'!A:B,2,0)</f>
        <v>Bateria para Notebook HD438 4 cells 14.8V/2200mAh TD612</v>
      </c>
      <c r="M120">
        <f t="shared" si="4"/>
        <v>19</v>
      </c>
      <c r="N120">
        <f t="shared" si="5"/>
        <v>0</v>
      </c>
      <c r="O120">
        <f t="shared" si="6"/>
        <v>0</v>
      </c>
      <c r="P120">
        <f t="shared" si="7"/>
        <v>19</v>
      </c>
    </row>
    <row r="121" spans="1:16" x14ac:dyDescent="0.3">
      <c r="A121" t="s">
        <v>667</v>
      </c>
      <c r="B121" t="s">
        <v>12</v>
      </c>
      <c r="C121" s="92">
        <v>42029</v>
      </c>
      <c r="D121" s="46">
        <v>0</v>
      </c>
      <c r="E121" s="47">
        <v>283.89999999999998</v>
      </c>
      <c r="F121" t="s">
        <v>33</v>
      </c>
      <c r="J121" t="s">
        <v>720</v>
      </c>
      <c r="K121">
        <f>COUNTIF($A$1:A121,A121)</f>
        <v>1</v>
      </c>
      <c r="L121" t="str">
        <f>VLOOKUP(A121,'Cadastro de Produtos'!A:B,2,0)</f>
        <v>Monitor LG LCD 21.5 W2243 BR WIDESCREEN</v>
      </c>
      <c r="M121">
        <f t="shared" si="4"/>
        <v>0</v>
      </c>
      <c r="N121">
        <f t="shared" si="5"/>
        <v>0</v>
      </c>
      <c r="O121">
        <f t="shared" si="6"/>
        <v>0</v>
      </c>
      <c r="P121">
        <f t="shared" si="7"/>
        <v>0</v>
      </c>
    </row>
    <row r="122" spans="1:16" x14ac:dyDescent="0.3">
      <c r="A122" t="s">
        <v>669</v>
      </c>
      <c r="B122" t="s">
        <v>12</v>
      </c>
      <c r="C122" s="92">
        <v>42029</v>
      </c>
      <c r="D122" s="46">
        <v>0</v>
      </c>
      <c r="E122" s="47">
        <v>80.900000000000006</v>
      </c>
      <c r="F122" t="s">
        <v>33</v>
      </c>
      <c r="J122" t="s">
        <v>720</v>
      </c>
      <c r="K122">
        <f>COUNTIF($A$1:A122,A122)</f>
        <v>1</v>
      </c>
      <c r="L122" t="str">
        <f>VLOOKUP(A122,'Cadastro de Produtos'!A:B,2,0)</f>
        <v>Monitor LG LED 18,5" E1950T 1360x768 Wide</v>
      </c>
      <c r="M122">
        <f t="shared" si="4"/>
        <v>0</v>
      </c>
      <c r="N122">
        <f t="shared" si="5"/>
        <v>0</v>
      </c>
      <c r="O122">
        <f t="shared" si="6"/>
        <v>0</v>
      </c>
      <c r="P122">
        <f t="shared" si="7"/>
        <v>0</v>
      </c>
    </row>
    <row r="123" spans="1:16" x14ac:dyDescent="0.3">
      <c r="A123" t="s">
        <v>666</v>
      </c>
      <c r="B123" t="s">
        <v>12</v>
      </c>
      <c r="C123" s="92">
        <v>42029</v>
      </c>
      <c r="D123" s="46">
        <v>0</v>
      </c>
      <c r="E123" s="47">
        <v>80.900000000000006</v>
      </c>
      <c r="F123" t="s">
        <v>33</v>
      </c>
      <c r="J123" t="s">
        <v>720</v>
      </c>
      <c r="K123">
        <f>COUNTIF($A$1:A123,A123)</f>
        <v>1</v>
      </c>
      <c r="L123" t="str">
        <f>VLOOKUP(A123,'Cadastro de Produtos'!A:B,2,0)</f>
        <v>Monitor LG LCD 20 W2053TQ Widescreen</v>
      </c>
      <c r="M123">
        <f t="shared" si="4"/>
        <v>0</v>
      </c>
      <c r="N123">
        <f t="shared" si="5"/>
        <v>0</v>
      </c>
      <c r="O123">
        <f t="shared" si="6"/>
        <v>0</v>
      </c>
      <c r="P123">
        <f t="shared" si="7"/>
        <v>0</v>
      </c>
    </row>
    <row r="124" spans="1:16" x14ac:dyDescent="0.3">
      <c r="A124" t="s">
        <v>689</v>
      </c>
      <c r="B124" t="s">
        <v>12</v>
      </c>
      <c r="C124" s="92">
        <v>42029</v>
      </c>
      <c r="D124" s="46">
        <v>0</v>
      </c>
      <c r="E124" s="47">
        <v>64.900000000000006</v>
      </c>
      <c r="F124" t="s">
        <v>33</v>
      </c>
      <c r="J124" t="s">
        <v>720</v>
      </c>
      <c r="K124">
        <f>COUNTIF($A$1:A124,A124)</f>
        <v>1</v>
      </c>
      <c r="L124" t="str">
        <f>VLOOKUP(A124,'Cadastro de Produtos'!A:B,2,0)</f>
        <v>Multifuncional HP LaserJet Pro M1132 MFP Imp/Scan/Cópia</v>
      </c>
      <c r="M124">
        <f t="shared" si="4"/>
        <v>0</v>
      </c>
      <c r="N124">
        <f t="shared" si="5"/>
        <v>0</v>
      </c>
      <c r="O124">
        <f t="shared" si="6"/>
        <v>0</v>
      </c>
      <c r="P124">
        <f t="shared" si="7"/>
        <v>0</v>
      </c>
    </row>
    <row r="125" spans="1:16" x14ac:dyDescent="0.3">
      <c r="A125" t="s">
        <v>679</v>
      </c>
      <c r="B125" t="s">
        <v>12</v>
      </c>
      <c r="C125" s="92">
        <v>42029</v>
      </c>
      <c r="D125" s="46">
        <v>0</v>
      </c>
      <c r="E125" s="47">
        <v>56.05</v>
      </c>
      <c r="F125" t="s">
        <v>33</v>
      </c>
      <c r="J125" t="s">
        <v>720</v>
      </c>
      <c r="K125">
        <f>COUNTIF($A$1:A125,A125)</f>
        <v>1</v>
      </c>
      <c r="L125" t="str">
        <f>VLOOKUP(A125,'Cadastro de Produtos'!A:B,2,0)</f>
        <v>Monitor Samsung LCD 20" B2030N 1600x900 Wide</v>
      </c>
      <c r="M125">
        <f t="shared" si="4"/>
        <v>0</v>
      </c>
      <c r="N125">
        <f t="shared" si="5"/>
        <v>0</v>
      </c>
      <c r="O125">
        <f t="shared" si="6"/>
        <v>0</v>
      </c>
      <c r="P125">
        <f t="shared" si="7"/>
        <v>0</v>
      </c>
    </row>
    <row r="126" spans="1:16" x14ac:dyDescent="0.3">
      <c r="A126" t="s">
        <v>501</v>
      </c>
      <c r="B126" t="s">
        <v>12</v>
      </c>
      <c r="C126" s="92">
        <v>42029</v>
      </c>
      <c r="D126" s="46">
        <v>0.8</v>
      </c>
      <c r="E126" s="47">
        <v>19.100000000000001</v>
      </c>
      <c r="F126" t="s">
        <v>33</v>
      </c>
      <c r="J126" t="s">
        <v>720</v>
      </c>
      <c r="K126">
        <f>COUNTIF($A$1:A126,A126)</f>
        <v>1</v>
      </c>
      <c r="L126" t="str">
        <f>VLOOKUP(A126,'Cadastro de Produtos'!A:B,2,0)</f>
        <v>Filtro de Linha Multilaser Bivolt 6 Tomadas (Preto)</v>
      </c>
      <c r="M126">
        <f t="shared" si="4"/>
        <v>0.8</v>
      </c>
      <c r="N126">
        <f t="shared" si="5"/>
        <v>0</v>
      </c>
      <c r="O126">
        <f t="shared" si="6"/>
        <v>0</v>
      </c>
      <c r="P126">
        <f t="shared" si="7"/>
        <v>0.8</v>
      </c>
    </row>
    <row r="127" spans="1:16" x14ac:dyDescent="0.3">
      <c r="A127" t="s">
        <v>504</v>
      </c>
      <c r="B127" t="s">
        <v>12</v>
      </c>
      <c r="C127" s="92">
        <v>42029</v>
      </c>
      <c r="D127" s="46">
        <v>0.5</v>
      </c>
      <c r="E127" s="47">
        <v>0.01</v>
      </c>
      <c r="F127" t="s">
        <v>33</v>
      </c>
      <c r="J127" t="s">
        <v>720</v>
      </c>
      <c r="K127">
        <f>COUNTIF($A$1:A127,A127)</f>
        <v>1</v>
      </c>
      <c r="L127" t="str">
        <f>VLOOKUP(A127,'Cadastro de Produtos'!A:B,2,0)</f>
        <v>Fonte AC para notebook U7809</v>
      </c>
      <c r="M127">
        <f t="shared" si="4"/>
        <v>0.5</v>
      </c>
      <c r="N127">
        <f t="shared" si="5"/>
        <v>0</v>
      </c>
      <c r="O127">
        <f t="shared" si="6"/>
        <v>0</v>
      </c>
      <c r="P127">
        <f t="shared" si="7"/>
        <v>0.5</v>
      </c>
    </row>
    <row r="128" spans="1:16" x14ac:dyDescent="0.3">
      <c r="A128" t="s">
        <v>695</v>
      </c>
      <c r="B128" t="s">
        <v>12</v>
      </c>
      <c r="C128" s="92">
        <v>42029</v>
      </c>
      <c r="D128" s="46">
        <v>0</v>
      </c>
      <c r="E128" s="47">
        <v>44.9</v>
      </c>
      <c r="F128" t="s">
        <v>33</v>
      </c>
      <c r="J128" t="s">
        <v>720</v>
      </c>
      <c r="K128">
        <f>COUNTIF($A$1:A128,A128)</f>
        <v>1</v>
      </c>
      <c r="L128" t="str">
        <f>VLOOKUP(A128,'Cadastro de Produtos'!A:B,2,0)</f>
        <v>Monitor LG LCD 17 W1752T Widescreen Preto</v>
      </c>
      <c r="M128">
        <f t="shared" si="4"/>
        <v>0</v>
      </c>
      <c r="N128">
        <f t="shared" si="5"/>
        <v>0</v>
      </c>
      <c r="O128">
        <f t="shared" si="6"/>
        <v>0</v>
      </c>
      <c r="P128">
        <f t="shared" si="7"/>
        <v>0</v>
      </c>
    </row>
    <row r="129" spans="1:16" x14ac:dyDescent="0.3">
      <c r="A129" t="s">
        <v>585</v>
      </c>
      <c r="B129" t="s">
        <v>12</v>
      </c>
      <c r="C129" s="92">
        <v>42029</v>
      </c>
      <c r="D129" s="46">
        <v>5</v>
      </c>
      <c r="E129" s="47">
        <v>82.27</v>
      </c>
      <c r="F129" t="s">
        <v>33</v>
      </c>
      <c r="J129" t="s">
        <v>720</v>
      </c>
      <c r="K129">
        <f>COUNTIF($A$1:A129,A129)</f>
        <v>1</v>
      </c>
      <c r="L129" t="str">
        <f>VLOOKUP(A129,'Cadastro de Produtos'!A:B,2,0)</f>
        <v>HD SATA II 250GB Maxtor/W.Digital/Samsung 7.200RPM</v>
      </c>
      <c r="M129">
        <f t="shared" si="4"/>
        <v>5</v>
      </c>
      <c r="N129">
        <f t="shared" si="5"/>
        <v>0</v>
      </c>
      <c r="O129">
        <f t="shared" si="6"/>
        <v>0</v>
      </c>
      <c r="P129">
        <f t="shared" si="7"/>
        <v>5</v>
      </c>
    </row>
    <row r="130" spans="1:16" x14ac:dyDescent="0.3">
      <c r="A130" t="s">
        <v>584</v>
      </c>
      <c r="B130" t="s">
        <v>12</v>
      </c>
      <c r="C130" s="92">
        <v>42029</v>
      </c>
      <c r="D130" s="46">
        <v>5</v>
      </c>
      <c r="E130" s="47">
        <v>41.88</v>
      </c>
      <c r="F130" t="s">
        <v>33</v>
      </c>
      <c r="J130" t="s">
        <v>720</v>
      </c>
      <c r="K130">
        <f>COUNTIF($A$1:A130,A130)</f>
        <v>1</v>
      </c>
      <c r="L130" t="str">
        <f>VLOOKUP(A130,'Cadastro de Produtos'!A:B,2,0)</f>
        <v>HD SATA II 1TB Seagate 7.200RPM</v>
      </c>
      <c r="M130">
        <f t="shared" ref="M130:M193" si="8">SUMIF(B130,"E",D130:D130)</f>
        <v>5</v>
      </c>
      <c r="N130">
        <f t="shared" ref="N130:N193" si="9">SUMIF(B130,"S",D130:D130)</f>
        <v>0</v>
      </c>
      <c r="O130">
        <f t="shared" ref="O130:O193" si="10">N130*-1</f>
        <v>0</v>
      </c>
      <c r="P130">
        <f t="shared" ref="P130:P193" si="11">SUM(M130+O130)</f>
        <v>5</v>
      </c>
    </row>
    <row r="131" spans="1:16" x14ac:dyDescent="0.3">
      <c r="A131" t="s">
        <v>586</v>
      </c>
      <c r="B131" t="s">
        <v>12</v>
      </c>
      <c r="C131" s="92">
        <v>42029</v>
      </c>
      <c r="D131" s="46">
        <v>1.5</v>
      </c>
      <c r="E131" s="47">
        <v>68.22</v>
      </c>
      <c r="F131" t="s">
        <v>33</v>
      </c>
      <c r="J131" t="s">
        <v>720</v>
      </c>
      <c r="K131">
        <f>COUNTIF($A$1:A131,A131)</f>
        <v>1</v>
      </c>
      <c r="L131" t="str">
        <f>VLOOKUP(A131,'Cadastro de Produtos'!A:B,2,0)</f>
        <v>HD SATA II 250GB Seagate 7.200RPM</v>
      </c>
      <c r="M131">
        <f t="shared" si="8"/>
        <v>1.5</v>
      </c>
      <c r="N131">
        <f t="shared" si="9"/>
        <v>0</v>
      </c>
      <c r="O131">
        <f t="shared" si="10"/>
        <v>0</v>
      </c>
      <c r="P131">
        <f t="shared" si="11"/>
        <v>1.5</v>
      </c>
    </row>
    <row r="132" spans="1:16" x14ac:dyDescent="0.3">
      <c r="A132" t="s">
        <v>620</v>
      </c>
      <c r="B132" t="s">
        <v>12</v>
      </c>
      <c r="C132" s="92">
        <v>42029</v>
      </c>
      <c r="D132" s="46">
        <v>14</v>
      </c>
      <c r="E132" s="47">
        <v>21.95</v>
      </c>
      <c r="F132" t="s">
        <v>33</v>
      </c>
      <c r="J132" t="s">
        <v>720</v>
      </c>
      <c r="K132">
        <f>COUNTIF($A$1:A132,A132)</f>
        <v>1</v>
      </c>
      <c r="L132" t="str">
        <f>VLOOKUP(A132,'Cadastro de Produtos'!A:B,2,0)</f>
        <v>LCD Cable DDDM3LLC000 14" REV A01 REV.3B</v>
      </c>
      <c r="M132">
        <f t="shared" si="8"/>
        <v>14</v>
      </c>
      <c r="N132">
        <f t="shared" si="9"/>
        <v>0</v>
      </c>
      <c r="O132">
        <f t="shared" si="10"/>
        <v>0</v>
      </c>
      <c r="P132">
        <f t="shared" si="11"/>
        <v>14</v>
      </c>
    </row>
    <row r="133" spans="1:16" x14ac:dyDescent="0.3">
      <c r="A133" t="s">
        <v>621</v>
      </c>
      <c r="B133" t="s">
        <v>12</v>
      </c>
      <c r="C133" s="92">
        <v>42029</v>
      </c>
      <c r="D133" s="46">
        <v>9</v>
      </c>
      <c r="E133" s="47">
        <v>42.45</v>
      </c>
      <c r="F133" t="s">
        <v>33</v>
      </c>
      <c r="J133" t="s">
        <v>720</v>
      </c>
      <c r="K133">
        <f>COUNTIF($A$1:A133,A133)</f>
        <v>1</v>
      </c>
      <c r="L133" t="str">
        <f>VLOOKUP(A133,'Cadastro de Produtos'!A:B,2,0)</f>
        <v>LCD Cable DDDM3LLC018 15" XGA REV A02</v>
      </c>
      <c r="M133">
        <f t="shared" si="8"/>
        <v>9</v>
      </c>
      <c r="N133">
        <f t="shared" si="9"/>
        <v>0</v>
      </c>
      <c r="O133">
        <f t="shared" si="10"/>
        <v>0</v>
      </c>
      <c r="P133">
        <f t="shared" si="11"/>
        <v>9</v>
      </c>
    </row>
    <row r="134" spans="1:16" x14ac:dyDescent="0.3">
      <c r="A134" t="s">
        <v>622</v>
      </c>
      <c r="B134" t="s">
        <v>12</v>
      </c>
      <c r="C134" s="92">
        <v>42029</v>
      </c>
      <c r="D134" s="46">
        <v>4</v>
      </c>
      <c r="E134" s="47">
        <v>55.6</v>
      </c>
      <c r="F134" t="s">
        <v>33</v>
      </c>
      <c r="J134" t="s">
        <v>720</v>
      </c>
      <c r="K134">
        <f>COUNTIF($A$1:A134,A134)</f>
        <v>1</v>
      </c>
      <c r="L134" t="str">
        <f>VLOOKUP(A134,'Cadastro de Produtos'!A:B,2,0)</f>
        <v>LCD Cable XR857 50.4W109.002 M1530 REV A02</v>
      </c>
      <c r="M134">
        <f t="shared" si="8"/>
        <v>4</v>
      </c>
      <c r="N134">
        <f t="shared" si="9"/>
        <v>0</v>
      </c>
      <c r="O134">
        <f t="shared" si="10"/>
        <v>0</v>
      </c>
      <c r="P134">
        <f t="shared" si="11"/>
        <v>4</v>
      </c>
    </row>
    <row r="135" spans="1:16" x14ac:dyDescent="0.3">
      <c r="A135" t="s">
        <v>587</v>
      </c>
      <c r="B135" t="s">
        <v>12</v>
      </c>
      <c r="C135" s="92">
        <v>42029</v>
      </c>
      <c r="D135" s="46">
        <v>1</v>
      </c>
      <c r="E135" s="47">
        <v>39.85</v>
      </c>
      <c r="F135" t="s">
        <v>33</v>
      </c>
      <c r="J135" t="s">
        <v>720</v>
      </c>
      <c r="K135">
        <f>COUNTIF($A$1:A135,A135)</f>
        <v>1</v>
      </c>
      <c r="L135" t="str">
        <f>VLOOKUP(A135,'Cadastro de Produtos'!A:B,2,0)</f>
        <v>HD SATA II 2TB W. Digital 32MB 7200RPM</v>
      </c>
      <c r="M135">
        <f t="shared" si="8"/>
        <v>1</v>
      </c>
      <c r="N135">
        <f t="shared" si="9"/>
        <v>0</v>
      </c>
      <c r="O135">
        <f t="shared" si="10"/>
        <v>0</v>
      </c>
      <c r="P135">
        <f t="shared" si="11"/>
        <v>1</v>
      </c>
    </row>
    <row r="136" spans="1:16" x14ac:dyDescent="0.3">
      <c r="A136" t="s">
        <v>629</v>
      </c>
      <c r="B136" t="s">
        <v>12</v>
      </c>
      <c r="C136" s="92">
        <v>42029</v>
      </c>
      <c r="D136" s="46">
        <v>40</v>
      </c>
      <c r="E136" s="47">
        <v>15.08</v>
      </c>
      <c r="F136" t="s">
        <v>33</v>
      </c>
      <c r="J136" t="s">
        <v>720</v>
      </c>
      <c r="K136">
        <f>COUNTIF($A$1:A136,A136)</f>
        <v>1</v>
      </c>
      <c r="L136" t="str">
        <f>VLOOKUP(A136,'Cadastro de Produtos'!A:B,2,0)</f>
        <v>Memória DDR 1GB 266MHz (PC-2100) Kingston</v>
      </c>
      <c r="M136">
        <f t="shared" si="8"/>
        <v>40</v>
      </c>
      <c r="N136">
        <f t="shared" si="9"/>
        <v>0</v>
      </c>
      <c r="O136">
        <f t="shared" si="10"/>
        <v>0</v>
      </c>
      <c r="P136">
        <f t="shared" si="11"/>
        <v>40</v>
      </c>
    </row>
    <row r="137" spans="1:16" x14ac:dyDescent="0.3">
      <c r="A137" t="s">
        <v>630</v>
      </c>
      <c r="B137" t="s">
        <v>12</v>
      </c>
      <c r="C137" s="92">
        <v>42029</v>
      </c>
      <c r="D137" s="46">
        <v>5</v>
      </c>
      <c r="E137" s="47">
        <v>35.619999999999997</v>
      </c>
      <c r="F137" t="s">
        <v>33</v>
      </c>
      <c r="J137" t="s">
        <v>720</v>
      </c>
      <c r="K137">
        <f>COUNTIF($A$1:A137,A137)</f>
        <v>1</v>
      </c>
      <c r="L137" t="str">
        <f>VLOOKUP(A137,'Cadastro de Produtos'!A:B,2,0)</f>
        <v>Memória DDR 1GB 333MHz (PC-2700) Kingston</v>
      </c>
      <c r="M137">
        <f t="shared" si="8"/>
        <v>5</v>
      </c>
      <c r="N137">
        <f t="shared" si="9"/>
        <v>0</v>
      </c>
      <c r="O137">
        <f t="shared" si="10"/>
        <v>0</v>
      </c>
      <c r="P137">
        <f t="shared" si="11"/>
        <v>5</v>
      </c>
    </row>
    <row r="138" spans="1:16" x14ac:dyDescent="0.3">
      <c r="A138" t="s">
        <v>632</v>
      </c>
      <c r="B138" t="s">
        <v>12</v>
      </c>
      <c r="C138" s="92">
        <v>42029</v>
      </c>
      <c r="D138" s="46">
        <v>6</v>
      </c>
      <c r="E138" s="47">
        <v>29.56</v>
      </c>
      <c r="F138" t="s">
        <v>33</v>
      </c>
      <c r="J138" t="s">
        <v>720</v>
      </c>
      <c r="K138">
        <f>COUNTIF($A$1:A138,A138)</f>
        <v>1</v>
      </c>
      <c r="L138" t="str">
        <f>VLOOKUP(A138,'Cadastro de Produtos'!A:B,2,0)</f>
        <v>Memória DDR2 1GB 533MHz (PC2-4200) Kingston</v>
      </c>
      <c r="M138">
        <f t="shared" si="8"/>
        <v>6</v>
      </c>
      <c r="N138">
        <f t="shared" si="9"/>
        <v>0</v>
      </c>
      <c r="O138">
        <f t="shared" si="10"/>
        <v>0</v>
      </c>
      <c r="P138">
        <f t="shared" si="11"/>
        <v>6</v>
      </c>
    </row>
    <row r="139" spans="1:16" x14ac:dyDescent="0.3">
      <c r="A139" t="s">
        <v>631</v>
      </c>
      <c r="B139" t="s">
        <v>12</v>
      </c>
      <c r="C139" s="92">
        <v>42029</v>
      </c>
      <c r="D139" s="46">
        <v>1</v>
      </c>
      <c r="E139" s="47">
        <v>39.57</v>
      </c>
      <c r="F139" t="s">
        <v>33</v>
      </c>
      <c r="J139" t="s">
        <v>720</v>
      </c>
      <c r="K139">
        <f>COUNTIF($A$1:A139,A139)</f>
        <v>1</v>
      </c>
      <c r="L139" t="str">
        <f>VLOOKUP(A139,'Cadastro de Produtos'!A:B,2,0)</f>
        <v>Memória DDR 1GB 400MHz (PC-3200) Kingston</v>
      </c>
      <c r="M139">
        <f t="shared" si="8"/>
        <v>1</v>
      </c>
      <c r="N139">
        <f t="shared" si="9"/>
        <v>0</v>
      </c>
      <c r="O139">
        <f t="shared" si="10"/>
        <v>0</v>
      </c>
      <c r="P139">
        <f t="shared" si="11"/>
        <v>1</v>
      </c>
    </row>
    <row r="140" spans="1:16" x14ac:dyDescent="0.3">
      <c r="A140" t="s">
        <v>607</v>
      </c>
      <c r="B140" t="s">
        <v>12</v>
      </c>
      <c r="C140" s="92">
        <v>42029</v>
      </c>
      <c r="D140" s="46">
        <v>4</v>
      </c>
      <c r="E140" s="47">
        <v>37.68</v>
      </c>
      <c r="F140" t="s">
        <v>33</v>
      </c>
      <c r="J140" t="s">
        <v>720</v>
      </c>
      <c r="K140">
        <f>COUNTIF($A$1:A140,A140)</f>
        <v>1</v>
      </c>
      <c r="L140" t="str">
        <f>VLOOKUP(A140,'Cadastro de Produtos'!A:B,2,0)</f>
        <v>Impressora HP Laserjet Pro 1102w Laser Mono 600x600dpi 18ppm</v>
      </c>
      <c r="M140">
        <f t="shared" si="8"/>
        <v>4</v>
      </c>
      <c r="N140">
        <f t="shared" si="9"/>
        <v>0</v>
      </c>
      <c r="O140">
        <f t="shared" si="10"/>
        <v>0</v>
      </c>
      <c r="P140">
        <f t="shared" si="11"/>
        <v>4</v>
      </c>
    </row>
    <row r="141" spans="1:16" x14ac:dyDescent="0.3">
      <c r="A141" t="s">
        <v>572</v>
      </c>
      <c r="B141" t="s">
        <v>12</v>
      </c>
      <c r="C141" s="92">
        <v>42029</v>
      </c>
      <c r="D141" s="46">
        <v>2</v>
      </c>
      <c r="E141" s="47">
        <v>0.01</v>
      </c>
      <c r="F141" t="s">
        <v>33</v>
      </c>
      <c r="J141" t="s">
        <v>720</v>
      </c>
      <c r="K141">
        <f>COUNTIF($A$1:A141,A141)</f>
        <v>1</v>
      </c>
      <c r="L141" t="str">
        <f>VLOOKUP(A141,'Cadastro de Produtos'!A:B,2,0)</f>
        <v>HD Externo 500GB Seagate ST305004EXA101-RK USB</v>
      </c>
      <c r="M141">
        <f t="shared" si="8"/>
        <v>2</v>
      </c>
      <c r="N141">
        <f t="shared" si="9"/>
        <v>0</v>
      </c>
      <c r="O141">
        <f t="shared" si="10"/>
        <v>0</v>
      </c>
      <c r="P141">
        <f t="shared" si="11"/>
        <v>2</v>
      </c>
    </row>
    <row r="142" spans="1:16" x14ac:dyDescent="0.3">
      <c r="A142" t="s">
        <v>571</v>
      </c>
      <c r="B142" t="s">
        <v>12</v>
      </c>
      <c r="C142" s="92">
        <v>42029</v>
      </c>
      <c r="D142" s="46">
        <v>2</v>
      </c>
      <c r="E142" s="47">
        <v>35.18</v>
      </c>
      <c r="F142" t="s">
        <v>33</v>
      </c>
      <c r="J142" t="s">
        <v>720</v>
      </c>
      <c r="K142">
        <f>COUNTIF($A$1:A142,A142)</f>
        <v>1</v>
      </c>
      <c r="L142" t="str">
        <f>VLOOKUP(A142,'Cadastro de Produtos'!A:B,2,0)</f>
        <v>HD Externo 500GB LG HXD5U50PLS 500GB USB 480MB/s 5400rpm</v>
      </c>
      <c r="M142">
        <f t="shared" si="8"/>
        <v>2</v>
      </c>
      <c r="N142">
        <f t="shared" si="9"/>
        <v>0</v>
      </c>
      <c r="O142">
        <f t="shared" si="10"/>
        <v>0</v>
      </c>
      <c r="P142">
        <f t="shared" si="11"/>
        <v>2</v>
      </c>
    </row>
    <row r="143" spans="1:16" x14ac:dyDescent="0.3">
      <c r="A143" t="s">
        <v>580</v>
      </c>
      <c r="B143" t="s">
        <v>12</v>
      </c>
      <c r="C143" s="92">
        <v>42029</v>
      </c>
      <c r="D143" s="46">
        <v>3</v>
      </c>
      <c r="E143" s="47">
        <v>60.29</v>
      </c>
      <c r="F143" t="s">
        <v>33</v>
      </c>
      <c r="J143" t="s">
        <v>720</v>
      </c>
      <c r="K143">
        <f>COUNTIF($A$1:A143,A143)</f>
        <v>1</v>
      </c>
      <c r="L143" t="str">
        <f>VLOOKUP(A143,'Cadastro de Produtos'!A:B,2,0)</f>
        <v>HD SATA II 1,5TB W.Digital 32MB 7.200RPM</v>
      </c>
      <c r="M143">
        <f t="shared" si="8"/>
        <v>3</v>
      </c>
      <c r="N143">
        <f t="shared" si="9"/>
        <v>0</v>
      </c>
      <c r="O143">
        <f t="shared" si="10"/>
        <v>0</v>
      </c>
      <c r="P143">
        <f t="shared" si="11"/>
        <v>3</v>
      </c>
    </row>
    <row r="144" spans="1:16" x14ac:dyDescent="0.3">
      <c r="A144" t="s">
        <v>581</v>
      </c>
      <c r="B144" t="s">
        <v>12</v>
      </c>
      <c r="C144" s="92">
        <v>42029</v>
      </c>
      <c r="D144" s="46">
        <v>3</v>
      </c>
      <c r="E144" s="47">
        <v>0.01</v>
      </c>
      <c r="F144" t="s">
        <v>33</v>
      </c>
      <c r="J144" t="s">
        <v>720</v>
      </c>
      <c r="K144">
        <f>COUNTIF($A$1:A144,A144)</f>
        <v>1</v>
      </c>
      <c r="L144" t="str">
        <f>VLOOKUP(A144,'Cadastro de Produtos'!A:B,2,0)</f>
        <v>HD SATA II 160GB Maxtor/Samsung 7.200RPM</v>
      </c>
      <c r="M144">
        <f t="shared" si="8"/>
        <v>3</v>
      </c>
      <c r="N144">
        <f t="shared" si="9"/>
        <v>0</v>
      </c>
      <c r="O144">
        <f t="shared" si="10"/>
        <v>0</v>
      </c>
      <c r="P144">
        <f t="shared" si="11"/>
        <v>3</v>
      </c>
    </row>
    <row r="145" spans="1:16" x14ac:dyDescent="0.3">
      <c r="A145" t="s">
        <v>577</v>
      </c>
      <c r="B145" t="s">
        <v>12</v>
      </c>
      <c r="C145" s="92">
        <v>42029</v>
      </c>
      <c r="D145" s="46">
        <v>1</v>
      </c>
      <c r="E145" s="47">
        <v>25.29</v>
      </c>
      <c r="F145" t="s">
        <v>33</v>
      </c>
      <c r="J145" t="s">
        <v>720</v>
      </c>
      <c r="K145">
        <f>COUNTIF($A$1:A145,A145)</f>
        <v>1</v>
      </c>
      <c r="L145" t="str">
        <f>VLOOKUP(A145,'Cadastro de Produtos'!A:B,2,0)</f>
        <v>HD Externo 500GB WD My Passport USB</v>
      </c>
      <c r="M145">
        <f t="shared" si="8"/>
        <v>1</v>
      </c>
      <c r="N145">
        <f t="shared" si="9"/>
        <v>0</v>
      </c>
      <c r="O145">
        <f t="shared" si="10"/>
        <v>0</v>
      </c>
      <c r="P145">
        <f t="shared" si="11"/>
        <v>1</v>
      </c>
    </row>
    <row r="146" spans="1:16" x14ac:dyDescent="0.3">
      <c r="A146" t="s">
        <v>578</v>
      </c>
      <c r="B146" t="s">
        <v>12</v>
      </c>
      <c r="C146" s="92">
        <v>42029</v>
      </c>
      <c r="D146" s="46">
        <v>1</v>
      </c>
      <c r="E146" s="47">
        <v>39.840000000000003</v>
      </c>
      <c r="F146" t="s">
        <v>33</v>
      </c>
      <c r="J146" t="s">
        <v>720</v>
      </c>
      <c r="K146">
        <f>COUNTIF($A$1:A146,A146)</f>
        <v>1</v>
      </c>
      <c r="L146" t="str">
        <f>VLOOKUP(A146,'Cadastro de Produtos'!A:B,2,0)</f>
        <v>HD Externo 500GB WD Passport Essential Prata WDBAAA5000ASL-NESN</v>
      </c>
      <c r="M146">
        <f t="shared" si="8"/>
        <v>1</v>
      </c>
      <c r="N146">
        <f t="shared" si="9"/>
        <v>0</v>
      </c>
      <c r="O146">
        <f t="shared" si="10"/>
        <v>0</v>
      </c>
      <c r="P146">
        <f t="shared" si="11"/>
        <v>1</v>
      </c>
    </row>
    <row r="147" spans="1:16" x14ac:dyDescent="0.3">
      <c r="A147" t="s">
        <v>619</v>
      </c>
      <c r="B147" t="s">
        <v>12</v>
      </c>
      <c r="C147" s="92">
        <v>42029</v>
      </c>
      <c r="D147" s="46">
        <v>6</v>
      </c>
      <c r="E147" s="47">
        <v>21.87</v>
      </c>
      <c r="F147" t="s">
        <v>33</v>
      </c>
      <c r="J147" t="s">
        <v>720</v>
      </c>
      <c r="K147">
        <f>COUNTIF($A$1:A147,A147)</f>
        <v>1</v>
      </c>
      <c r="L147" t="str">
        <f>VLOOKUP(A147,'Cadastro de Produtos'!A:B,2,0)</f>
        <v>LCD Cable 50.4W001.301 i1526 WK447 15.4</v>
      </c>
      <c r="M147">
        <f t="shared" si="8"/>
        <v>6</v>
      </c>
      <c r="N147">
        <f t="shared" si="9"/>
        <v>0</v>
      </c>
      <c r="O147">
        <f t="shared" si="10"/>
        <v>0</v>
      </c>
      <c r="P147">
        <f t="shared" si="11"/>
        <v>6</v>
      </c>
    </row>
    <row r="148" spans="1:16" x14ac:dyDescent="0.3">
      <c r="A148" t="s">
        <v>598</v>
      </c>
      <c r="B148" t="s">
        <v>12</v>
      </c>
      <c r="C148" s="92">
        <v>42029</v>
      </c>
      <c r="D148" s="46">
        <v>24</v>
      </c>
      <c r="E148" s="47">
        <v>4.75</v>
      </c>
      <c r="F148" t="s">
        <v>33</v>
      </c>
      <c r="J148" t="s">
        <v>720</v>
      </c>
      <c r="K148">
        <f>COUNTIF($A$1:A148,A148)</f>
        <v>1</v>
      </c>
      <c r="L148" t="str">
        <f>VLOOKUP(A148,'Cadastro de Produtos'!A:B,2,0)</f>
        <v>HUB USB 2.0 - 7 portas</v>
      </c>
      <c r="M148">
        <f t="shared" si="8"/>
        <v>24</v>
      </c>
      <c r="N148">
        <f t="shared" si="9"/>
        <v>0</v>
      </c>
      <c r="O148">
        <f t="shared" si="10"/>
        <v>0</v>
      </c>
      <c r="P148">
        <f t="shared" si="11"/>
        <v>24</v>
      </c>
    </row>
    <row r="149" spans="1:16" x14ac:dyDescent="0.3">
      <c r="A149" t="s">
        <v>600</v>
      </c>
      <c r="B149" t="s">
        <v>12</v>
      </c>
      <c r="C149" s="92">
        <v>42029</v>
      </c>
      <c r="D149" s="46">
        <v>2</v>
      </c>
      <c r="E149" s="47">
        <v>3.47</v>
      </c>
      <c r="F149" t="s">
        <v>33</v>
      </c>
      <c r="J149" t="s">
        <v>720</v>
      </c>
      <c r="K149">
        <f>COUNTIF($A$1:A149,A149)</f>
        <v>1</v>
      </c>
      <c r="L149" t="str">
        <f>VLOOKUP(A149,'Cadastro de Produtos'!A:B,2,0)</f>
        <v>Impressora Epson Matricial FX-2190 (136col 9 agulhas 680cps)</v>
      </c>
      <c r="M149">
        <f t="shared" si="8"/>
        <v>2</v>
      </c>
      <c r="N149">
        <f t="shared" si="9"/>
        <v>0</v>
      </c>
      <c r="O149">
        <f t="shared" si="10"/>
        <v>0</v>
      </c>
      <c r="P149">
        <f t="shared" si="11"/>
        <v>2</v>
      </c>
    </row>
    <row r="150" spans="1:16" x14ac:dyDescent="0.3">
      <c r="A150" t="s">
        <v>599</v>
      </c>
      <c r="B150" t="s">
        <v>12</v>
      </c>
      <c r="C150" s="92">
        <v>42029</v>
      </c>
      <c r="D150" s="46">
        <v>2</v>
      </c>
      <c r="E150" s="47">
        <v>1.48</v>
      </c>
      <c r="F150" t="s">
        <v>33</v>
      </c>
      <c r="J150" t="s">
        <v>720</v>
      </c>
      <c r="K150">
        <f>COUNTIF($A$1:A150,A150)</f>
        <v>1</v>
      </c>
      <c r="L150" t="str">
        <f>VLOOKUP(A150,'Cadastro de Produtos'!A:B,2,0)</f>
        <v>Impressora Epson Jato de Tinta Stylus T50</v>
      </c>
      <c r="M150">
        <f t="shared" si="8"/>
        <v>2</v>
      </c>
      <c r="N150">
        <f t="shared" si="9"/>
        <v>0</v>
      </c>
      <c r="O150">
        <f t="shared" si="10"/>
        <v>0</v>
      </c>
      <c r="P150">
        <f t="shared" si="11"/>
        <v>2</v>
      </c>
    </row>
    <row r="151" spans="1:16" x14ac:dyDescent="0.3">
      <c r="A151" t="s">
        <v>633</v>
      </c>
      <c r="B151" t="s">
        <v>12</v>
      </c>
      <c r="C151" s="92">
        <v>42029</v>
      </c>
      <c r="D151" s="46">
        <v>4</v>
      </c>
      <c r="E151" s="47">
        <v>1.1299999999999999</v>
      </c>
      <c r="F151" t="s">
        <v>33</v>
      </c>
      <c r="J151" t="s">
        <v>720</v>
      </c>
      <c r="K151">
        <f>COUNTIF($A$1:A151,A151)</f>
        <v>1</v>
      </c>
      <c r="L151" t="str">
        <f>VLOOKUP(A151,'Cadastro de Produtos'!A:B,2,0)</f>
        <v>Memória DDR2 1GB 667MHz (PC2-5300) Kingston</v>
      </c>
      <c r="M151">
        <f t="shared" si="8"/>
        <v>4</v>
      </c>
      <c r="N151">
        <f t="shared" si="9"/>
        <v>0</v>
      </c>
      <c r="O151">
        <f t="shared" si="10"/>
        <v>0</v>
      </c>
      <c r="P151">
        <f t="shared" si="11"/>
        <v>4</v>
      </c>
    </row>
    <row r="152" spans="1:16" x14ac:dyDescent="0.3">
      <c r="A152" t="s">
        <v>626</v>
      </c>
      <c r="B152" t="s">
        <v>12</v>
      </c>
      <c r="C152" s="92">
        <v>42029</v>
      </c>
      <c r="D152" s="46">
        <v>8</v>
      </c>
      <c r="E152" s="47">
        <v>5.4</v>
      </c>
      <c r="F152" t="s">
        <v>33</v>
      </c>
      <c r="J152" t="s">
        <v>720</v>
      </c>
      <c r="K152">
        <f>COUNTIF($A$1:A152,A152)</f>
        <v>1</v>
      </c>
      <c r="L152" t="str">
        <f>VLOOKUP(A152,'Cadastro de Produtos'!A:B,2,0)</f>
        <v>Leitor de código de barras CPX10 Slim Compex USB</v>
      </c>
      <c r="M152">
        <f t="shared" si="8"/>
        <v>8</v>
      </c>
      <c r="N152">
        <f t="shared" si="9"/>
        <v>0</v>
      </c>
      <c r="O152">
        <f t="shared" si="10"/>
        <v>0</v>
      </c>
      <c r="P152">
        <f t="shared" si="11"/>
        <v>8</v>
      </c>
    </row>
    <row r="153" spans="1:16" x14ac:dyDescent="0.3">
      <c r="A153" t="s">
        <v>627</v>
      </c>
      <c r="B153" t="s">
        <v>12</v>
      </c>
      <c r="C153" s="92">
        <v>42029</v>
      </c>
      <c r="D153" s="46">
        <v>2</v>
      </c>
      <c r="E153" s="47">
        <v>5.4</v>
      </c>
      <c r="F153" t="s">
        <v>33</v>
      </c>
      <c r="J153" t="s">
        <v>720</v>
      </c>
      <c r="K153">
        <f>COUNTIF($A$1:A153,A153)</f>
        <v>1</v>
      </c>
      <c r="L153" t="str">
        <f>VLOOKUP(A153,'Cadastro de Produtos'!A:B,2,0)</f>
        <v>Leitor de DVD-ROM Notebook IDE HL GDR-8082N</v>
      </c>
      <c r="M153">
        <f t="shared" si="8"/>
        <v>2</v>
      </c>
      <c r="N153">
        <f t="shared" si="9"/>
        <v>0</v>
      </c>
      <c r="O153">
        <f t="shared" si="10"/>
        <v>0</v>
      </c>
      <c r="P153">
        <f t="shared" si="11"/>
        <v>2</v>
      </c>
    </row>
    <row r="154" spans="1:16" x14ac:dyDescent="0.3">
      <c r="A154" t="s">
        <v>628</v>
      </c>
      <c r="B154" t="s">
        <v>12</v>
      </c>
      <c r="C154" s="92">
        <v>42029</v>
      </c>
      <c r="D154" s="46">
        <v>1</v>
      </c>
      <c r="E154" s="47">
        <v>5.4</v>
      </c>
      <c r="F154" t="s">
        <v>33</v>
      </c>
      <c r="J154" t="s">
        <v>720</v>
      </c>
      <c r="K154">
        <f>COUNTIF($A$1:A154,A154)</f>
        <v>1</v>
      </c>
      <c r="L154" t="str">
        <f>VLOOKUP(A154,'Cadastro de Produtos'!A:B,2,0)</f>
        <v>Leitor Linear Imager AS-8250</v>
      </c>
      <c r="M154">
        <f t="shared" si="8"/>
        <v>1</v>
      </c>
      <c r="N154">
        <f t="shared" si="9"/>
        <v>0</v>
      </c>
      <c r="O154">
        <f t="shared" si="10"/>
        <v>0</v>
      </c>
      <c r="P154">
        <f t="shared" si="11"/>
        <v>1</v>
      </c>
    </row>
    <row r="155" spans="1:16" x14ac:dyDescent="0.3">
      <c r="A155" t="s">
        <v>623</v>
      </c>
      <c r="B155" t="s">
        <v>12</v>
      </c>
      <c r="C155" s="92">
        <v>42029</v>
      </c>
      <c r="D155" s="46">
        <v>4</v>
      </c>
      <c r="E155" s="47">
        <v>2.13</v>
      </c>
      <c r="F155" t="s">
        <v>33</v>
      </c>
      <c r="J155" t="s">
        <v>720</v>
      </c>
      <c r="K155">
        <f>COUNTIF($A$1:A155,A155)</f>
        <v>1</v>
      </c>
      <c r="L155" t="str">
        <f>VLOOKUP(A155,'Cadastro de Produtos'!A:B,2,0)</f>
        <v>LCD notebook SAMSUNG LTN121W1-L03 12.1</v>
      </c>
      <c r="M155">
        <f t="shared" si="8"/>
        <v>4</v>
      </c>
      <c r="N155">
        <f t="shared" si="9"/>
        <v>0</v>
      </c>
      <c r="O155">
        <f t="shared" si="10"/>
        <v>0</v>
      </c>
      <c r="P155">
        <f t="shared" si="11"/>
        <v>4</v>
      </c>
    </row>
    <row r="156" spans="1:16" x14ac:dyDescent="0.3">
      <c r="A156" t="s">
        <v>625</v>
      </c>
      <c r="B156" t="s">
        <v>12</v>
      </c>
      <c r="C156" s="92">
        <v>42029</v>
      </c>
      <c r="D156" s="46">
        <v>3</v>
      </c>
      <c r="E156" s="47">
        <v>2</v>
      </c>
      <c r="F156" t="s">
        <v>33</v>
      </c>
      <c r="J156" t="s">
        <v>720</v>
      </c>
      <c r="K156">
        <f>COUNTIF($A$1:A156,A156)</f>
        <v>1</v>
      </c>
      <c r="L156" t="str">
        <f>VLOOKUP(A156,'Cadastro de Produtos'!A:B,2,0)</f>
        <v>Leitor de CD-ROM Notebook IDE 6T980-A01</v>
      </c>
      <c r="M156">
        <f t="shared" si="8"/>
        <v>3</v>
      </c>
      <c r="N156">
        <f t="shared" si="9"/>
        <v>0</v>
      </c>
      <c r="O156">
        <f t="shared" si="10"/>
        <v>0</v>
      </c>
      <c r="P156">
        <f t="shared" si="11"/>
        <v>3</v>
      </c>
    </row>
    <row r="157" spans="1:16" x14ac:dyDescent="0.3">
      <c r="A157" t="s">
        <v>542</v>
      </c>
      <c r="B157" t="s">
        <v>12</v>
      </c>
      <c r="C157" s="92">
        <v>42029</v>
      </c>
      <c r="D157" s="46">
        <v>66</v>
      </c>
      <c r="E157" s="47">
        <v>0.39</v>
      </c>
      <c r="F157" t="s">
        <v>33</v>
      </c>
      <c r="J157" t="s">
        <v>720</v>
      </c>
      <c r="K157">
        <f>COUNTIF($A$1:A157,A157)</f>
        <v>1</v>
      </c>
      <c r="L157" t="str">
        <f>VLOOKUP(A157,'Cadastro de Produtos'!A:B,2,0)</f>
        <v>Gabinete NZXT Alpha Tunning Preto</v>
      </c>
      <c r="M157">
        <f t="shared" si="8"/>
        <v>66</v>
      </c>
      <c r="N157">
        <f t="shared" si="9"/>
        <v>0</v>
      </c>
      <c r="O157">
        <f t="shared" si="10"/>
        <v>0</v>
      </c>
      <c r="P157">
        <f t="shared" si="11"/>
        <v>66</v>
      </c>
    </row>
    <row r="158" spans="1:16" x14ac:dyDescent="0.3">
      <c r="A158" t="s">
        <v>543</v>
      </c>
      <c r="B158" t="s">
        <v>12</v>
      </c>
      <c r="C158" s="92">
        <v>42029</v>
      </c>
      <c r="D158" s="46">
        <v>8</v>
      </c>
      <c r="E158" s="47">
        <v>0.39</v>
      </c>
      <c r="F158" t="s">
        <v>33</v>
      </c>
      <c r="J158" t="s">
        <v>720</v>
      </c>
      <c r="K158">
        <f>COUNTIF($A$1:A158,A158)</f>
        <v>1</v>
      </c>
      <c r="L158" t="str">
        <f>VLOOKUP(A158,'Cadastro de Produtos'!A:B,2,0)</f>
        <v>Gabinete NZXT Apollo Preto</v>
      </c>
      <c r="M158">
        <f t="shared" si="8"/>
        <v>8</v>
      </c>
      <c r="N158">
        <f t="shared" si="9"/>
        <v>0</v>
      </c>
      <c r="O158">
        <f t="shared" si="10"/>
        <v>0</v>
      </c>
      <c r="P158">
        <f t="shared" si="11"/>
        <v>8</v>
      </c>
    </row>
    <row r="159" spans="1:16" x14ac:dyDescent="0.3">
      <c r="A159" t="s">
        <v>544</v>
      </c>
      <c r="B159" t="s">
        <v>12</v>
      </c>
      <c r="C159" s="92">
        <v>42029</v>
      </c>
      <c r="D159" s="46">
        <v>30</v>
      </c>
      <c r="E159" s="47">
        <v>1.03</v>
      </c>
      <c r="F159" t="s">
        <v>33</v>
      </c>
      <c r="J159" t="s">
        <v>720</v>
      </c>
      <c r="K159">
        <f>COUNTIF($A$1:A159,A159)</f>
        <v>1</v>
      </c>
      <c r="L159" t="str">
        <f>VLOOKUP(A159,'Cadastro de Produtos'!A:B,2,0)</f>
        <v>Gabinete NZXT Beta Evo Preto</v>
      </c>
      <c r="M159">
        <f t="shared" si="8"/>
        <v>30</v>
      </c>
      <c r="N159">
        <f t="shared" si="9"/>
        <v>0</v>
      </c>
      <c r="O159">
        <f t="shared" si="10"/>
        <v>0</v>
      </c>
      <c r="P159">
        <f t="shared" si="11"/>
        <v>30</v>
      </c>
    </row>
    <row r="160" spans="1:16" x14ac:dyDescent="0.3">
      <c r="A160" t="s">
        <v>545</v>
      </c>
      <c r="B160" t="s">
        <v>12</v>
      </c>
      <c r="C160" s="92">
        <v>42029</v>
      </c>
      <c r="D160" s="46">
        <v>49</v>
      </c>
      <c r="E160" s="47">
        <v>1.21</v>
      </c>
      <c r="F160" t="s">
        <v>33</v>
      </c>
      <c r="J160" t="s">
        <v>720</v>
      </c>
      <c r="K160">
        <f>COUNTIF($A$1:A160,A160)</f>
        <v>1</v>
      </c>
      <c r="L160" t="str">
        <f>VLOOKUP(A160,'Cadastro de Produtos'!A:B,2,0)</f>
        <v>Gabinete NZXT Gamma Cs-nt-(blk) Preto</v>
      </c>
      <c r="M160">
        <f t="shared" si="8"/>
        <v>49</v>
      </c>
      <c r="N160">
        <f t="shared" si="9"/>
        <v>0</v>
      </c>
      <c r="O160">
        <f t="shared" si="10"/>
        <v>0</v>
      </c>
      <c r="P160">
        <f t="shared" si="11"/>
        <v>49</v>
      </c>
    </row>
    <row r="161" spans="1:16" x14ac:dyDescent="0.3">
      <c r="A161" t="s">
        <v>546</v>
      </c>
      <c r="B161" t="s">
        <v>12</v>
      </c>
      <c r="C161" s="92">
        <v>42029</v>
      </c>
      <c r="D161" s="46">
        <v>8</v>
      </c>
      <c r="E161" s="47">
        <v>0.44</v>
      </c>
      <c r="F161" t="s">
        <v>33</v>
      </c>
      <c r="J161" t="s">
        <v>720</v>
      </c>
      <c r="K161">
        <f>COUNTIF($A$1:A161,A161)</f>
        <v>1</v>
      </c>
      <c r="L161" t="str">
        <f>VLOOKUP(A161,'Cadastro de Produtos'!A:B,2,0)</f>
        <v>Gabinete NZXT Guardian 921 Preto</v>
      </c>
      <c r="M161">
        <f t="shared" si="8"/>
        <v>8</v>
      </c>
      <c r="N161">
        <f t="shared" si="9"/>
        <v>0</v>
      </c>
      <c r="O161">
        <f t="shared" si="10"/>
        <v>0</v>
      </c>
      <c r="P161">
        <f t="shared" si="11"/>
        <v>8</v>
      </c>
    </row>
    <row r="162" spans="1:16" x14ac:dyDescent="0.3">
      <c r="A162" t="s">
        <v>547</v>
      </c>
      <c r="B162" t="s">
        <v>12</v>
      </c>
      <c r="C162" s="92">
        <v>42029</v>
      </c>
      <c r="D162" s="46">
        <v>54</v>
      </c>
      <c r="E162" s="47">
        <v>1.26</v>
      </c>
      <c r="F162" t="s">
        <v>33</v>
      </c>
      <c r="J162" t="s">
        <v>720</v>
      </c>
      <c r="K162">
        <f>COUNTIF($A$1:A162,A162)</f>
        <v>1</v>
      </c>
      <c r="L162" t="str">
        <f>VLOOKUP(A162,'Cadastro de Produtos'!A:B,2,0)</f>
        <v>Gabinete NZXT Lexa S Preto com Led Azul</v>
      </c>
      <c r="M162">
        <f t="shared" si="8"/>
        <v>54</v>
      </c>
      <c r="N162">
        <f t="shared" si="9"/>
        <v>0</v>
      </c>
      <c r="O162">
        <f t="shared" si="10"/>
        <v>0</v>
      </c>
      <c r="P162">
        <f t="shared" si="11"/>
        <v>54</v>
      </c>
    </row>
    <row r="163" spans="1:16" x14ac:dyDescent="0.3">
      <c r="A163" t="s">
        <v>548</v>
      </c>
      <c r="B163" t="s">
        <v>12</v>
      </c>
      <c r="C163" s="92">
        <v>42029</v>
      </c>
      <c r="D163" s="46">
        <v>20</v>
      </c>
      <c r="E163" s="47">
        <v>1.63</v>
      </c>
      <c r="F163" t="s">
        <v>33</v>
      </c>
      <c r="J163" t="s">
        <v>720</v>
      </c>
      <c r="K163">
        <f>COUNTIF($A$1:A163,A163)</f>
        <v>1</v>
      </c>
      <c r="L163" t="str">
        <f>VLOOKUP(A163,'Cadastro de Produtos'!A:B,2,0)</f>
        <v>Gabinete RACK 2U NILKO NK220 530 mm (s/ fonte)</v>
      </c>
      <c r="M163">
        <f t="shared" si="8"/>
        <v>20</v>
      </c>
      <c r="N163">
        <f t="shared" si="9"/>
        <v>0</v>
      </c>
      <c r="O163">
        <f t="shared" si="10"/>
        <v>0</v>
      </c>
      <c r="P163">
        <f t="shared" si="11"/>
        <v>20</v>
      </c>
    </row>
    <row r="164" spans="1:16" x14ac:dyDescent="0.3">
      <c r="A164" t="s">
        <v>549</v>
      </c>
      <c r="B164" t="s">
        <v>12</v>
      </c>
      <c r="C164" s="92">
        <v>42029</v>
      </c>
      <c r="D164" s="46">
        <v>29</v>
      </c>
      <c r="E164" s="47">
        <v>1.71</v>
      </c>
      <c r="F164" t="s">
        <v>33</v>
      </c>
      <c r="J164" t="s">
        <v>720</v>
      </c>
      <c r="K164">
        <f>COUNTIF($A$1:A164,A164)</f>
        <v>1</v>
      </c>
      <c r="L164" t="str">
        <f>VLOOKUP(A164,'Cadastro de Produtos'!A:B,2,0)</f>
        <v>Gabinete RACK 4U NILKO NK211 530mm (s/ fonte)</v>
      </c>
      <c r="M164">
        <f t="shared" si="8"/>
        <v>29</v>
      </c>
      <c r="N164">
        <f t="shared" si="9"/>
        <v>0</v>
      </c>
      <c r="O164">
        <f t="shared" si="10"/>
        <v>0</v>
      </c>
      <c r="P164">
        <f t="shared" si="11"/>
        <v>29</v>
      </c>
    </row>
    <row r="165" spans="1:16" x14ac:dyDescent="0.3">
      <c r="A165" t="s">
        <v>550</v>
      </c>
      <c r="B165" t="s">
        <v>12</v>
      </c>
      <c r="C165" s="92">
        <v>42029</v>
      </c>
      <c r="D165" s="46">
        <v>18</v>
      </c>
      <c r="E165" s="47">
        <v>1.83</v>
      </c>
      <c r="F165" t="s">
        <v>33</v>
      </c>
      <c r="J165" t="s">
        <v>720</v>
      </c>
      <c r="K165">
        <f>COUNTIF($A$1:A165,A165)</f>
        <v>1</v>
      </c>
      <c r="L165" t="str">
        <f>VLOOKUP(A165,'Cadastro de Produtos'!A:B,2,0)</f>
        <v>Gabinete Servidor Chieftec BH-02BBB ATX (s/ fonte)</v>
      </c>
      <c r="M165">
        <f t="shared" si="8"/>
        <v>18</v>
      </c>
      <c r="N165">
        <f t="shared" si="9"/>
        <v>0</v>
      </c>
      <c r="O165">
        <f t="shared" si="10"/>
        <v>0</v>
      </c>
      <c r="P165">
        <f t="shared" si="11"/>
        <v>18</v>
      </c>
    </row>
    <row r="166" spans="1:16" x14ac:dyDescent="0.3">
      <c r="A166" t="s">
        <v>551</v>
      </c>
      <c r="B166" t="s">
        <v>12</v>
      </c>
      <c r="C166" s="92">
        <v>42029</v>
      </c>
      <c r="D166" s="46">
        <v>25</v>
      </c>
      <c r="E166" s="47">
        <v>0.69</v>
      </c>
      <c r="F166" t="s">
        <v>33</v>
      </c>
      <c r="J166" t="s">
        <v>720</v>
      </c>
      <c r="K166">
        <f>COUNTIF($A$1:A166,A166)</f>
        <v>1</v>
      </c>
      <c r="L166" t="str">
        <f>VLOOKUP(A166,'Cadastro de Produtos'!A:B,2,0)</f>
        <v>Gabinete THERMALTAKE SD100 MINI ITX C/ FONTE 120W</v>
      </c>
      <c r="M166">
        <f t="shared" si="8"/>
        <v>25</v>
      </c>
      <c r="N166">
        <f t="shared" si="9"/>
        <v>0</v>
      </c>
      <c r="O166">
        <f t="shared" si="10"/>
        <v>0</v>
      </c>
      <c r="P166">
        <f t="shared" si="11"/>
        <v>25</v>
      </c>
    </row>
    <row r="167" spans="1:16" x14ac:dyDescent="0.3">
      <c r="A167" t="s">
        <v>552</v>
      </c>
      <c r="B167" t="s">
        <v>12</v>
      </c>
      <c r="C167" s="92">
        <v>42029</v>
      </c>
      <c r="D167" s="46">
        <v>20</v>
      </c>
      <c r="E167" s="47">
        <v>0.82</v>
      </c>
      <c r="F167" t="s">
        <v>33</v>
      </c>
      <c r="J167" t="s">
        <v>720</v>
      </c>
      <c r="K167">
        <f>COUNTIF($A$1:A167,A167)</f>
        <v>1</v>
      </c>
      <c r="L167" t="str">
        <f>VLOOKUP(A167,'Cadastro de Produtos'!A:B,2,0)</f>
        <v>Gaveta Externa Max power para HD SATA 2,5 USB</v>
      </c>
      <c r="M167">
        <f t="shared" si="8"/>
        <v>20</v>
      </c>
      <c r="N167">
        <f t="shared" si="9"/>
        <v>0</v>
      </c>
      <c r="O167">
        <f t="shared" si="10"/>
        <v>0</v>
      </c>
      <c r="P167">
        <f t="shared" si="11"/>
        <v>20</v>
      </c>
    </row>
    <row r="168" spans="1:16" x14ac:dyDescent="0.3">
      <c r="A168" t="s">
        <v>553</v>
      </c>
      <c r="B168" t="s">
        <v>12</v>
      </c>
      <c r="C168" s="92">
        <v>42029</v>
      </c>
      <c r="D168" s="46">
        <v>33</v>
      </c>
      <c r="E168" s="47">
        <v>1.06</v>
      </c>
      <c r="F168" t="s">
        <v>33</v>
      </c>
      <c r="J168" t="s">
        <v>720</v>
      </c>
      <c r="K168">
        <f>COUNTIF($A$1:A168,A168)</f>
        <v>1</v>
      </c>
      <c r="L168" t="str">
        <f>VLOOKUP(A168,'Cadastro de Produtos'!A:B,2,0)</f>
        <v>Gaveta Externa Max power para HD SATA 3,5 USB</v>
      </c>
      <c r="M168">
        <f t="shared" si="8"/>
        <v>33</v>
      </c>
      <c r="N168">
        <f t="shared" si="9"/>
        <v>0</v>
      </c>
      <c r="O168">
        <f t="shared" si="10"/>
        <v>0</v>
      </c>
      <c r="P168">
        <f t="shared" si="11"/>
        <v>33</v>
      </c>
    </row>
    <row r="169" spans="1:16" x14ac:dyDescent="0.3">
      <c r="A169" t="s">
        <v>554</v>
      </c>
      <c r="B169" t="s">
        <v>12</v>
      </c>
      <c r="C169" s="92">
        <v>42029</v>
      </c>
      <c r="D169" s="46">
        <v>39</v>
      </c>
      <c r="E169" s="47">
        <v>1.54</v>
      </c>
      <c r="F169" t="s">
        <v>33</v>
      </c>
      <c r="J169" t="s">
        <v>720</v>
      </c>
      <c r="K169">
        <f>COUNTIF($A$1:A169,A169)</f>
        <v>1</v>
      </c>
      <c r="L169" t="str">
        <f>VLOOKUP(A169,'Cadastro de Produtos'!A:B,2,0)</f>
        <v>Gaveta Externa Microbon para HD IDE 2,5 USB</v>
      </c>
      <c r="M169">
        <f t="shared" si="8"/>
        <v>39</v>
      </c>
      <c r="N169">
        <f t="shared" si="9"/>
        <v>0</v>
      </c>
      <c r="O169">
        <f t="shared" si="10"/>
        <v>0</v>
      </c>
      <c r="P169">
        <f t="shared" si="11"/>
        <v>39</v>
      </c>
    </row>
    <row r="170" spans="1:16" x14ac:dyDescent="0.3">
      <c r="A170" t="s">
        <v>555</v>
      </c>
      <c r="B170" t="s">
        <v>12</v>
      </c>
      <c r="C170" s="92">
        <v>42029</v>
      </c>
      <c r="D170" s="46">
        <v>14</v>
      </c>
      <c r="E170" s="47">
        <v>1.85</v>
      </c>
      <c r="F170" t="s">
        <v>33</v>
      </c>
      <c r="J170" t="s">
        <v>720</v>
      </c>
      <c r="K170">
        <f>COUNTIF($A$1:A170,A170)</f>
        <v>1</v>
      </c>
      <c r="L170" t="str">
        <f>VLOOKUP(A170,'Cadastro de Produtos'!A:B,2,0)</f>
        <v>Gaveta Externa Mtek EN251A para HD SATA 2 ½ USB</v>
      </c>
      <c r="M170">
        <f t="shared" si="8"/>
        <v>14</v>
      </c>
      <c r="N170">
        <f t="shared" si="9"/>
        <v>0</v>
      </c>
      <c r="O170">
        <f t="shared" si="10"/>
        <v>0</v>
      </c>
      <c r="P170">
        <f t="shared" si="11"/>
        <v>14</v>
      </c>
    </row>
    <row r="171" spans="1:16" x14ac:dyDescent="0.3">
      <c r="A171" t="s">
        <v>556</v>
      </c>
      <c r="B171" t="s">
        <v>12</v>
      </c>
      <c r="C171" s="92">
        <v>42029</v>
      </c>
      <c r="D171" s="46">
        <v>5</v>
      </c>
      <c r="E171" s="47">
        <v>2.0299999999999998</v>
      </c>
      <c r="F171" t="s">
        <v>33</v>
      </c>
      <c r="J171" t="s">
        <v>720</v>
      </c>
      <c r="K171">
        <f>COUNTIF($A$1:A171,A171)</f>
        <v>1</v>
      </c>
      <c r="L171" t="str">
        <f>VLOOKUP(A171,'Cadastro de Produtos'!A:B,2,0)</f>
        <v>Gaveta Externa Mtek EN352A para HD SATA 3 ½ USB</v>
      </c>
      <c r="M171">
        <f t="shared" si="8"/>
        <v>5</v>
      </c>
      <c r="N171">
        <f t="shared" si="9"/>
        <v>0</v>
      </c>
      <c r="O171">
        <f t="shared" si="10"/>
        <v>0</v>
      </c>
      <c r="P171">
        <f t="shared" si="11"/>
        <v>5</v>
      </c>
    </row>
    <row r="172" spans="1:16" x14ac:dyDescent="0.3">
      <c r="A172" t="s">
        <v>557</v>
      </c>
      <c r="B172" t="s">
        <v>12</v>
      </c>
      <c r="C172" s="92">
        <v>42029</v>
      </c>
      <c r="D172" s="46">
        <v>57</v>
      </c>
      <c r="E172" s="47">
        <v>0.4</v>
      </c>
      <c r="F172" t="s">
        <v>33</v>
      </c>
      <c r="J172" t="s">
        <v>720</v>
      </c>
      <c r="K172">
        <f>COUNTIF($A$1:A172,A172)</f>
        <v>1</v>
      </c>
      <c r="L172" t="str">
        <f>VLOOKUP(A172,'Cadastro de Produtos'!A:B,2,0)</f>
        <v>Gaveta Interna Hot Swap 3.5 ICY DOCK MB877SK-B SATA</v>
      </c>
      <c r="M172">
        <f t="shared" si="8"/>
        <v>57</v>
      </c>
      <c r="N172">
        <f t="shared" si="9"/>
        <v>0</v>
      </c>
      <c r="O172">
        <f t="shared" si="10"/>
        <v>0</v>
      </c>
      <c r="P172">
        <f t="shared" si="11"/>
        <v>57</v>
      </c>
    </row>
    <row r="173" spans="1:16" x14ac:dyDescent="0.3">
      <c r="A173" t="s">
        <v>558</v>
      </c>
      <c r="B173" t="s">
        <v>12</v>
      </c>
      <c r="C173" s="92">
        <v>42029</v>
      </c>
      <c r="D173" s="46">
        <v>25</v>
      </c>
      <c r="E173" s="47">
        <v>0.6</v>
      </c>
      <c r="F173" t="s">
        <v>33</v>
      </c>
      <c r="J173" t="s">
        <v>720</v>
      </c>
      <c r="K173">
        <f>COUNTIF($A$1:A173,A173)</f>
        <v>1</v>
      </c>
      <c r="L173" t="str">
        <f>VLOOKUP(A173,'Cadastro de Produtos'!A:B,2,0)</f>
        <v>Gravador DVD Notebook IDE Sony AD-7590A-01</v>
      </c>
      <c r="M173">
        <f t="shared" si="8"/>
        <v>25</v>
      </c>
      <c r="N173">
        <f t="shared" si="9"/>
        <v>0</v>
      </c>
      <c r="O173">
        <f t="shared" si="10"/>
        <v>0</v>
      </c>
      <c r="P173">
        <f t="shared" si="11"/>
        <v>25</v>
      </c>
    </row>
    <row r="174" spans="1:16" x14ac:dyDescent="0.3">
      <c r="A174" t="s">
        <v>559</v>
      </c>
      <c r="B174" t="s">
        <v>12</v>
      </c>
      <c r="C174" s="92">
        <v>42029</v>
      </c>
      <c r="D174" s="46">
        <v>59</v>
      </c>
      <c r="E174" s="47">
        <v>0.62</v>
      </c>
      <c r="F174" t="s">
        <v>33</v>
      </c>
      <c r="J174" t="s">
        <v>720</v>
      </c>
      <c r="K174">
        <f>COUNTIF($A$1:A174,A174)</f>
        <v>1</v>
      </c>
      <c r="L174" t="str">
        <f>VLOOKUP(A174,'Cadastro de Produtos'!A:B,2,0)</f>
        <v>Gravador DVD-RW LG IDE (Preto/OEM)</v>
      </c>
      <c r="M174">
        <f t="shared" si="8"/>
        <v>59</v>
      </c>
      <c r="N174">
        <f t="shared" si="9"/>
        <v>0</v>
      </c>
      <c r="O174">
        <f t="shared" si="10"/>
        <v>0</v>
      </c>
      <c r="P174">
        <f t="shared" si="11"/>
        <v>59</v>
      </c>
    </row>
    <row r="175" spans="1:16" x14ac:dyDescent="0.3">
      <c r="A175" t="s">
        <v>560</v>
      </c>
      <c r="B175" t="s">
        <v>12</v>
      </c>
      <c r="C175" s="92">
        <v>42029</v>
      </c>
      <c r="D175" s="46">
        <v>61</v>
      </c>
      <c r="E175" s="47">
        <v>0.66</v>
      </c>
      <c r="F175" t="s">
        <v>33</v>
      </c>
      <c r="J175" t="s">
        <v>720</v>
      </c>
      <c r="K175">
        <f>COUNTIF($A$1:A175,A175)</f>
        <v>1</v>
      </c>
      <c r="L175" t="str">
        <f>VLOOKUP(A175,'Cadastro de Produtos'!A:B,2,0)</f>
        <v>Gravador DVD-RW LG SATA (Preto/OEM)</v>
      </c>
      <c r="M175">
        <f t="shared" si="8"/>
        <v>61</v>
      </c>
      <c r="N175">
        <f t="shared" si="9"/>
        <v>0</v>
      </c>
      <c r="O175">
        <f t="shared" si="10"/>
        <v>0</v>
      </c>
      <c r="P175">
        <f t="shared" si="11"/>
        <v>61</v>
      </c>
    </row>
    <row r="176" spans="1:16" x14ac:dyDescent="0.3">
      <c r="A176" t="s">
        <v>561</v>
      </c>
      <c r="B176" t="s">
        <v>12</v>
      </c>
      <c r="C176" s="92">
        <v>42029</v>
      </c>
      <c r="D176" s="46">
        <v>6</v>
      </c>
      <c r="E176" s="47">
        <v>1.17</v>
      </c>
      <c r="F176" t="s">
        <v>33</v>
      </c>
      <c r="J176" t="s">
        <v>720</v>
      </c>
      <c r="K176">
        <f>COUNTIF($A$1:A176,A176)</f>
        <v>1</v>
      </c>
      <c r="L176" t="str">
        <f>VLOOKUP(A176,'Cadastro de Produtos'!A:B,2,0)</f>
        <v>Gravador DVD-RW Samsung IDE (Preto/OEM)</v>
      </c>
      <c r="M176">
        <f t="shared" si="8"/>
        <v>6</v>
      </c>
      <c r="N176">
        <f t="shared" si="9"/>
        <v>0</v>
      </c>
      <c r="O176">
        <f t="shared" si="10"/>
        <v>0</v>
      </c>
      <c r="P176">
        <f t="shared" si="11"/>
        <v>6</v>
      </c>
    </row>
    <row r="177" spans="1:16" x14ac:dyDescent="0.3">
      <c r="A177" t="s">
        <v>566</v>
      </c>
      <c r="B177" t="s">
        <v>12</v>
      </c>
      <c r="C177" s="92">
        <v>42029</v>
      </c>
      <c r="D177" s="46">
        <v>13</v>
      </c>
      <c r="E177" s="47">
        <v>0.55000000000000004</v>
      </c>
      <c r="F177" t="s">
        <v>33</v>
      </c>
      <c r="J177" t="s">
        <v>720</v>
      </c>
      <c r="K177">
        <f>COUNTIF($A$1:A177,A177)</f>
        <v>1</v>
      </c>
      <c r="L177" t="str">
        <f>VLOOKUP(A177,'Cadastro de Produtos'!A:B,2,0)</f>
        <v>Gravador Externo Slim Liteon ESAU208 USB Preto</v>
      </c>
      <c r="M177">
        <f t="shared" si="8"/>
        <v>13</v>
      </c>
      <c r="N177">
        <f t="shared" si="9"/>
        <v>0</v>
      </c>
      <c r="O177">
        <f t="shared" si="10"/>
        <v>0</v>
      </c>
      <c r="P177">
        <f t="shared" si="11"/>
        <v>13</v>
      </c>
    </row>
    <row r="178" spans="1:16" x14ac:dyDescent="0.3">
      <c r="A178" t="s">
        <v>589</v>
      </c>
      <c r="B178" t="s">
        <v>12</v>
      </c>
      <c r="C178" s="92">
        <v>42029</v>
      </c>
      <c r="D178" s="46">
        <v>2</v>
      </c>
      <c r="E178" s="47">
        <v>16.989999999999998</v>
      </c>
      <c r="F178" t="s">
        <v>33</v>
      </c>
      <c r="J178" t="s">
        <v>720</v>
      </c>
      <c r="K178">
        <f>COUNTIF($A$1:A178,A178)</f>
        <v>1</v>
      </c>
      <c r="L178" t="str">
        <f>VLOOKUP(A178,'Cadastro de Produtos'!A:B,2,0)</f>
        <v>HD SATA II 320GB Seagate 16MB 7.200RPM</v>
      </c>
      <c r="M178">
        <f t="shared" si="8"/>
        <v>2</v>
      </c>
      <c r="N178">
        <f t="shared" si="9"/>
        <v>0</v>
      </c>
      <c r="O178">
        <f t="shared" si="10"/>
        <v>0</v>
      </c>
      <c r="P178">
        <f t="shared" si="11"/>
        <v>2</v>
      </c>
    </row>
    <row r="179" spans="1:16" x14ac:dyDescent="0.3">
      <c r="A179" t="s">
        <v>590</v>
      </c>
      <c r="B179" t="s">
        <v>12</v>
      </c>
      <c r="C179" s="92">
        <v>42029</v>
      </c>
      <c r="D179" s="46">
        <v>29</v>
      </c>
      <c r="E179" s="47">
        <v>22.7</v>
      </c>
      <c r="F179" t="s">
        <v>33</v>
      </c>
      <c r="J179" t="s">
        <v>720</v>
      </c>
      <c r="K179">
        <f>COUNTIF($A$1:A179,A179)</f>
        <v>1</v>
      </c>
      <c r="L179" t="str">
        <f>VLOOKUP(A179,'Cadastro de Produtos'!A:B,2,0)</f>
        <v>HD SATA II 500GB Maxtor/W.Digital/Samsung 7.200RPM</v>
      </c>
      <c r="M179">
        <f t="shared" si="8"/>
        <v>29</v>
      </c>
      <c r="N179">
        <f t="shared" si="9"/>
        <v>0</v>
      </c>
      <c r="O179">
        <f t="shared" si="10"/>
        <v>0</v>
      </c>
      <c r="P179">
        <f t="shared" si="11"/>
        <v>29</v>
      </c>
    </row>
    <row r="180" spans="1:16" x14ac:dyDescent="0.3">
      <c r="A180" t="s">
        <v>588</v>
      </c>
      <c r="B180" t="s">
        <v>12</v>
      </c>
      <c r="C180" s="92">
        <v>42029</v>
      </c>
      <c r="D180" s="46">
        <v>13</v>
      </c>
      <c r="E180" s="47">
        <v>27.12</v>
      </c>
      <c r="F180" t="s">
        <v>33</v>
      </c>
      <c r="J180" t="s">
        <v>720</v>
      </c>
      <c r="K180">
        <f>COUNTIF($A$1:A180,A180)</f>
        <v>1</v>
      </c>
      <c r="L180" t="str">
        <f>VLOOKUP(A180,'Cadastro de Produtos'!A:B,2,0)</f>
        <v>HD SATA II 320GB Maxtor/W.Digital/Samsung 7.200RPM</v>
      </c>
      <c r="M180">
        <f t="shared" si="8"/>
        <v>13</v>
      </c>
      <c r="N180">
        <f t="shared" si="9"/>
        <v>0</v>
      </c>
      <c r="O180">
        <f t="shared" si="10"/>
        <v>0</v>
      </c>
      <c r="P180">
        <f t="shared" si="11"/>
        <v>13</v>
      </c>
    </row>
    <row r="181" spans="1:16" x14ac:dyDescent="0.3">
      <c r="A181" t="s">
        <v>591</v>
      </c>
      <c r="B181" t="s">
        <v>12</v>
      </c>
      <c r="C181" s="92">
        <v>42029</v>
      </c>
      <c r="D181" s="46">
        <v>1</v>
      </c>
      <c r="E181" s="47">
        <v>37.01</v>
      </c>
      <c r="F181" t="s">
        <v>33</v>
      </c>
      <c r="J181" t="s">
        <v>720</v>
      </c>
      <c r="K181">
        <f>COUNTIF($A$1:A181,A181)</f>
        <v>1</v>
      </c>
      <c r="L181" t="str">
        <f>VLOOKUP(A181,'Cadastro de Produtos'!A:B,2,0)</f>
        <v>HD SATA II 500GB Seagate 16MB 7.200RPM</v>
      </c>
      <c r="M181">
        <f t="shared" si="8"/>
        <v>1</v>
      </c>
      <c r="N181">
        <f t="shared" si="9"/>
        <v>0</v>
      </c>
      <c r="O181">
        <f t="shared" si="10"/>
        <v>0</v>
      </c>
      <c r="P181">
        <f t="shared" si="11"/>
        <v>1</v>
      </c>
    </row>
    <row r="182" spans="1:16" x14ac:dyDescent="0.3">
      <c r="A182" t="s">
        <v>592</v>
      </c>
      <c r="B182" t="s">
        <v>12</v>
      </c>
      <c r="C182" s="92">
        <v>42029</v>
      </c>
      <c r="D182" s="46">
        <v>1</v>
      </c>
      <c r="E182" s="47">
        <v>42.1</v>
      </c>
      <c r="F182" t="s">
        <v>33</v>
      </c>
      <c r="J182" t="s">
        <v>720</v>
      </c>
      <c r="K182">
        <f>COUNTIF($A$1:A182,A182)</f>
        <v>1</v>
      </c>
      <c r="L182" t="str">
        <f>VLOOKUP(A182,'Cadastro de Produtos'!A:B,2,0)</f>
        <v>HD SATA NOTEBOOK 160GB Samsung 5.400RPM</v>
      </c>
      <c r="M182">
        <f t="shared" si="8"/>
        <v>1</v>
      </c>
      <c r="N182">
        <f t="shared" si="9"/>
        <v>0</v>
      </c>
      <c r="O182">
        <f t="shared" si="10"/>
        <v>0</v>
      </c>
      <c r="P182">
        <f t="shared" si="11"/>
        <v>1</v>
      </c>
    </row>
    <row r="183" spans="1:16" x14ac:dyDescent="0.3">
      <c r="A183" t="s">
        <v>593</v>
      </c>
      <c r="B183" t="s">
        <v>12</v>
      </c>
      <c r="C183" s="92">
        <v>42029</v>
      </c>
      <c r="D183" s="46">
        <v>1</v>
      </c>
      <c r="E183" s="47">
        <v>64.58</v>
      </c>
      <c r="F183" t="s">
        <v>33</v>
      </c>
      <c r="J183" t="s">
        <v>720</v>
      </c>
      <c r="K183">
        <f>COUNTIF($A$1:A183,A183)</f>
        <v>1</v>
      </c>
      <c r="L183" t="str">
        <f>VLOOKUP(A183,'Cadastro de Produtos'!A:B,2,0)</f>
        <v>HD SATA NOTEBOOK 250GB WD 5.400RPM</v>
      </c>
      <c r="M183">
        <f t="shared" si="8"/>
        <v>1</v>
      </c>
      <c r="N183">
        <f t="shared" si="9"/>
        <v>0</v>
      </c>
      <c r="O183">
        <f t="shared" si="10"/>
        <v>0</v>
      </c>
      <c r="P183">
        <f t="shared" si="11"/>
        <v>1</v>
      </c>
    </row>
    <row r="184" spans="1:16" x14ac:dyDescent="0.3">
      <c r="A184" t="s">
        <v>594</v>
      </c>
      <c r="B184" t="s">
        <v>12</v>
      </c>
      <c r="C184" s="92">
        <v>42029</v>
      </c>
      <c r="D184" s="46">
        <v>2</v>
      </c>
      <c r="E184" s="47">
        <v>4.7300000000000004</v>
      </c>
      <c r="F184" t="s">
        <v>33</v>
      </c>
      <c r="J184" t="s">
        <v>720</v>
      </c>
      <c r="K184">
        <f>COUNTIF($A$1:A184,A184)</f>
        <v>1</v>
      </c>
      <c r="L184" t="str">
        <f>VLOOKUP(A184,'Cadastro de Produtos'!A:B,2,0)</f>
        <v>HD SATA NOTEBOOK 320GB WD 5.400RPM</v>
      </c>
      <c r="M184">
        <f t="shared" si="8"/>
        <v>2</v>
      </c>
      <c r="N184">
        <f t="shared" si="9"/>
        <v>0</v>
      </c>
      <c r="O184">
        <f t="shared" si="10"/>
        <v>0</v>
      </c>
      <c r="P184">
        <f t="shared" si="11"/>
        <v>2</v>
      </c>
    </row>
    <row r="185" spans="1:16" x14ac:dyDescent="0.3">
      <c r="A185" t="s">
        <v>595</v>
      </c>
      <c r="B185" t="s">
        <v>12</v>
      </c>
      <c r="C185" s="92">
        <v>42029</v>
      </c>
      <c r="D185" s="46">
        <v>2</v>
      </c>
      <c r="E185" s="47">
        <v>7.79</v>
      </c>
      <c r="F185" t="s">
        <v>33</v>
      </c>
      <c r="J185" t="s">
        <v>720</v>
      </c>
      <c r="K185">
        <f>COUNTIF($A$1:A185,A185)</f>
        <v>1</v>
      </c>
      <c r="L185" t="str">
        <f>VLOOKUP(A185,'Cadastro de Produtos'!A:B,2,0)</f>
        <v>HD SSD 160Gb Intel SSDSA2MH160G2C1902384</v>
      </c>
      <c r="M185">
        <f t="shared" si="8"/>
        <v>2</v>
      </c>
      <c r="N185">
        <f t="shared" si="9"/>
        <v>0</v>
      </c>
      <c r="O185">
        <f t="shared" si="10"/>
        <v>0</v>
      </c>
      <c r="P185">
        <f t="shared" si="11"/>
        <v>2</v>
      </c>
    </row>
    <row r="186" spans="1:16" x14ac:dyDescent="0.3">
      <c r="A186" t="s">
        <v>596</v>
      </c>
      <c r="B186" t="s">
        <v>12</v>
      </c>
      <c r="C186" s="92">
        <v>42029</v>
      </c>
      <c r="D186" s="46">
        <v>1</v>
      </c>
      <c r="E186" s="47">
        <v>10.32</v>
      </c>
      <c r="F186" t="s">
        <v>33</v>
      </c>
      <c r="J186" t="s">
        <v>720</v>
      </c>
      <c r="K186">
        <f>COUNTIF($A$1:A186,A186)</f>
        <v>1</v>
      </c>
      <c r="L186" t="str">
        <f>VLOOKUP(A186,'Cadastro de Produtos'!A:B,2,0)</f>
        <v>Headset C3 Tech 662863 Multimidia Stereo</v>
      </c>
      <c r="M186">
        <f t="shared" si="8"/>
        <v>1</v>
      </c>
      <c r="N186">
        <f t="shared" si="9"/>
        <v>0</v>
      </c>
      <c r="O186">
        <f t="shared" si="10"/>
        <v>0</v>
      </c>
      <c r="P186">
        <f t="shared" si="11"/>
        <v>1</v>
      </c>
    </row>
    <row r="187" spans="1:16" x14ac:dyDescent="0.3">
      <c r="A187" t="s">
        <v>597</v>
      </c>
      <c r="B187" t="s">
        <v>12</v>
      </c>
      <c r="C187" s="92">
        <v>42029</v>
      </c>
      <c r="D187" s="46">
        <v>1</v>
      </c>
      <c r="E187" s="47">
        <v>54.94</v>
      </c>
      <c r="F187" t="s">
        <v>33</v>
      </c>
      <c r="J187" t="s">
        <v>720</v>
      </c>
      <c r="K187">
        <f>COUNTIF($A$1:A187,A187)</f>
        <v>1</v>
      </c>
      <c r="L187" t="str">
        <f>VLOOKUP(A187,'Cadastro de Produtos'!A:B,2,0)</f>
        <v>Headset sem fio Microsoft LifeChat ZX-6000</v>
      </c>
      <c r="M187">
        <f t="shared" si="8"/>
        <v>1</v>
      </c>
      <c r="N187">
        <f t="shared" si="9"/>
        <v>0</v>
      </c>
      <c r="O187">
        <f t="shared" si="10"/>
        <v>0</v>
      </c>
      <c r="P187">
        <f t="shared" si="11"/>
        <v>1</v>
      </c>
    </row>
    <row r="188" spans="1:16" x14ac:dyDescent="0.3">
      <c r="A188" t="s">
        <v>608</v>
      </c>
      <c r="B188" t="s">
        <v>12</v>
      </c>
      <c r="C188" s="92">
        <v>42029</v>
      </c>
      <c r="D188" s="46">
        <v>42</v>
      </c>
      <c r="E188" s="47">
        <v>0.9</v>
      </c>
      <c r="F188" t="s">
        <v>33</v>
      </c>
      <c r="J188" t="s">
        <v>720</v>
      </c>
      <c r="K188">
        <f>COUNTIF($A$1:A188,A188)</f>
        <v>1</v>
      </c>
      <c r="L188" t="str">
        <f>VLOOKUP(A188,'Cadastro de Produtos'!A:B,2,0)</f>
        <v>Impressora HP OFFICEJET 6000DWN REDE WIRELESS DUPLEX</v>
      </c>
      <c r="M188">
        <f t="shared" si="8"/>
        <v>42</v>
      </c>
      <c r="N188">
        <f t="shared" si="9"/>
        <v>0</v>
      </c>
      <c r="O188">
        <f t="shared" si="10"/>
        <v>0</v>
      </c>
      <c r="P188">
        <f t="shared" si="11"/>
        <v>42</v>
      </c>
    </row>
    <row r="189" spans="1:16" x14ac:dyDescent="0.3">
      <c r="A189" t="s">
        <v>609</v>
      </c>
      <c r="B189" t="s">
        <v>12</v>
      </c>
      <c r="C189" s="92">
        <v>42029</v>
      </c>
      <c r="D189" s="46">
        <v>11</v>
      </c>
      <c r="E189" s="47">
        <v>1.1200000000000001</v>
      </c>
      <c r="F189" t="s">
        <v>33</v>
      </c>
      <c r="J189" t="s">
        <v>720</v>
      </c>
      <c r="K189">
        <f>COUNTIF($A$1:A189,A189)</f>
        <v>1</v>
      </c>
      <c r="L189" t="str">
        <f>VLOOKUP(A189,'Cadastro de Produtos'!A:B,2,0)</f>
        <v>Impressora HP Officejet 6000N</v>
      </c>
      <c r="M189">
        <f t="shared" si="8"/>
        <v>11</v>
      </c>
      <c r="N189">
        <f t="shared" si="9"/>
        <v>0</v>
      </c>
      <c r="O189">
        <f t="shared" si="10"/>
        <v>0</v>
      </c>
      <c r="P189">
        <f t="shared" si="11"/>
        <v>11</v>
      </c>
    </row>
    <row r="190" spans="1:16" x14ac:dyDescent="0.3">
      <c r="A190" t="s">
        <v>610</v>
      </c>
      <c r="B190" t="s">
        <v>12</v>
      </c>
      <c r="C190" s="92">
        <v>42029</v>
      </c>
      <c r="D190" s="46">
        <v>19</v>
      </c>
      <c r="E190" s="47">
        <v>2.1</v>
      </c>
      <c r="F190" t="s">
        <v>33</v>
      </c>
      <c r="J190" t="s">
        <v>720</v>
      </c>
      <c r="K190">
        <f>COUNTIF($A$1:A190,A190)</f>
        <v>1</v>
      </c>
      <c r="L190" t="str">
        <f>VLOOKUP(A190,'Cadastro de Produtos'!A:B,2,0)</f>
        <v>Impressora HP OFFICEJET PRO 8000DN REDE DUPLEX</v>
      </c>
      <c r="M190">
        <f t="shared" si="8"/>
        <v>19</v>
      </c>
      <c r="N190">
        <f t="shared" si="9"/>
        <v>0</v>
      </c>
      <c r="O190">
        <f t="shared" si="10"/>
        <v>0</v>
      </c>
      <c r="P190">
        <f t="shared" si="11"/>
        <v>19</v>
      </c>
    </row>
    <row r="191" spans="1:16" x14ac:dyDescent="0.3">
      <c r="A191" t="s">
        <v>611</v>
      </c>
      <c r="B191" t="s">
        <v>12</v>
      </c>
      <c r="C191" s="92">
        <v>42029</v>
      </c>
      <c r="D191" s="46">
        <v>23</v>
      </c>
      <c r="E191" s="47">
        <v>3.85</v>
      </c>
      <c r="F191" t="s">
        <v>33</v>
      </c>
      <c r="J191" t="s">
        <v>720</v>
      </c>
      <c r="K191">
        <f>COUNTIF($A$1:A191,A191)</f>
        <v>1</v>
      </c>
      <c r="L191" t="str">
        <f>VLOOKUP(A191,'Cadastro de Produtos'!A:B,2,0)</f>
        <v>Impressora Lexmark E260DN BR Laser Mono 1200x1200dpi 33ppm 32MB</v>
      </c>
      <c r="M191">
        <f t="shared" si="8"/>
        <v>23</v>
      </c>
      <c r="N191">
        <f t="shared" si="9"/>
        <v>0</v>
      </c>
      <c r="O191">
        <f t="shared" si="10"/>
        <v>0</v>
      </c>
      <c r="P191">
        <f t="shared" si="11"/>
        <v>23</v>
      </c>
    </row>
    <row r="192" spans="1:16" x14ac:dyDescent="0.3">
      <c r="A192" t="s">
        <v>612</v>
      </c>
      <c r="B192" t="s">
        <v>12</v>
      </c>
      <c r="C192" s="92">
        <v>42029</v>
      </c>
      <c r="D192" s="46">
        <v>13</v>
      </c>
      <c r="E192" s="47">
        <v>7.32</v>
      </c>
      <c r="F192" t="s">
        <v>33</v>
      </c>
      <c r="J192" t="s">
        <v>720</v>
      </c>
      <c r="K192">
        <f>COUNTIF($A$1:A192,A192)</f>
        <v>1</v>
      </c>
      <c r="L192" t="str">
        <f>VLOOKUP(A192,'Cadastro de Produtos'!A:B,2,0)</f>
        <v>Impressora Samsung CLP-315/XAZ Laser Color 2400x600 16ppm 32MB</v>
      </c>
      <c r="M192">
        <f t="shared" si="8"/>
        <v>13</v>
      </c>
      <c r="N192">
        <f t="shared" si="9"/>
        <v>0</v>
      </c>
      <c r="O192">
        <f t="shared" si="10"/>
        <v>0</v>
      </c>
      <c r="P192">
        <f t="shared" si="11"/>
        <v>13</v>
      </c>
    </row>
    <row r="193" spans="1:16" x14ac:dyDescent="0.3">
      <c r="A193" t="s">
        <v>613</v>
      </c>
      <c r="B193" t="s">
        <v>12</v>
      </c>
      <c r="C193" s="92">
        <v>42029</v>
      </c>
      <c r="D193" s="46">
        <v>3</v>
      </c>
      <c r="E193" s="47">
        <v>14.5</v>
      </c>
      <c r="F193" t="s">
        <v>33</v>
      </c>
      <c r="J193" t="s">
        <v>720</v>
      </c>
      <c r="K193">
        <f>COUNTIF($A$1:A193,A193)</f>
        <v>1</v>
      </c>
      <c r="L193" t="str">
        <f>VLOOKUP(A193,'Cadastro de Produtos'!A:B,2,0)</f>
        <v>Impressora Samsung ML-1665L/XAZ Laser Mono 1200x600 16ppm 8MB</v>
      </c>
      <c r="M193">
        <f t="shared" si="8"/>
        <v>3</v>
      </c>
      <c r="N193">
        <f t="shared" si="9"/>
        <v>0</v>
      </c>
      <c r="O193">
        <f t="shared" si="10"/>
        <v>0</v>
      </c>
      <c r="P193">
        <f t="shared" si="11"/>
        <v>3</v>
      </c>
    </row>
    <row r="194" spans="1:16" x14ac:dyDescent="0.3">
      <c r="A194" t="s">
        <v>614</v>
      </c>
      <c r="B194" t="s">
        <v>12</v>
      </c>
      <c r="C194" s="92">
        <v>42029</v>
      </c>
      <c r="D194" s="46">
        <v>2</v>
      </c>
      <c r="E194" s="47">
        <v>1.2</v>
      </c>
      <c r="F194" t="s">
        <v>33</v>
      </c>
      <c r="J194" t="s">
        <v>720</v>
      </c>
      <c r="K194">
        <f>COUNTIF($A$1:A194,A194)</f>
        <v>1</v>
      </c>
      <c r="L194" t="str">
        <f>VLOOKUP(A194,'Cadastro de Produtos'!A:B,2,0)</f>
        <v>Impressora Samsung ML-2851ND Laser Mono 1200x1200 28ppm 32MB</v>
      </c>
      <c r="M194">
        <f t="shared" ref="M194:M257" si="12">SUMIF(B194,"E",D194:D194)</f>
        <v>2</v>
      </c>
      <c r="N194">
        <f t="shared" ref="N194:N257" si="13">SUMIF(B194,"S",D194:D194)</f>
        <v>0</v>
      </c>
      <c r="O194">
        <f t="shared" ref="O194:O257" si="14">N194*-1</f>
        <v>0</v>
      </c>
      <c r="P194">
        <f t="shared" ref="P194:P257" si="15">SUM(M194+O194)</f>
        <v>2</v>
      </c>
    </row>
    <row r="195" spans="1:16" x14ac:dyDescent="0.3">
      <c r="A195" t="s">
        <v>615</v>
      </c>
      <c r="B195" t="s">
        <v>12</v>
      </c>
      <c r="C195" s="92">
        <v>42029</v>
      </c>
      <c r="D195" s="46">
        <v>4</v>
      </c>
      <c r="E195" s="47">
        <v>15.15</v>
      </c>
      <c r="F195" t="s">
        <v>33</v>
      </c>
      <c r="J195" t="s">
        <v>720</v>
      </c>
      <c r="K195">
        <f>COUNTIF($A$1:A195,A195)</f>
        <v>1</v>
      </c>
      <c r="L195" t="str">
        <f>VLOOKUP(A195,'Cadastro de Produtos'!A:B,2,0)</f>
        <v>Inverter board F3J asus</v>
      </c>
      <c r="M195">
        <f t="shared" si="12"/>
        <v>4</v>
      </c>
      <c r="N195">
        <f t="shared" si="13"/>
        <v>0</v>
      </c>
      <c r="O195">
        <f t="shared" si="14"/>
        <v>0</v>
      </c>
      <c r="P195">
        <f t="shared" si="15"/>
        <v>4</v>
      </c>
    </row>
    <row r="196" spans="1:16" x14ac:dyDescent="0.3">
      <c r="A196" t="s">
        <v>616</v>
      </c>
      <c r="B196" t="s">
        <v>12</v>
      </c>
      <c r="C196" s="92">
        <v>42029</v>
      </c>
      <c r="D196" s="46">
        <v>8</v>
      </c>
      <c r="E196" s="47">
        <v>0.43</v>
      </c>
      <c r="F196" t="s">
        <v>33</v>
      </c>
      <c r="J196" t="s">
        <v>720</v>
      </c>
      <c r="K196">
        <f>COUNTIF($A$1:A196,A196)</f>
        <v>1</v>
      </c>
      <c r="L196" t="str">
        <f>VLOOKUP(A196,'Cadastro de Produtos'!A:B,2,0)</f>
        <v>LCD Cable 14.1" SCREEN 6M871 REV A00</v>
      </c>
      <c r="M196">
        <f t="shared" si="12"/>
        <v>8</v>
      </c>
      <c r="N196">
        <f t="shared" si="13"/>
        <v>0</v>
      </c>
      <c r="O196">
        <f t="shared" si="14"/>
        <v>0</v>
      </c>
      <c r="P196">
        <f t="shared" si="15"/>
        <v>8</v>
      </c>
    </row>
    <row r="197" spans="1:16" x14ac:dyDescent="0.3">
      <c r="A197" t="s">
        <v>617</v>
      </c>
      <c r="B197" t="s">
        <v>12</v>
      </c>
      <c r="C197" s="92">
        <v>42029</v>
      </c>
      <c r="D197" s="46">
        <v>4</v>
      </c>
      <c r="E197" s="47">
        <v>0.88</v>
      </c>
      <c r="F197" t="s">
        <v>33</v>
      </c>
      <c r="J197" t="s">
        <v>720</v>
      </c>
      <c r="K197">
        <f>COUNTIF($A$1:A197,A197)</f>
        <v>1</v>
      </c>
      <c r="L197" t="str">
        <f>VLOOKUP(A197,'Cadastro de Produtos'!A:B,2,0)</f>
        <v>LCD Cable 14.1" SXGA SCREEN 06M871 REV A00</v>
      </c>
      <c r="M197">
        <f t="shared" si="12"/>
        <v>4</v>
      </c>
      <c r="N197">
        <f t="shared" si="13"/>
        <v>0</v>
      </c>
      <c r="O197">
        <f t="shared" si="14"/>
        <v>0</v>
      </c>
      <c r="P197">
        <f t="shared" si="15"/>
        <v>4</v>
      </c>
    </row>
    <row r="198" spans="1:16" x14ac:dyDescent="0.3">
      <c r="A198" t="s">
        <v>618</v>
      </c>
      <c r="B198" t="s">
        <v>12</v>
      </c>
      <c r="C198" s="92">
        <v>42029</v>
      </c>
      <c r="D198" s="46">
        <v>5</v>
      </c>
      <c r="E198" s="47">
        <v>1.75</v>
      </c>
      <c r="F198" t="s">
        <v>33</v>
      </c>
      <c r="J198" t="s">
        <v>720</v>
      </c>
      <c r="K198">
        <f>COUNTIF($A$1:A198,A198)</f>
        <v>1</v>
      </c>
      <c r="L198" t="str">
        <f>VLOOKUP(A198,'Cadastro de Produtos'!A:B,2,0)</f>
        <v>LCD Cable 15.4" REV A00 REV.3A DDDFM1LC111</v>
      </c>
      <c r="M198">
        <f t="shared" si="12"/>
        <v>5</v>
      </c>
      <c r="N198">
        <f t="shared" si="13"/>
        <v>0</v>
      </c>
      <c r="O198">
        <f t="shared" si="14"/>
        <v>0</v>
      </c>
      <c r="P198">
        <f t="shared" si="15"/>
        <v>5</v>
      </c>
    </row>
    <row r="199" spans="1:16" x14ac:dyDescent="0.3">
      <c r="A199" t="s">
        <v>634</v>
      </c>
      <c r="B199" t="s">
        <v>12</v>
      </c>
      <c r="C199" s="92">
        <v>42029</v>
      </c>
      <c r="D199" s="46">
        <v>7</v>
      </c>
      <c r="E199" s="47">
        <v>5.98</v>
      </c>
      <c r="F199" t="s">
        <v>33</v>
      </c>
      <c r="J199" t="s">
        <v>720</v>
      </c>
      <c r="K199">
        <f>COUNTIF($A$1:A199,A199)</f>
        <v>1</v>
      </c>
      <c r="L199" t="str">
        <f>VLOOKUP(A199,'Cadastro de Produtos'!A:B,2,0)</f>
        <v>Memória DDR2 1GB 800MHz (PC2-6400) Kingston</v>
      </c>
      <c r="M199">
        <f t="shared" si="12"/>
        <v>7</v>
      </c>
      <c r="N199">
        <f t="shared" si="13"/>
        <v>0</v>
      </c>
      <c r="O199">
        <f t="shared" si="14"/>
        <v>0</v>
      </c>
      <c r="P199">
        <f t="shared" si="15"/>
        <v>7</v>
      </c>
    </row>
    <row r="200" spans="1:16" x14ac:dyDescent="0.3">
      <c r="A200" t="s">
        <v>635</v>
      </c>
      <c r="B200" t="s">
        <v>12</v>
      </c>
      <c r="C200" s="92">
        <v>42029</v>
      </c>
      <c r="D200" s="46">
        <v>5</v>
      </c>
      <c r="E200" s="47">
        <v>9.4600000000000009</v>
      </c>
      <c r="F200" t="s">
        <v>33</v>
      </c>
      <c r="J200" t="s">
        <v>720</v>
      </c>
      <c r="K200">
        <f>COUNTIF($A$1:A200,A200)</f>
        <v>1</v>
      </c>
      <c r="L200" t="str">
        <f>VLOOKUP(A200,'Cadastro de Produtos'!A:B,2,0)</f>
        <v>Memória DDR2 2GB 1066MHz (PC2-8500) Kingston</v>
      </c>
      <c r="M200">
        <f t="shared" si="12"/>
        <v>5</v>
      </c>
      <c r="N200">
        <f t="shared" si="13"/>
        <v>0</v>
      </c>
      <c r="O200">
        <f t="shared" si="14"/>
        <v>0</v>
      </c>
      <c r="P200">
        <f t="shared" si="15"/>
        <v>5</v>
      </c>
    </row>
    <row r="201" spans="1:16" x14ac:dyDescent="0.3">
      <c r="A201" t="s">
        <v>636</v>
      </c>
      <c r="B201" t="s">
        <v>12</v>
      </c>
      <c r="C201" s="92">
        <v>42029</v>
      </c>
      <c r="D201" s="46">
        <v>46</v>
      </c>
      <c r="E201" s="47">
        <v>23.01</v>
      </c>
      <c r="F201" t="s">
        <v>33</v>
      </c>
      <c r="J201" t="s">
        <v>720</v>
      </c>
      <c r="K201">
        <f>COUNTIF($A$1:A201,A201)</f>
        <v>1</v>
      </c>
      <c r="L201" t="str">
        <f>VLOOKUP(A201,'Cadastro de Produtos'!A:B,2,0)</f>
        <v>Memória DDR2 2GB 533MHz (PC2-4200) Kingston</v>
      </c>
      <c r="M201">
        <f t="shared" si="12"/>
        <v>46</v>
      </c>
      <c r="N201">
        <f t="shared" si="13"/>
        <v>0</v>
      </c>
      <c r="O201">
        <f t="shared" si="14"/>
        <v>0</v>
      </c>
      <c r="P201">
        <f t="shared" si="15"/>
        <v>46</v>
      </c>
    </row>
    <row r="202" spans="1:16" x14ac:dyDescent="0.3">
      <c r="A202" t="s">
        <v>624</v>
      </c>
      <c r="B202" t="s">
        <v>12</v>
      </c>
      <c r="C202" s="92">
        <v>42029</v>
      </c>
      <c r="D202" s="46">
        <v>1</v>
      </c>
      <c r="E202" s="47">
        <v>0.01</v>
      </c>
      <c r="F202" t="s">
        <v>33</v>
      </c>
      <c r="J202" t="s">
        <v>720</v>
      </c>
      <c r="K202">
        <f>COUNTIF($A$1:A202,A202)</f>
        <v>1</v>
      </c>
      <c r="L202" t="str">
        <f>VLOOKUP(A202,'Cadastro de Produtos'!A:B,2,0)</f>
        <v>Leitor de cartão de memória para baia 3 ½ (Preto)</v>
      </c>
      <c r="M202">
        <f t="shared" si="12"/>
        <v>1</v>
      </c>
      <c r="N202">
        <f t="shared" si="13"/>
        <v>0</v>
      </c>
      <c r="O202">
        <f t="shared" si="14"/>
        <v>0</v>
      </c>
      <c r="P202">
        <f t="shared" si="15"/>
        <v>1</v>
      </c>
    </row>
    <row r="203" spans="1:16" x14ac:dyDescent="0.3">
      <c r="A203" t="s">
        <v>605</v>
      </c>
      <c r="B203" t="s">
        <v>12</v>
      </c>
      <c r="C203" s="92">
        <v>42029</v>
      </c>
      <c r="D203" s="46">
        <v>6</v>
      </c>
      <c r="E203" s="47">
        <v>1.51</v>
      </c>
      <c r="F203" t="s">
        <v>33</v>
      </c>
      <c r="J203" t="s">
        <v>720</v>
      </c>
      <c r="K203">
        <f>COUNTIF($A$1:A203,A203)</f>
        <v>1</v>
      </c>
      <c r="L203" t="str">
        <f>VLOOKUP(A203,'Cadastro de Produtos'!A:B,2,0)</f>
        <v>Impressora HP LaserJet CP1215 Laser Color 600x600dpi 12ppm 16MB</v>
      </c>
      <c r="M203">
        <f t="shared" si="12"/>
        <v>6</v>
      </c>
      <c r="N203">
        <f t="shared" si="13"/>
        <v>0</v>
      </c>
      <c r="O203">
        <f t="shared" si="14"/>
        <v>0</v>
      </c>
      <c r="P203">
        <f t="shared" si="15"/>
        <v>6</v>
      </c>
    </row>
    <row r="204" spans="1:16" x14ac:dyDescent="0.3">
      <c r="A204" t="s">
        <v>606</v>
      </c>
      <c r="B204" t="s">
        <v>12</v>
      </c>
      <c r="C204" s="92">
        <v>42029</v>
      </c>
      <c r="D204" s="46">
        <v>8</v>
      </c>
      <c r="E204" s="47">
        <v>3.77</v>
      </c>
      <c r="F204" t="s">
        <v>33</v>
      </c>
      <c r="J204" t="s">
        <v>720</v>
      </c>
      <c r="K204">
        <f>COUNTIF($A$1:A204,A204)</f>
        <v>1</v>
      </c>
      <c r="L204" t="str">
        <f>VLOOKUP(A204,'Cadastro de Produtos'!A:B,2,0)</f>
        <v>Impressora HP LaserJet P2055dn Laser Mono 1200x1200dpi 35ppm 128MB</v>
      </c>
      <c r="M204">
        <f t="shared" si="12"/>
        <v>8</v>
      </c>
      <c r="N204">
        <f t="shared" si="13"/>
        <v>0</v>
      </c>
      <c r="O204">
        <f t="shared" si="14"/>
        <v>0</v>
      </c>
      <c r="P204">
        <f t="shared" si="15"/>
        <v>8</v>
      </c>
    </row>
    <row r="205" spans="1:16" x14ac:dyDescent="0.3">
      <c r="A205" t="s">
        <v>602</v>
      </c>
      <c r="B205" t="s">
        <v>12</v>
      </c>
      <c r="C205" s="92">
        <v>42029</v>
      </c>
      <c r="D205" s="46">
        <v>2</v>
      </c>
      <c r="E205" s="47">
        <v>1.98</v>
      </c>
      <c r="F205" t="s">
        <v>33</v>
      </c>
      <c r="J205" t="s">
        <v>720</v>
      </c>
      <c r="K205">
        <f>COUNTIF($A$1:A205,A205)</f>
        <v>1</v>
      </c>
      <c r="L205" t="str">
        <f>VLOOKUP(A205,'Cadastro de Produtos'!A:B,2,0)</f>
        <v>Impressora Epson Matricial LX300+ II (80col 9 agulhas 337cps)</v>
      </c>
      <c r="M205">
        <f t="shared" si="12"/>
        <v>2</v>
      </c>
      <c r="N205">
        <f t="shared" si="13"/>
        <v>0</v>
      </c>
      <c r="O205">
        <f t="shared" si="14"/>
        <v>0</v>
      </c>
      <c r="P205">
        <f t="shared" si="15"/>
        <v>2</v>
      </c>
    </row>
    <row r="206" spans="1:16" x14ac:dyDescent="0.3">
      <c r="A206" t="s">
        <v>603</v>
      </c>
      <c r="B206" t="s">
        <v>12</v>
      </c>
      <c r="C206" s="92">
        <v>42029</v>
      </c>
      <c r="D206" s="46">
        <v>19</v>
      </c>
      <c r="E206" s="47">
        <v>2.88</v>
      </c>
      <c r="F206" t="s">
        <v>33</v>
      </c>
      <c r="J206" t="s">
        <v>720</v>
      </c>
      <c r="K206">
        <f>COUNTIF($A$1:A206,A206)</f>
        <v>1</v>
      </c>
      <c r="L206" t="str">
        <f>VLOOKUP(A206,'Cadastro de Produtos'!A:B,2,0)</f>
        <v>Impressora HP Deskjet D1660</v>
      </c>
      <c r="M206">
        <f t="shared" si="12"/>
        <v>19</v>
      </c>
      <c r="N206">
        <f t="shared" si="13"/>
        <v>0</v>
      </c>
      <c r="O206">
        <f t="shared" si="14"/>
        <v>0</v>
      </c>
      <c r="P206">
        <f t="shared" si="15"/>
        <v>19</v>
      </c>
    </row>
    <row r="207" spans="1:16" x14ac:dyDescent="0.3">
      <c r="A207" t="s">
        <v>604</v>
      </c>
      <c r="B207" t="s">
        <v>12</v>
      </c>
      <c r="C207" s="92">
        <v>42029</v>
      </c>
      <c r="D207" s="46">
        <v>37</v>
      </c>
      <c r="E207" s="47">
        <v>2.74</v>
      </c>
      <c r="F207" t="s">
        <v>33</v>
      </c>
      <c r="J207" t="s">
        <v>720</v>
      </c>
      <c r="K207">
        <f>COUNTIF($A$1:A207,A207)</f>
        <v>1</v>
      </c>
      <c r="L207" t="str">
        <f>VLOOKUP(A207,'Cadastro de Produtos'!A:B,2,0)</f>
        <v>Impressora HP Deskjet D2460 Ink Jet 4cores 4800x1200dpi 20ppm</v>
      </c>
      <c r="M207">
        <f t="shared" si="12"/>
        <v>37</v>
      </c>
      <c r="N207">
        <f t="shared" si="13"/>
        <v>0</v>
      </c>
      <c r="O207">
        <f t="shared" si="14"/>
        <v>0</v>
      </c>
      <c r="P207">
        <f t="shared" si="15"/>
        <v>37</v>
      </c>
    </row>
    <row r="208" spans="1:16" x14ac:dyDescent="0.3">
      <c r="A208" t="s">
        <v>582</v>
      </c>
      <c r="B208" t="s">
        <v>12</v>
      </c>
      <c r="C208" s="92">
        <v>42029</v>
      </c>
      <c r="D208" s="46">
        <v>2</v>
      </c>
      <c r="E208" s="47">
        <v>10.8</v>
      </c>
      <c r="F208" t="s">
        <v>33</v>
      </c>
      <c r="J208" t="s">
        <v>720</v>
      </c>
      <c r="K208">
        <f>COUNTIF($A$1:A208,A208)</f>
        <v>1</v>
      </c>
      <c r="L208" t="str">
        <f>VLOOKUP(A208,'Cadastro de Produtos'!A:B,2,0)</f>
        <v>HD SATA II 160GB Seagate 7.200RPM</v>
      </c>
      <c r="M208">
        <f t="shared" si="12"/>
        <v>2</v>
      </c>
      <c r="N208">
        <f t="shared" si="13"/>
        <v>0</v>
      </c>
      <c r="O208">
        <f t="shared" si="14"/>
        <v>0</v>
      </c>
      <c r="P208">
        <f t="shared" si="15"/>
        <v>2</v>
      </c>
    </row>
    <row r="209" spans="1:16" x14ac:dyDescent="0.3">
      <c r="A209" t="s">
        <v>583</v>
      </c>
      <c r="B209" t="s">
        <v>12</v>
      </c>
      <c r="C209" s="92">
        <v>42029</v>
      </c>
      <c r="D209" s="46">
        <v>4</v>
      </c>
      <c r="E209" s="47">
        <v>12.77</v>
      </c>
      <c r="F209" t="s">
        <v>33</v>
      </c>
      <c r="J209" t="s">
        <v>720</v>
      </c>
      <c r="K209">
        <f>COUNTIF($A$1:A209,A209)</f>
        <v>1</v>
      </c>
      <c r="L209" t="str">
        <f>VLOOKUP(A209,'Cadastro de Produtos'!A:B,2,0)</f>
        <v>HD SATA II 1TB Maxtor/W.Digital 7.200rpm</v>
      </c>
      <c r="M209">
        <f t="shared" si="12"/>
        <v>4</v>
      </c>
      <c r="N209">
        <f t="shared" si="13"/>
        <v>0</v>
      </c>
      <c r="O209">
        <f t="shared" si="14"/>
        <v>0</v>
      </c>
      <c r="P209">
        <f t="shared" si="15"/>
        <v>4</v>
      </c>
    </row>
    <row r="210" spans="1:16" x14ac:dyDescent="0.3">
      <c r="A210" t="s">
        <v>601</v>
      </c>
      <c r="B210" t="s">
        <v>12</v>
      </c>
      <c r="C210" s="92">
        <v>42029</v>
      </c>
      <c r="D210" s="46">
        <v>1.5</v>
      </c>
      <c r="E210" s="47">
        <v>78.36</v>
      </c>
      <c r="F210" t="s">
        <v>33</v>
      </c>
      <c r="J210" t="s">
        <v>720</v>
      </c>
      <c r="K210">
        <f>COUNTIF($A$1:A210,A210)</f>
        <v>1</v>
      </c>
      <c r="L210" t="str">
        <f>VLOOKUP(A210,'Cadastro de Produtos'!A:B,2,0)</f>
        <v>Impressora Epson Matricial FX-890 (80col 9 agulhas 680cps)</v>
      </c>
      <c r="M210">
        <f t="shared" si="12"/>
        <v>1.5</v>
      </c>
      <c r="N210">
        <f t="shared" si="13"/>
        <v>0</v>
      </c>
      <c r="O210">
        <f t="shared" si="14"/>
        <v>0</v>
      </c>
      <c r="P210">
        <f t="shared" si="15"/>
        <v>1.5</v>
      </c>
    </row>
    <row r="211" spans="1:16" x14ac:dyDescent="0.3">
      <c r="A211" t="s">
        <v>568</v>
      </c>
      <c r="B211" t="s">
        <v>12</v>
      </c>
      <c r="C211" s="92">
        <v>42029</v>
      </c>
      <c r="D211" s="46">
        <v>20</v>
      </c>
      <c r="E211" s="47">
        <v>1.4</v>
      </c>
      <c r="F211" t="s">
        <v>33</v>
      </c>
      <c r="J211" t="s">
        <v>720</v>
      </c>
      <c r="K211">
        <f>COUNTIF($A$1:A211,A211)</f>
        <v>1</v>
      </c>
      <c r="L211" t="str">
        <f>VLOOKUP(A211,'Cadastro de Produtos'!A:B,2,0)</f>
        <v>HD Externo 1TB WD My Book Essential Preto WDBAAF0010HBK-NESN USB</v>
      </c>
      <c r="M211">
        <f t="shared" si="12"/>
        <v>20</v>
      </c>
      <c r="N211">
        <f t="shared" si="13"/>
        <v>0</v>
      </c>
      <c r="O211">
        <f t="shared" si="14"/>
        <v>0</v>
      </c>
      <c r="P211">
        <f t="shared" si="15"/>
        <v>20</v>
      </c>
    </row>
    <row r="212" spans="1:16" x14ac:dyDescent="0.3">
      <c r="A212" t="s">
        <v>569</v>
      </c>
      <c r="B212" t="s">
        <v>12</v>
      </c>
      <c r="C212" s="92">
        <v>42029</v>
      </c>
      <c r="D212" s="46">
        <v>38</v>
      </c>
      <c r="E212" s="47">
        <v>1.8</v>
      </c>
      <c r="F212" t="s">
        <v>33</v>
      </c>
      <c r="J212" t="s">
        <v>720</v>
      </c>
      <c r="K212">
        <f>COUNTIF($A$1:A212,A212)</f>
        <v>1</v>
      </c>
      <c r="L212" t="str">
        <f>VLOOKUP(A212,'Cadastro de Produtos'!A:B,2,0)</f>
        <v>HD Externo 2TB Western Digital My Book Essential USB</v>
      </c>
      <c r="M212">
        <f t="shared" si="12"/>
        <v>38</v>
      </c>
      <c r="N212">
        <f t="shared" si="13"/>
        <v>0</v>
      </c>
      <c r="O212">
        <f t="shared" si="14"/>
        <v>0</v>
      </c>
      <c r="P212">
        <f t="shared" si="15"/>
        <v>38</v>
      </c>
    </row>
    <row r="213" spans="1:16" x14ac:dyDescent="0.3">
      <c r="A213" t="s">
        <v>570</v>
      </c>
      <c r="B213" t="s">
        <v>12</v>
      </c>
      <c r="C213" s="92">
        <v>42029</v>
      </c>
      <c r="D213" s="46">
        <v>4</v>
      </c>
      <c r="E213" s="47">
        <v>3.5</v>
      </c>
      <c r="F213" t="s">
        <v>33</v>
      </c>
      <c r="J213" t="s">
        <v>720</v>
      </c>
      <c r="K213">
        <f>COUNTIF($A$1:A213,A213)</f>
        <v>1</v>
      </c>
      <c r="L213" t="str">
        <f>VLOOKUP(A213,'Cadastro de Produtos'!A:B,2,0)</f>
        <v>HD Externo 320GB WD My Passport USB</v>
      </c>
      <c r="M213">
        <f t="shared" si="12"/>
        <v>4</v>
      </c>
      <c r="N213">
        <f t="shared" si="13"/>
        <v>0</v>
      </c>
      <c r="O213">
        <f t="shared" si="14"/>
        <v>0</v>
      </c>
      <c r="P213">
        <f t="shared" si="15"/>
        <v>4</v>
      </c>
    </row>
    <row r="214" spans="1:16" x14ac:dyDescent="0.3">
      <c r="A214" t="s">
        <v>573</v>
      </c>
      <c r="B214" t="s">
        <v>12</v>
      </c>
      <c r="C214" s="92">
        <v>42029</v>
      </c>
      <c r="D214" s="46">
        <v>1</v>
      </c>
      <c r="E214" s="47">
        <v>3.5</v>
      </c>
      <c r="F214" t="s">
        <v>33</v>
      </c>
      <c r="J214" t="s">
        <v>720</v>
      </c>
      <c r="K214">
        <f>COUNTIF($A$1:A214,A214)</f>
        <v>1</v>
      </c>
      <c r="L214" t="str">
        <f>VLOOKUP(A214,'Cadastro de Produtos'!A:B,2,0)</f>
        <v>HD Externo 500GB Seagate ST305004FDB2E1-RK USB 7200rpm 3.5</v>
      </c>
      <c r="M214">
        <f t="shared" si="12"/>
        <v>1</v>
      </c>
      <c r="N214">
        <f t="shared" si="13"/>
        <v>0</v>
      </c>
      <c r="O214">
        <f t="shared" si="14"/>
        <v>0</v>
      </c>
      <c r="P214">
        <f t="shared" si="15"/>
        <v>1</v>
      </c>
    </row>
    <row r="215" spans="1:16" x14ac:dyDescent="0.3">
      <c r="A215" t="s">
        <v>574</v>
      </c>
      <c r="B215" t="s">
        <v>12</v>
      </c>
      <c r="C215" s="92">
        <v>42029</v>
      </c>
      <c r="D215" s="46">
        <v>2</v>
      </c>
      <c r="E215" s="47">
        <v>4.5</v>
      </c>
      <c r="F215" t="s">
        <v>33</v>
      </c>
      <c r="J215" t="s">
        <v>720</v>
      </c>
      <c r="K215">
        <f>COUNTIF($A$1:A215,A215)</f>
        <v>1</v>
      </c>
      <c r="L215" t="str">
        <f>VLOOKUP(A215,'Cadastro de Produtos'!A:B,2,0)</f>
        <v>HD Externo 500GB Seagate ST905003FAB2E1-RK USB 480MB/s 5400rpm</v>
      </c>
      <c r="M215">
        <f t="shared" si="12"/>
        <v>2</v>
      </c>
      <c r="N215">
        <f t="shared" si="13"/>
        <v>0</v>
      </c>
      <c r="O215">
        <f t="shared" si="14"/>
        <v>0</v>
      </c>
      <c r="P215">
        <f t="shared" si="15"/>
        <v>2</v>
      </c>
    </row>
    <row r="216" spans="1:16" x14ac:dyDescent="0.3">
      <c r="A216" t="s">
        <v>575</v>
      </c>
      <c r="B216" t="s">
        <v>12</v>
      </c>
      <c r="C216" s="92">
        <v>42029</v>
      </c>
      <c r="D216" s="46">
        <v>12</v>
      </c>
      <c r="E216" s="47">
        <v>4.8499999999999996</v>
      </c>
      <c r="F216" t="s">
        <v>33</v>
      </c>
      <c r="J216" t="s">
        <v>720</v>
      </c>
      <c r="K216">
        <f>COUNTIF($A$1:A216,A216)</f>
        <v>1</v>
      </c>
      <c r="L216" t="str">
        <f>VLOOKUP(A216,'Cadastro de Produtos'!A:B,2,0)</f>
        <v>HD Externo 500GB Seagate ST905004BDB101-RK 500GB USB2.0 5400rpm 2.5</v>
      </c>
      <c r="M216">
        <f t="shared" si="12"/>
        <v>12</v>
      </c>
      <c r="N216">
        <f t="shared" si="13"/>
        <v>0</v>
      </c>
      <c r="O216">
        <f t="shared" si="14"/>
        <v>0</v>
      </c>
      <c r="P216">
        <f t="shared" si="15"/>
        <v>12</v>
      </c>
    </row>
    <row r="217" spans="1:16" x14ac:dyDescent="0.3">
      <c r="A217" t="s">
        <v>576</v>
      </c>
      <c r="B217" t="s">
        <v>12</v>
      </c>
      <c r="C217" s="92">
        <v>42029</v>
      </c>
      <c r="D217" s="46">
        <v>5</v>
      </c>
      <c r="E217" s="47">
        <v>5.95</v>
      </c>
      <c r="F217" t="s">
        <v>33</v>
      </c>
      <c r="J217" t="s">
        <v>720</v>
      </c>
      <c r="K217">
        <f>COUNTIF($A$1:A217,A217)</f>
        <v>1</v>
      </c>
      <c r="L217" t="str">
        <f>VLOOKUP(A217,'Cadastro de Produtos'!A:B,2,0)</f>
        <v>HD Externo 500GB WD My Book Essential Preto WDBAAF5000EBK-NESN</v>
      </c>
      <c r="M217">
        <f t="shared" si="12"/>
        <v>5</v>
      </c>
      <c r="N217">
        <f t="shared" si="13"/>
        <v>0</v>
      </c>
      <c r="O217">
        <f t="shared" si="14"/>
        <v>0</v>
      </c>
      <c r="P217">
        <f t="shared" si="15"/>
        <v>5</v>
      </c>
    </row>
    <row r="218" spans="1:16" x14ac:dyDescent="0.3">
      <c r="A218" t="s">
        <v>579</v>
      </c>
      <c r="B218" t="s">
        <v>12</v>
      </c>
      <c r="C218" s="92">
        <v>42029</v>
      </c>
      <c r="D218" s="46">
        <v>4</v>
      </c>
      <c r="E218" s="47">
        <v>30.23</v>
      </c>
      <c r="F218" t="s">
        <v>33</v>
      </c>
      <c r="J218" t="s">
        <v>720</v>
      </c>
      <c r="K218">
        <f>COUNTIF($A$1:A218,A218)</f>
        <v>1</v>
      </c>
      <c r="L218" t="str">
        <f>VLOOKUP(A218,'Cadastro de Produtos'!A:B,2,0)</f>
        <v>HD IDE 400GB Seagate 7.200RPM</v>
      </c>
      <c r="M218">
        <f t="shared" si="12"/>
        <v>4</v>
      </c>
      <c r="N218">
        <f t="shared" si="13"/>
        <v>0</v>
      </c>
      <c r="O218">
        <f t="shared" si="14"/>
        <v>0</v>
      </c>
      <c r="P218">
        <f t="shared" si="15"/>
        <v>4</v>
      </c>
    </row>
    <row r="219" spans="1:16" x14ac:dyDescent="0.3">
      <c r="A219" t="s">
        <v>518</v>
      </c>
      <c r="B219" t="s">
        <v>12</v>
      </c>
      <c r="C219" s="92">
        <v>42029</v>
      </c>
      <c r="D219" s="46">
        <v>5</v>
      </c>
      <c r="E219" s="47">
        <v>22.57</v>
      </c>
      <c r="F219" t="s">
        <v>33</v>
      </c>
      <c r="J219" t="s">
        <v>720</v>
      </c>
      <c r="K219">
        <f>COUNTIF($A$1:A219,A219)</f>
        <v>1</v>
      </c>
      <c r="L219" t="str">
        <f>VLOOKUP(A219,'Cadastro de Produtos'!A:B,2,0)</f>
        <v>Fonte para Notebook AC Adapter PA-9 PA-1900-05D 20V PN 6G356</v>
      </c>
      <c r="M219">
        <f t="shared" si="12"/>
        <v>5</v>
      </c>
      <c r="N219">
        <f t="shared" si="13"/>
        <v>0</v>
      </c>
      <c r="O219">
        <f t="shared" si="14"/>
        <v>0</v>
      </c>
      <c r="P219">
        <f t="shared" si="15"/>
        <v>5</v>
      </c>
    </row>
    <row r="220" spans="1:16" x14ac:dyDescent="0.3">
      <c r="A220" t="s">
        <v>511</v>
      </c>
      <c r="B220" t="s">
        <v>12</v>
      </c>
      <c r="C220" s="92">
        <v>42029</v>
      </c>
      <c r="D220" s="46">
        <v>11</v>
      </c>
      <c r="E220" s="47">
        <v>2.15</v>
      </c>
      <c r="F220" t="s">
        <v>33</v>
      </c>
      <c r="J220" t="s">
        <v>720</v>
      </c>
      <c r="K220">
        <f>COUNTIF($A$1:A220,A220)</f>
        <v>1</v>
      </c>
      <c r="L220" t="str">
        <f>VLOOKUP(A220,'Cadastro de Produtos'!A:B,2,0)</f>
        <v>Fonte Nilko v2.2 250W REAL (500W Nominal)</v>
      </c>
      <c r="M220">
        <f t="shared" si="12"/>
        <v>11</v>
      </c>
      <c r="N220">
        <f t="shared" si="13"/>
        <v>0</v>
      </c>
      <c r="O220">
        <f t="shared" si="14"/>
        <v>0</v>
      </c>
      <c r="P220">
        <f t="shared" si="15"/>
        <v>11</v>
      </c>
    </row>
    <row r="221" spans="1:16" x14ac:dyDescent="0.3">
      <c r="A221" t="s">
        <v>513</v>
      </c>
      <c r="B221" t="s">
        <v>12</v>
      </c>
      <c r="C221" s="92">
        <v>42029</v>
      </c>
      <c r="D221" s="46">
        <v>1</v>
      </c>
      <c r="E221" s="47">
        <v>4.1500000000000004</v>
      </c>
      <c r="F221" t="s">
        <v>33</v>
      </c>
      <c r="J221" t="s">
        <v>720</v>
      </c>
      <c r="K221">
        <f>COUNTIF($A$1:A221,A221)</f>
        <v>1</v>
      </c>
      <c r="L221" t="str">
        <f>VLOOKUP(A221,'Cadastro de Produtos'!A:B,2,0)</f>
        <v>Fonte para Notebook AC Adapter ADP-50SB 19V PN 9834T</v>
      </c>
      <c r="M221">
        <f t="shared" si="12"/>
        <v>1</v>
      </c>
      <c r="N221">
        <f t="shared" si="13"/>
        <v>0</v>
      </c>
      <c r="O221">
        <f t="shared" si="14"/>
        <v>0</v>
      </c>
      <c r="P221">
        <f t="shared" si="15"/>
        <v>1</v>
      </c>
    </row>
    <row r="222" spans="1:16" x14ac:dyDescent="0.3">
      <c r="A222" t="s">
        <v>507</v>
      </c>
      <c r="B222" t="s">
        <v>12</v>
      </c>
      <c r="C222" s="92">
        <v>42029</v>
      </c>
      <c r="D222" s="46">
        <v>8</v>
      </c>
      <c r="E222" s="47">
        <v>1.49</v>
      </c>
      <c r="F222" t="s">
        <v>33</v>
      </c>
      <c r="J222" t="s">
        <v>720</v>
      </c>
      <c r="K222">
        <f>COUNTIF($A$1:A222,A222)</f>
        <v>1</v>
      </c>
      <c r="L222" t="str">
        <f>VLOOKUP(A222,'Cadastro de Produtos'!A:B,2,0)</f>
        <v>Fonte C3 Tech v2.2 500W REAL (1000W Nominal)</v>
      </c>
      <c r="M222">
        <f t="shared" si="12"/>
        <v>8</v>
      </c>
      <c r="N222">
        <f t="shared" si="13"/>
        <v>0</v>
      </c>
      <c r="O222">
        <f t="shared" si="14"/>
        <v>0</v>
      </c>
      <c r="P222">
        <f t="shared" si="15"/>
        <v>8</v>
      </c>
    </row>
    <row r="223" spans="1:16" x14ac:dyDescent="0.3">
      <c r="A223" t="s">
        <v>512</v>
      </c>
      <c r="B223" t="s">
        <v>12</v>
      </c>
      <c r="C223" s="92">
        <v>42029</v>
      </c>
      <c r="D223" s="46">
        <v>32</v>
      </c>
      <c r="E223" s="47">
        <v>2.4700000000000002</v>
      </c>
      <c r="F223" t="s">
        <v>33</v>
      </c>
      <c r="J223" t="s">
        <v>720</v>
      </c>
      <c r="K223">
        <f>COUNTIF($A$1:A223,A223)</f>
        <v>1</v>
      </c>
      <c r="L223" t="str">
        <f>VLOOKUP(A223,'Cadastro de Produtos'!A:B,2,0)</f>
        <v>Fonte notebook AC Adapter LITEON PA-1900-04</v>
      </c>
      <c r="M223">
        <f t="shared" si="12"/>
        <v>32</v>
      </c>
      <c r="N223">
        <f t="shared" si="13"/>
        <v>0</v>
      </c>
      <c r="O223">
        <f t="shared" si="14"/>
        <v>0</v>
      </c>
      <c r="P223">
        <f t="shared" si="15"/>
        <v>32</v>
      </c>
    </row>
    <row r="224" spans="1:16" x14ac:dyDescent="0.3">
      <c r="A224" t="s">
        <v>514</v>
      </c>
      <c r="B224" t="s">
        <v>12</v>
      </c>
      <c r="C224" s="92">
        <v>42029</v>
      </c>
      <c r="D224" s="46">
        <v>1</v>
      </c>
      <c r="E224" s="47">
        <v>7.39</v>
      </c>
      <c r="F224" t="s">
        <v>33</v>
      </c>
      <c r="J224" t="s">
        <v>720</v>
      </c>
      <c r="K224">
        <f>COUNTIF($A$1:A224,A224)</f>
        <v>1</v>
      </c>
      <c r="L224" t="str">
        <f>VLOOKUP(A224,'Cadastro de Produtos'!A:B,2,0)</f>
        <v>Fonte para Notebook AC Adapter PA-10 90W 19V PN U7809</v>
      </c>
      <c r="M224">
        <f t="shared" si="12"/>
        <v>1</v>
      </c>
      <c r="N224">
        <f t="shared" si="13"/>
        <v>0</v>
      </c>
      <c r="O224">
        <f t="shared" si="14"/>
        <v>0</v>
      </c>
      <c r="P224">
        <f t="shared" si="15"/>
        <v>1</v>
      </c>
    </row>
    <row r="225" spans="1:16" x14ac:dyDescent="0.3">
      <c r="A225" t="s">
        <v>508</v>
      </c>
      <c r="B225" t="s">
        <v>12</v>
      </c>
      <c r="C225" s="92">
        <v>42029</v>
      </c>
      <c r="D225" s="46">
        <v>1</v>
      </c>
      <c r="E225" s="47">
        <v>14.5</v>
      </c>
      <c r="F225" t="s">
        <v>33</v>
      </c>
      <c r="J225" t="s">
        <v>720</v>
      </c>
      <c r="K225">
        <f>COUNTIF($A$1:A225,A225)</f>
        <v>1</v>
      </c>
      <c r="L225" t="str">
        <f>VLOOKUP(A225,'Cadastro de Produtos'!A:B,2,0)</f>
        <v>Fonte Casemall POWEREX 600W REAL</v>
      </c>
      <c r="M225">
        <f t="shared" si="12"/>
        <v>1</v>
      </c>
      <c r="N225">
        <f t="shared" si="13"/>
        <v>0</v>
      </c>
      <c r="O225">
        <f t="shared" si="14"/>
        <v>0</v>
      </c>
      <c r="P225">
        <f t="shared" si="15"/>
        <v>1</v>
      </c>
    </row>
    <row r="226" spans="1:16" x14ac:dyDescent="0.3">
      <c r="A226" t="s">
        <v>510</v>
      </c>
      <c r="B226" t="s">
        <v>12</v>
      </c>
      <c r="C226" s="92">
        <v>42029</v>
      </c>
      <c r="D226" s="46">
        <v>9</v>
      </c>
      <c r="E226" s="47">
        <v>3.41</v>
      </c>
      <c r="F226" t="s">
        <v>33</v>
      </c>
      <c r="J226" t="s">
        <v>720</v>
      </c>
      <c r="K226">
        <f>COUNTIF($A$1:A226,A226)</f>
        <v>1</v>
      </c>
      <c r="L226" t="str">
        <f>VLOOKUP(A226,'Cadastro de Produtos'!A:B,2,0)</f>
        <v>Fonte Duex v2.2 500W REAL (1000W Nominal)</v>
      </c>
      <c r="M226">
        <f t="shared" si="12"/>
        <v>9</v>
      </c>
      <c r="N226">
        <f t="shared" si="13"/>
        <v>0</v>
      </c>
      <c r="O226">
        <f t="shared" si="14"/>
        <v>0</v>
      </c>
      <c r="P226">
        <f t="shared" si="15"/>
        <v>9</v>
      </c>
    </row>
    <row r="227" spans="1:16" x14ac:dyDescent="0.3">
      <c r="A227" t="s">
        <v>509</v>
      </c>
      <c r="B227" t="s">
        <v>12</v>
      </c>
      <c r="C227" s="92">
        <v>42029</v>
      </c>
      <c r="D227" s="46">
        <v>1</v>
      </c>
      <c r="E227" s="47">
        <v>3.55</v>
      </c>
      <c r="F227" t="s">
        <v>33</v>
      </c>
      <c r="J227" t="s">
        <v>720</v>
      </c>
      <c r="K227">
        <f>COUNTIF($A$1:A227,A227)</f>
        <v>1</v>
      </c>
      <c r="L227" t="str">
        <f>VLOOKUP(A227,'Cadastro de Produtos'!A:B,2,0)</f>
        <v>Fonte Cooler Master V2.2 650W REAL</v>
      </c>
      <c r="M227">
        <f t="shared" si="12"/>
        <v>1</v>
      </c>
      <c r="N227">
        <f t="shared" si="13"/>
        <v>0</v>
      </c>
      <c r="O227">
        <f t="shared" si="14"/>
        <v>0</v>
      </c>
      <c r="P227">
        <f t="shared" si="15"/>
        <v>1</v>
      </c>
    </row>
    <row r="228" spans="1:16" x14ac:dyDescent="0.3">
      <c r="A228" t="s">
        <v>517</v>
      </c>
      <c r="B228" t="s">
        <v>12</v>
      </c>
      <c r="C228" s="92">
        <v>42029</v>
      </c>
      <c r="D228" s="46">
        <v>13</v>
      </c>
      <c r="E228" s="47">
        <v>3.1</v>
      </c>
      <c r="F228" t="s">
        <v>33</v>
      </c>
      <c r="J228" t="s">
        <v>720</v>
      </c>
      <c r="K228">
        <f>COUNTIF($A$1:A228,A228)</f>
        <v>1</v>
      </c>
      <c r="L228" t="str">
        <f>VLOOKUP(A228,'Cadastro de Produtos'!A:B,2,0)</f>
        <v>Fonte para Notebook AC Adapter PA-21 65W PA-1650-02DW 19.5V F7970</v>
      </c>
      <c r="M228">
        <f t="shared" si="12"/>
        <v>13</v>
      </c>
      <c r="N228">
        <f t="shared" si="13"/>
        <v>0</v>
      </c>
      <c r="O228">
        <f t="shared" si="14"/>
        <v>0</v>
      </c>
      <c r="P228">
        <f t="shared" si="15"/>
        <v>13</v>
      </c>
    </row>
    <row r="229" spans="1:16" x14ac:dyDescent="0.3">
      <c r="A229" t="s">
        <v>515</v>
      </c>
      <c r="B229" t="s">
        <v>12</v>
      </c>
      <c r="C229" s="92">
        <v>42029</v>
      </c>
      <c r="D229" s="46">
        <v>4</v>
      </c>
      <c r="E229" s="47">
        <v>1.66</v>
      </c>
      <c r="F229" t="s">
        <v>33</v>
      </c>
      <c r="J229" t="s">
        <v>720</v>
      </c>
      <c r="K229">
        <f>COUNTIF($A$1:A229,A229)</f>
        <v>1</v>
      </c>
      <c r="L229" t="str">
        <f>VLOOKUP(A229,'Cadastro de Produtos'!A:B,2,0)</f>
        <v>Fonte para Notebook AC Adapter PA-12 65W PA-1650-05D2 19.5V F7970</v>
      </c>
      <c r="M229">
        <f t="shared" si="12"/>
        <v>4</v>
      </c>
      <c r="N229">
        <f t="shared" si="13"/>
        <v>0</v>
      </c>
      <c r="O229">
        <f t="shared" si="14"/>
        <v>0</v>
      </c>
      <c r="P229">
        <f t="shared" si="15"/>
        <v>4</v>
      </c>
    </row>
    <row r="230" spans="1:16" x14ac:dyDescent="0.3">
      <c r="A230" t="s">
        <v>516</v>
      </c>
      <c r="B230" t="s">
        <v>12</v>
      </c>
      <c r="C230" s="92">
        <v>42029</v>
      </c>
      <c r="D230" s="46">
        <v>3</v>
      </c>
      <c r="E230" s="47">
        <v>2.96</v>
      </c>
      <c r="F230" t="s">
        <v>33</v>
      </c>
      <c r="J230" t="s">
        <v>720</v>
      </c>
      <c r="K230">
        <f>COUNTIF($A$1:A230,A230)</f>
        <v>1</v>
      </c>
      <c r="L230" t="str">
        <f>VLOOKUP(A230,'Cadastro de Produtos'!A:B,2,0)</f>
        <v>Fonte para Notebook AC Adapter PA-16 60W PA-1600-06D2 19V TD231</v>
      </c>
      <c r="M230">
        <f t="shared" si="12"/>
        <v>3</v>
      </c>
      <c r="N230">
        <f t="shared" si="13"/>
        <v>0</v>
      </c>
      <c r="O230">
        <f t="shared" si="14"/>
        <v>0</v>
      </c>
      <c r="P230">
        <f t="shared" si="15"/>
        <v>3</v>
      </c>
    </row>
    <row r="231" spans="1:16" x14ac:dyDescent="0.3">
      <c r="A231" t="s">
        <v>519</v>
      </c>
      <c r="B231" t="s">
        <v>12</v>
      </c>
      <c r="C231" s="92">
        <v>42029</v>
      </c>
      <c r="D231" s="46">
        <v>15</v>
      </c>
      <c r="E231" s="47">
        <v>10.95</v>
      </c>
      <c r="F231" t="s">
        <v>33</v>
      </c>
      <c r="J231" t="s">
        <v>720</v>
      </c>
      <c r="K231">
        <f>COUNTIF($A$1:A231,A231)</f>
        <v>1</v>
      </c>
      <c r="L231" t="str">
        <f>VLOOKUP(A231,'Cadastro de Produtos'!A:B,2,0)</f>
        <v>Fonte SEVENTEAM 1000W REAL HURRICANE ST-1000EAZ</v>
      </c>
      <c r="M231">
        <f t="shared" si="12"/>
        <v>15</v>
      </c>
      <c r="N231">
        <f t="shared" si="13"/>
        <v>0</v>
      </c>
      <c r="O231">
        <f t="shared" si="14"/>
        <v>0</v>
      </c>
      <c r="P231">
        <f t="shared" si="15"/>
        <v>15</v>
      </c>
    </row>
    <row r="232" spans="1:16" x14ac:dyDescent="0.3">
      <c r="A232" t="s">
        <v>567</v>
      </c>
      <c r="B232" t="s">
        <v>12</v>
      </c>
      <c r="C232" s="92">
        <v>42029</v>
      </c>
      <c r="D232" s="46">
        <v>19</v>
      </c>
      <c r="E232" s="47">
        <v>5.54</v>
      </c>
      <c r="F232" t="s">
        <v>33</v>
      </c>
      <c r="J232" t="s">
        <v>720</v>
      </c>
      <c r="K232">
        <f>COUNTIF($A$1:A232,A232)</f>
        <v>1</v>
      </c>
      <c r="L232" t="str">
        <f>VLOOKUP(A232,'Cadastro de Produtos'!A:B,2,0)</f>
        <v>HD Externo 1,5TB WD My Book Elite (Visor) WDBAAH0015HCH-NES USB 2.0</v>
      </c>
      <c r="M232">
        <f t="shared" si="12"/>
        <v>19</v>
      </c>
      <c r="N232">
        <f t="shared" si="13"/>
        <v>0</v>
      </c>
      <c r="O232">
        <f t="shared" si="14"/>
        <v>0</v>
      </c>
      <c r="P232">
        <f t="shared" si="15"/>
        <v>19</v>
      </c>
    </row>
    <row r="233" spans="1:16" x14ac:dyDescent="0.3">
      <c r="A233" t="s">
        <v>521</v>
      </c>
      <c r="B233" t="s">
        <v>12</v>
      </c>
      <c r="C233" s="92">
        <v>42029</v>
      </c>
      <c r="D233" s="46">
        <v>8</v>
      </c>
      <c r="E233" s="47">
        <v>0.01</v>
      </c>
      <c r="F233" t="s">
        <v>33</v>
      </c>
      <c r="J233" t="s">
        <v>720</v>
      </c>
      <c r="K233">
        <f>COUNTIF($A$1:A233,A233)</f>
        <v>1</v>
      </c>
      <c r="L233" t="str">
        <f>VLOOKUP(A233,'Cadastro de Produtos'!A:B,2,0)</f>
        <v>Fonte SEVENTEAM 500W REAL ST-500BAZ V2.2 BLACK</v>
      </c>
      <c r="M233">
        <f t="shared" si="12"/>
        <v>8</v>
      </c>
      <c r="N233">
        <f t="shared" si="13"/>
        <v>0</v>
      </c>
      <c r="O233">
        <f t="shared" si="14"/>
        <v>0</v>
      </c>
      <c r="P233">
        <f t="shared" si="15"/>
        <v>8</v>
      </c>
    </row>
    <row r="234" spans="1:16" x14ac:dyDescent="0.3">
      <c r="A234" t="s">
        <v>506</v>
      </c>
      <c r="B234" t="s">
        <v>12</v>
      </c>
      <c r="C234" s="92">
        <v>42029</v>
      </c>
      <c r="D234" s="46">
        <v>1</v>
      </c>
      <c r="E234" s="47">
        <v>292.82</v>
      </c>
      <c r="F234" t="s">
        <v>33</v>
      </c>
      <c r="J234" t="s">
        <v>720</v>
      </c>
      <c r="K234">
        <f>COUNTIF($A$1:A234,A234)</f>
        <v>1</v>
      </c>
      <c r="L234" t="str">
        <f>VLOOKUP(A234,'Cadastro de Produtos'!A:B,2,0)</f>
        <v>Fonte C3 Tech v2.2 400W REAL (800W Nominal)</v>
      </c>
      <c r="M234">
        <f t="shared" si="12"/>
        <v>1</v>
      </c>
      <c r="N234">
        <f t="shared" si="13"/>
        <v>0</v>
      </c>
      <c r="O234">
        <f t="shared" si="14"/>
        <v>0</v>
      </c>
      <c r="P234">
        <f t="shared" si="15"/>
        <v>1</v>
      </c>
    </row>
    <row r="235" spans="1:16" x14ac:dyDescent="0.3">
      <c r="A235" t="s">
        <v>520</v>
      </c>
      <c r="B235" t="s">
        <v>12</v>
      </c>
      <c r="C235" s="92">
        <v>42029</v>
      </c>
      <c r="D235" s="46">
        <v>1060</v>
      </c>
      <c r="E235" s="47">
        <v>0.01</v>
      </c>
      <c r="F235" t="s">
        <v>33</v>
      </c>
      <c r="J235" t="s">
        <v>720</v>
      </c>
      <c r="K235">
        <f>COUNTIF($A$1:A235,A235)</f>
        <v>1</v>
      </c>
      <c r="L235" t="str">
        <f>VLOOKUP(A235,'Cadastro de Produtos'!A:B,2,0)</f>
        <v>Fonte SEVENTEAM 460W REAL ST-460BKM V2.0 BLACK</v>
      </c>
      <c r="M235">
        <f t="shared" si="12"/>
        <v>1060</v>
      </c>
      <c r="N235">
        <f t="shared" si="13"/>
        <v>0</v>
      </c>
      <c r="O235">
        <f t="shared" si="14"/>
        <v>0</v>
      </c>
      <c r="P235">
        <f t="shared" si="15"/>
        <v>1060</v>
      </c>
    </row>
    <row r="236" spans="1:16" x14ac:dyDescent="0.3">
      <c r="A236" t="s">
        <v>564</v>
      </c>
      <c r="B236" t="s">
        <v>12</v>
      </c>
      <c r="C236" s="92">
        <v>42029</v>
      </c>
      <c r="D236" s="46">
        <v>7</v>
      </c>
      <c r="E236" s="47">
        <v>39.979999999999997</v>
      </c>
      <c r="F236" t="s">
        <v>33</v>
      </c>
      <c r="J236" t="s">
        <v>720</v>
      </c>
      <c r="K236">
        <f>COUNTIF($A$1:A236,A236)</f>
        <v>1</v>
      </c>
      <c r="L236" t="str">
        <f>VLOOKUP(A236,'Cadastro de Produtos'!A:B,2,0)</f>
        <v>Gravador DVD-RW SONY SATA (Preto/OEM)</v>
      </c>
      <c r="M236">
        <f t="shared" si="12"/>
        <v>7</v>
      </c>
      <c r="N236">
        <f t="shared" si="13"/>
        <v>0</v>
      </c>
      <c r="O236">
        <f t="shared" si="14"/>
        <v>0</v>
      </c>
      <c r="P236">
        <f t="shared" si="15"/>
        <v>7</v>
      </c>
    </row>
    <row r="237" spans="1:16" x14ac:dyDescent="0.3">
      <c r="A237" t="s">
        <v>565</v>
      </c>
      <c r="B237" t="s">
        <v>12</v>
      </c>
      <c r="C237" s="92">
        <v>42029</v>
      </c>
      <c r="D237" s="46">
        <v>5</v>
      </c>
      <c r="E237" s="47">
        <v>14.7</v>
      </c>
      <c r="F237" t="s">
        <v>33</v>
      </c>
      <c r="J237" t="s">
        <v>720</v>
      </c>
      <c r="K237">
        <f>COUNTIF($A$1:A237,A237)</f>
        <v>1</v>
      </c>
      <c r="L237" t="str">
        <f>VLOOKUP(A237,'Cadastro de Produtos'!A:B,2,0)</f>
        <v>Gravador Externo Slim LG GP08 lite USB Preto</v>
      </c>
      <c r="M237">
        <f t="shared" si="12"/>
        <v>5</v>
      </c>
      <c r="N237">
        <f t="shared" si="13"/>
        <v>0</v>
      </c>
      <c r="O237">
        <f t="shared" si="14"/>
        <v>0</v>
      </c>
      <c r="P237">
        <f t="shared" si="15"/>
        <v>5</v>
      </c>
    </row>
    <row r="238" spans="1:16" x14ac:dyDescent="0.3">
      <c r="A238" t="s">
        <v>562</v>
      </c>
      <c r="B238" t="s">
        <v>12</v>
      </c>
      <c r="C238" s="92">
        <v>42029</v>
      </c>
      <c r="D238" s="46">
        <v>46</v>
      </c>
      <c r="E238" s="47">
        <v>14.65</v>
      </c>
      <c r="F238" t="s">
        <v>33</v>
      </c>
      <c r="J238" t="s">
        <v>720</v>
      </c>
      <c r="K238">
        <f>COUNTIF($A$1:A238,A238)</f>
        <v>1</v>
      </c>
      <c r="L238" t="str">
        <f>VLOOKUP(A238,'Cadastro de Produtos'!A:B,2,0)</f>
        <v>Gravador DVD-RW Samsung SATA (Preto/OEM)</v>
      </c>
      <c r="M238">
        <f t="shared" si="12"/>
        <v>46</v>
      </c>
      <c r="N238">
        <f t="shared" si="13"/>
        <v>0</v>
      </c>
      <c r="O238">
        <f t="shared" si="14"/>
        <v>0</v>
      </c>
      <c r="P238">
        <f t="shared" si="15"/>
        <v>46</v>
      </c>
    </row>
    <row r="239" spans="1:16" x14ac:dyDescent="0.3">
      <c r="A239" t="s">
        <v>563</v>
      </c>
      <c r="B239" t="s">
        <v>12</v>
      </c>
      <c r="C239" s="92">
        <v>42029</v>
      </c>
      <c r="D239" s="46">
        <v>4</v>
      </c>
      <c r="E239" s="47">
        <v>9.5</v>
      </c>
      <c r="F239" t="s">
        <v>33</v>
      </c>
      <c r="J239" t="s">
        <v>720</v>
      </c>
      <c r="K239">
        <f>COUNTIF($A$1:A239,A239)</f>
        <v>1</v>
      </c>
      <c r="L239" t="str">
        <f>VLOOKUP(A239,'Cadastro de Produtos'!A:B,2,0)</f>
        <v>Gravador DVD-RW SONY IDE (Preto/OEM)</v>
      </c>
      <c r="M239">
        <f t="shared" si="12"/>
        <v>4</v>
      </c>
      <c r="N239">
        <f t="shared" si="13"/>
        <v>0</v>
      </c>
      <c r="O239">
        <f t="shared" si="14"/>
        <v>0</v>
      </c>
      <c r="P239">
        <f t="shared" si="15"/>
        <v>4</v>
      </c>
    </row>
    <row r="240" spans="1:16" x14ac:dyDescent="0.3">
      <c r="A240" t="s">
        <v>505</v>
      </c>
      <c r="B240" t="s">
        <v>12</v>
      </c>
      <c r="C240" s="92">
        <v>42029</v>
      </c>
      <c r="D240" s="46">
        <v>25</v>
      </c>
      <c r="E240" s="47">
        <v>23.11</v>
      </c>
      <c r="F240" t="s">
        <v>33</v>
      </c>
      <c r="J240" t="s">
        <v>720</v>
      </c>
      <c r="K240">
        <f>COUNTIF($A$1:A240,A240)</f>
        <v>1</v>
      </c>
      <c r="L240" t="str">
        <f>VLOOKUP(A240,'Cadastro de Produtos'!A:B,2,0)</f>
        <v>Fonte C3 Tech v2.2 350W REAL (700W Nominal)</v>
      </c>
      <c r="M240">
        <f t="shared" si="12"/>
        <v>25</v>
      </c>
      <c r="N240">
        <f t="shared" si="13"/>
        <v>0</v>
      </c>
      <c r="O240">
        <f t="shared" si="14"/>
        <v>0</v>
      </c>
      <c r="P240">
        <f t="shared" si="15"/>
        <v>25</v>
      </c>
    </row>
    <row r="241" spans="1:16" x14ac:dyDescent="0.3">
      <c r="A241" t="s">
        <v>522</v>
      </c>
      <c r="B241" t="s">
        <v>12</v>
      </c>
      <c r="C241" s="92">
        <v>42029</v>
      </c>
      <c r="D241" s="46">
        <v>2</v>
      </c>
      <c r="E241" s="47">
        <v>17.440000000000001</v>
      </c>
      <c r="F241" t="s">
        <v>33</v>
      </c>
      <c r="J241" t="s">
        <v>720</v>
      </c>
      <c r="K241">
        <f>COUNTIF($A$1:A241,A241)</f>
        <v>1</v>
      </c>
      <c r="L241" t="str">
        <f>VLOOKUP(A241,'Cadastro de Produtos'!A:B,2,0)</f>
        <v>Fonte SEVENTEAM 750W REAL V-FORCE ST-750Z-AF V2.3</v>
      </c>
      <c r="M241">
        <f t="shared" si="12"/>
        <v>2</v>
      </c>
      <c r="N241">
        <f t="shared" si="13"/>
        <v>0</v>
      </c>
      <c r="O241">
        <f t="shared" si="14"/>
        <v>0</v>
      </c>
      <c r="P241">
        <f t="shared" si="15"/>
        <v>2</v>
      </c>
    </row>
    <row r="242" spans="1:16" x14ac:dyDescent="0.3">
      <c r="A242" t="s">
        <v>523</v>
      </c>
      <c r="B242" t="s">
        <v>12</v>
      </c>
      <c r="C242" s="92">
        <v>42029</v>
      </c>
      <c r="D242" s="46">
        <v>1</v>
      </c>
      <c r="E242" s="47">
        <v>28.09</v>
      </c>
      <c r="F242" t="s">
        <v>33</v>
      </c>
      <c r="J242" t="s">
        <v>720</v>
      </c>
      <c r="K242">
        <f>COUNTIF($A$1:A242,A242)</f>
        <v>1</v>
      </c>
      <c r="L242" t="str">
        <f>VLOOKUP(A242,'Cadastro de Produtos'!A:B,2,0)</f>
        <v>Fonte SEVENTEAM 850W V-FORCE ST-850Z-AF V2.3</v>
      </c>
      <c r="M242">
        <f t="shared" si="12"/>
        <v>1</v>
      </c>
      <c r="N242">
        <f t="shared" si="13"/>
        <v>0</v>
      </c>
      <c r="O242">
        <f t="shared" si="14"/>
        <v>0</v>
      </c>
      <c r="P242">
        <f t="shared" si="15"/>
        <v>1</v>
      </c>
    </row>
    <row r="243" spans="1:16" x14ac:dyDescent="0.3">
      <c r="A243" t="s">
        <v>525</v>
      </c>
      <c r="B243" t="s">
        <v>12</v>
      </c>
      <c r="C243" s="92">
        <v>42029</v>
      </c>
      <c r="D243" s="46">
        <v>19</v>
      </c>
      <c r="E243" s="47">
        <v>11.17</v>
      </c>
      <c r="F243" t="s">
        <v>33</v>
      </c>
      <c r="J243" t="s">
        <v>720</v>
      </c>
      <c r="K243">
        <f>COUNTIF($A$1:A243,A243)</f>
        <v>1</v>
      </c>
      <c r="L243" t="str">
        <f>VLOOKUP(A243,'Cadastro de Produtos'!A:B,2,0)</f>
        <v>Fonte Zalman 460W ZM460B-APS Ver2.2</v>
      </c>
      <c r="M243">
        <f t="shared" si="12"/>
        <v>19</v>
      </c>
      <c r="N243">
        <f t="shared" si="13"/>
        <v>0</v>
      </c>
      <c r="O243">
        <f t="shared" si="14"/>
        <v>0</v>
      </c>
      <c r="P243">
        <f t="shared" si="15"/>
        <v>19</v>
      </c>
    </row>
    <row r="244" spans="1:16" x14ac:dyDescent="0.3">
      <c r="A244" t="s">
        <v>524</v>
      </c>
      <c r="B244" t="s">
        <v>12</v>
      </c>
      <c r="C244" s="92">
        <v>42029</v>
      </c>
      <c r="D244" s="46">
        <v>86</v>
      </c>
      <c r="E244" s="47">
        <v>8.73</v>
      </c>
      <c r="F244" t="s">
        <v>33</v>
      </c>
      <c r="J244" t="s">
        <v>720</v>
      </c>
      <c r="K244">
        <f>COUNTIF($A$1:A244,A244)</f>
        <v>1</v>
      </c>
      <c r="L244" t="str">
        <f>VLOOKUP(A244,'Cadastro de Produtos'!A:B,2,0)</f>
        <v>Fonte Zalman 360W ZM360B-APS Ver2.2</v>
      </c>
      <c r="M244">
        <f t="shared" si="12"/>
        <v>86</v>
      </c>
      <c r="N244">
        <f t="shared" si="13"/>
        <v>0</v>
      </c>
      <c r="O244">
        <f t="shared" si="14"/>
        <v>0</v>
      </c>
      <c r="P244">
        <f t="shared" si="15"/>
        <v>86</v>
      </c>
    </row>
    <row r="245" spans="1:16" x14ac:dyDescent="0.3">
      <c r="A245" t="s">
        <v>526</v>
      </c>
      <c r="B245" t="s">
        <v>12</v>
      </c>
      <c r="C245" s="92">
        <v>42029</v>
      </c>
      <c r="D245" s="46">
        <v>7</v>
      </c>
      <c r="E245" s="47">
        <v>7.76</v>
      </c>
      <c r="F245" t="s">
        <v>33</v>
      </c>
      <c r="J245" t="s">
        <v>720</v>
      </c>
      <c r="K245">
        <f>COUNTIF($A$1:A245,A245)</f>
        <v>1</v>
      </c>
      <c r="L245" t="str">
        <f>VLOOKUP(A245,'Cadastro de Produtos'!A:B,2,0)</f>
        <v>Fonte Zalman 500W ZM500-ST 2.3 80 Plus</v>
      </c>
      <c r="M245">
        <f t="shared" si="12"/>
        <v>7</v>
      </c>
      <c r="N245">
        <f t="shared" si="13"/>
        <v>0</v>
      </c>
      <c r="O245">
        <f t="shared" si="14"/>
        <v>0</v>
      </c>
      <c r="P245">
        <f t="shared" si="15"/>
        <v>7</v>
      </c>
    </row>
    <row r="246" spans="1:16" x14ac:dyDescent="0.3">
      <c r="A246" t="s">
        <v>527</v>
      </c>
      <c r="B246" t="s">
        <v>12</v>
      </c>
      <c r="C246" s="92">
        <v>42029</v>
      </c>
      <c r="D246" s="46">
        <v>13</v>
      </c>
      <c r="E246" s="47">
        <v>3.71</v>
      </c>
      <c r="F246" t="s">
        <v>33</v>
      </c>
      <c r="J246" t="s">
        <v>720</v>
      </c>
      <c r="K246">
        <f>COUNTIF($A$1:A246,A246)</f>
        <v>1</v>
      </c>
      <c r="L246" t="str">
        <f>VLOOKUP(A246,'Cadastro de Produtos'!A:B,2,0)</f>
        <v>Fonte Zalman 600W ZM600-ST 2.3 80 Plus</v>
      </c>
      <c r="M246">
        <f t="shared" si="12"/>
        <v>13</v>
      </c>
      <c r="N246">
        <f t="shared" si="13"/>
        <v>0</v>
      </c>
      <c r="O246">
        <f t="shared" si="14"/>
        <v>0</v>
      </c>
      <c r="P246">
        <f t="shared" si="15"/>
        <v>13</v>
      </c>
    </row>
    <row r="247" spans="1:16" x14ac:dyDescent="0.3">
      <c r="A247" t="s">
        <v>528</v>
      </c>
      <c r="B247" t="s">
        <v>12</v>
      </c>
      <c r="C247" s="92">
        <v>42029</v>
      </c>
      <c r="D247" s="46">
        <v>2</v>
      </c>
      <c r="E247" s="47">
        <v>6.6</v>
      </c>
      <c r="F247" t="s">
        <v>33</v>
      </c>
      <c r="J247" t="s">
        <v>720</v>
      </c>
      <c r="K247">
        <f>COUNTIF($A$1:A247,A247)</f>
        <v>1</v>
      </c>
      <c r="L247" t="str">
        <f>VLOOKUP(A247,'Cadastro de Produtos'!A:B,2,0)</f>
        <v>Fonte Zalman 750W ZM750-HP v2.2</v>
      </c>
      <c r="M247">
        <f t="shared" si="12"/>
        <v>2</v>
      </c>
      <c r="N247">
        <f t="shared" si="13"/>
        <v>0</v>
      </c>
      <c r="O247">
        <f t="shared" si="14"/>
        <v>0</v>
      </c>
      <c r="P247">
        <f t="shared" si="15"/>
        <v>2</v>
      </c>
    </row>
    <row r="248" spans="1:16" x14ac:dyDescent="0.3">
      <c r="A248" t="s">
        <v>530</v>
      </c>
      <c r="B248" t="s">
        <v>12</v>
      </c>
      <c r="C248" s="92">
        <v>42029</v>
      </c>
      <c r="D248" s="46">
        <v>10</v>
      </c>
      <c r="E248" s="47">
        <v>153.94999999999999</v>
      </c>
      <c r="F248" t="s">
        <v>33</v>
      </c>
      <c r="J248" t="s">
        <v>720</v>
      </c>
      <c r="K248">
        <f>COUNTIF($A$1:A248,A248)</f>
        <v>1</v>
      </c>
      <c r="L248" t="str">
        <f>VLOOKUP(A248,'Cadastro de Produtos'!A:B,2,0)</f>
        <v>Fonte Zippy Mini-Redundante 420W MRW-6420P</v>
      </c>
      <c r="M248">
        <f t="shared" si="12"/>
        <v>10</v>
      </c>
      <c r="N248">
        <f t="shared" si="13"/>
        <v>0</v>
      </c>
      <c r="O248">
        <f t="shared" si="14"/>
        <v>0</v>
      </c>
      <c r="P248">
        <f t="shared" si="15"/>
        <v>10</v>
      </c>
    </row>
    <row r="249" spans="1:16" x14ac:dyDescent="0.3">
      <c r="A249" t="s">
        <v>529</v>
      </c>
      <c r="B249" t="s">
        <v>12</v>
      </c>
      <c r="C249" s="92">
        <v>42029</v>
      </c>
      <c r="D249" s="46">
        <v>1</v>
      </c>
      <c r="E249" s="47">
        <v>0.01</v>
      </c>
      <c r="F249" t="s">
        <v>33</v>
      </c>
      <c r="J249" t="s">
        <v>720</v>
      </c>
      <c r="K249">
        <f>COUNTIF($A$1:A249,A249)</f>
        <v>1</v>
      </c>
      <c r="L249" t="str">
        <f>VLOOKUP(A249,'Cadastro de Produtos'!A:B,2,0)</f>
        <v>Fonte Zalman 850W ZM850-HP v2.2</v>
      </c>
      <c r="M249">
        <f t="shared" si="12"/>
        <v>1</v>
      </c>
      <c r="N249">
        <f t="shared" si="13"/>
        <v>0</v>
      </c>
      <c r="O249">
        <f t="shared" si="14"/>
        <v>0</v>
      </c>
      <c r="P249">
        <f t="shared" si="15"/>
        <v>1</v>
      </c>
    </row>
    <row r="250" spans="1:16" x14ac:dyDescent="0.3">
      <c r="A250" t="s">
        <v>534</v>
      </c>
      <c r="B250" t="s">
        <v>12</v>
      </c>
      <c r="C250" s="92">
        <v>42029</v>
      </c>
      <c r="D250" s="46">
        <v>2</v>
      </c>
      <c r="E250" s="47">
        <v>19.95</v>
      </c>
      <c r="F250" t="s">
        <v>33</v>
      </c>
      <c r="J250" t="s">
        <v>720</v>
      </c>
      <c r="K250">
        <f>COUNTIF($A$1:A250,A250)</f>
        <v>1</v>
      </c>
      <c r="L250" t="str">
        <f>VLOOKUP(A250,'Cadastro de Produtos'!A:B,2,0)</f>
        <v>Gabinete GMC K1 MUSE MULTIMEDIA BLACK (s/ fonte)</v>
      </c>
      <c r="M250">
        <f t="shared" si="12"/>
        <v>2</v>
      </c>
      <c r="N250">
        <f t="shared" si="13"/>
        <v>0</v>
      </c>
      <c r="O250">
        <f t="shared" si="14"/>
        <v>0</v>
      </c>
      <c r="P250">
        <f t="shared" si="15"/>
        <v>2</v>
      </c>
    </row>
    <row r="251" spans="1:16" x14ac:dyDescent="0.3">
      <c r="A251" t="s">
        <v>536</v>
      </c>
      <c r="B251" t="s">
        <v>12</v>
      </c>
      <c r="C251" s="92">
        <v>42029</v>
      </c>
      <c r="D251" s="46">
        <v>2</v>
      </c>
      <c r="E251" s="47">
        <v>91.09</v>
      </c>
      <c r="F251" t="s">
        <v>33</v>
      </c>
      <c r="J251" t="s">
        <v>720</v>
      </c>
      <c r="K251">
        <f>COUNTIF($A$1:A251,A251)</f>
        <v>1</v>
      </c>
      <c r="L251" t="str">
        <f>VLOOKUP(A251,'Cadastro de Produtos'!A:B,2,0)</f>
        <v>Gabinete HM NK510 ATX 2 baias (s/ fonte) Preto</v>
      </c>
      <c r="M251">
        <f t="shared" si="12"/>
        <v>2</v>
      </c>
      <c r="N251">
        <f t="shared" si="13"/>
        <v>0</v>
      </c>
      <c r="O251">
        <f t="shared" si="14"/>
        <v>0</v>
      </c>
      <c r="P251">
        <f t="shared" si="15"/>
        <v>2</v>
      </c>
    </row>
    <row r="252" spans="1:16" x14ac:dyDescent="0.3">
      <c r="A252" t="s">
        <v>535</v>
      </c>
      <c r="B252" t="s">
        <v>12</v>
      </c>
      <c r="C252" s="92">
        <v>42029</v>
      </c>
      <c r="D252" s="46">
        <v>1</v>
      </c>
      <c r="E252" s="47">
        <v>49</v>
      </c>
      <c r="F252" t="s">
        <v>33</v>
      </c>
      <c r="J252" t="s">
        <v>720</v>
      </c>
      <c r="K252">
        <f>COUNTIF($A$1:A252,A252)</f>
        <v>1</v>
      </c>
      <c r="L252" t="str">
        <f>VLOOKUP(A252,'Cadastro de Produtos'!A:B,2,0)</f>
        <v>Gabinete GMC R2 TOAST ATX Preto (s/ fonte)</v>
      </c>
      <c r="M252">
        <f t="shared" si="12"/>
        <v>1</v>
      </c>
      <c r="N252">
        <f t="shared" si="13"/>
        <v>0</v>
      </c>
      <c r="O252">
        <f t="shared" si="14"/>
        <v>0</v>
      </c>
      <c r="P252">
        <f t="shared" si="15"/>
        <v>1</v>
      </c>
    </row>
    <row r="253" spans="1:16" x14ac:dyDescent="0.3">
      <c r="A253" t="s">
        <v>537</v>
      </c>
      <c r="B253" t="s">
        <v>12</v>
      </c>
      <c r="C253" s="92">
        <v>42029</v>
      </c>
      <c r="D253" s="46">
        <v>1</v>
      </c>
      <c r="E253" s="47">
        <v>15</v>
      </c>
      <c r="F253" t="s">
        <v>33</v>
      </c>
      <c r="J253" t="s">
        <v>720</v>
      </c>
      <c r="K253">
        <f>COUNTIF($A$1:A253,A253)</f>
        <v>1</v>
      </c>
      <c r="L253" t="str">
        <f>VLOOKUP(A253,'Cadastro de Produtos'!A:B,2,0)</f>
        <v>Gabinete HM NK770 ATX 4 baias (s/ fonte) Preto</v>
      </c>
      <c r="M253">
        <f t="shared" si="12"/>
        <v>1</v>
      </c>
      <c r="N253">
        <f t="shared" si="13"/>
        <v>0</v>
      </c>
      <c r="O253">
        <f t="shared" si="14"/>
        <v>0</v>
      </c>
      <c r="P253">
        <f t="shared" si="15"/>
        <v>1</v>
      </c>
    </row>
    <row r="254" spans="1:16" x14ac:dyDescent="0.3">
      <c r="A254" t="s">
        <v>538</v>
      </c>
      <c r="B254" t="s">
        <v>12</v>
      </c>
      <c r="C254" s="92">
        <v>42029</v>
      </c>
      <c r="D254" s="46">
        <v>4</v>
      </c>
      <c r="E254" s="47">
        <v>0.01</v>
      </c>
      <c r="F254" t="s">
        <v>33</v>
      </c>
      <c r="J254" t="s">
        <v>720</v>
      </c>
      <c r="K254">
        <f>COUNTIF($A$1:A254,A254)</f>
        <v>1</v>
      </c>
      <c r="L254" t="str">
        <f>VLOOKUP(A254,'Cadastro de Produtos'!A:B,2,0)</f>
        <v>Gabinete HM NK770 ATX 4 baias 250W/500W Preto</v>
      </c>
      <c r="M254">
        <f t="shared" si="12"/>
        <v>4</v>
      </c>
      <c r="N254">
        <f t="shared" si="13"/>
        <v>0</v>
      </c>
      <c r="O254">
        <f t="shared" si="14"/>
        <v>0</v>
      </c>
      <c r="P254">
        <f t="shared" si="15"/>
        <v>4</v>
      </c>
    </row>
    <row r="255" spans="1:16" x14ac:dyDescent="0.3">
      <c r="A255" t="s">
        <v>539</v>
      </c>
      <c r="B255" t="s">
        <v>12</v>
      </c>
      <c r="C255" s="92">
        <v>42029</v>
      </c>
      <c r="D255" s="46">
        <v>1</v>
      </c>
      <c r="E255" s="47">
        <v>45</v>
      </c>
      <c r="F255" t="s">
        <v>33</v>
      </c>
      <c r="J255" t="s">
        <v>720</v>
      </c>
      <c r="K255">
        <f>COUNTIF($A$1:A255,A255)</f>
        <v>1</v>
      </c>
      <c r="L255" t="str">
        <f>VLOOKUP(A255,'Cadastro de Produtos'!A:B,2,0)</f>
        <v>Gabinete Intel SC5650BRP (FONTE 600W + HOT SWAP)</v>
      </c>
      <c r="M255">
        <f t="shared" si="12"/>
        <v>1</v>
      </c>
      <c r="N255">
        <f t="shared" si="13"/>
        <v>0</v>
      </c>
      <c r="O255">
        <f t="shared" si="14"/>
        <v>0</v>
      </c>
      <c r="P255">
        <f t="shared" si="15"/>
        <v>1</v>
      </c>
    </row>
    <row r="256" spans="1:16" x14ac:dyDescent="0.3">
      <c r="A256" t="s">
        <v>531</v>
      </c>
      <c r="B256" t="s">
        <v>12</v>
      </c>
      <c r="C256" s="92">
        <v>42029</v>
      </c>
      <c r="D256" s="46">
        <v>14</v>
      </c>
      <c r="E256" s="47">
        <v>28.12</v>
      </c>
      <c r="F256" t="s">
        <v>33</v>
      </c>
      <c r="J256" t="s">
        <v>720</v>
      </c>
      <c r="K256">
        <f>COUNTIF($A$1:A256,A256)</f>
        <v>1</v>
      </c>
      <c r="L256" t="str">
        <f>VLOOKUP(A256,'Cadastro de Produtos'!A:B,2,0)</f>
        <v>Frente CD/DVD Asus F9s</v>
      </c>
      <c r="M256">
        <f t="shared" si="12"/>
        <v>14</v>
      </c>
      <c r="N256">
        <f t="shared" si="13"/>
        <v>0</v>
      </c>
      <c r="O256">
        <f t="shared" si="14"/>
        <v>0</v>
      </c>
      <c r="P256">
        <f t="shared" si="15"/>
        <v>14</v>
      </c>
    </row>
    <row r="257" spans="1:16" x14ac:dyDescent="0.3">
      <c r="A257" t="s">
        <v>532</v>
      </c>
      <c r="B257" t="s">
        <v>12</v>
      </c>
      <c r="C257" s="92">
        <v>42029</v>
      </c>
      <c r="D257" s="46">
        <v>16</v>
      </c>
      <c r="E257" s="47">
        <v>25.22</v>
      </c>
      <c r="F257" t="s">
        <v>33</v>
      </c>
      <c r="J257" t="s">
        <v>720</v>
      </c>
      <c r="K257">
        <f>COUNTIF($A$1:A257,A257)</f>
        <v>1</v>
      </c>
      <c r="L257" t="str">
        <f>VLOOKUP(A257,'Cadastro de Produtos'!A:B,2,0)</f>
        <v>Gabinete Casemall ATX R530 Slim (sem fonte)</v>
      </c>
      <c r="M257">
        <f t="shared" si="12"/>
        <v>16</v>
      </c>
      <c r="N257">
        <f t="shared" si="13"/>
        <v>0</v>
      </c>
      <c r="O257">
        <f t="shared" si="14"/>
        <v>0</v>
      </c>
      <c r="P257">
        <f t="shared" si="15"/>
        <v>16</v>
      </c>
    </row>
    <row r="258" spans="1:16" x14ac:dyDescent="0.3">
      <c r="A258" t="s">
        <v>533</v>
      </c>
      <c r="B258" t="s">
        <v>12</v>
      </c>
      <c r="C258" s="92">
        <v>42029</v>
      </c>
      <c r="D258" s="46">
        <v>1</v>
      </c>
      <c r="E258" s="47">
        <v>140.09</v>
      </c>
      <c r="F258" t="s">
        <v>33</v>
      </c>
      <c r="J258" t="s">
        <v>720</v>
      </c>
      <c r="K258">
        <f>COUNTIF($A$1:A258,A258)</f>
        <v>1</v>
      </c>
      <c r="L258" t="str">
        <f>VLOOKUP(A258,'Cadastro de Produtos'!A:B,2,0)</f>
        <v>Gabinete Casemall L1100 T.Rex Cool ATX (s/ fonte)</v>
      </c>
      <c r="M258">
        <f t="shared" ref="M258:M321" si="16">SUMIF(B258,"E",D258:D258)</f>
        <v>1</v>
      </c>
      <c r="N258">
        <f t="shared" ref="N258:N321" si="17">SUMIF(B258,"S",D258:D258)</f>
        <v>0</v>
      </c>
      <c r="O258">
        <f t="shared" ref="O258:O321" si="18">N258*-1</f>
        <v>0</v>
      </c>
      <c r="P258">
        <f t="shared" ref="P258:P321" si="19">SUM(M258+O258)</f>
        <v>1</v>
      </c>
    </row>
    <row r="259" spans="1:16" x14ac:dyDescent="0.3">
      <c r="A259" t="s">
        <v>540</v>
      </c>
      <c r="B259" t="s">
        <v>12</v>
      </c>
      <c r="C259" s="92">
        <v>42029</v>
      </c>
      <c r="D259" s="46">
        <v>5</v>
      </c>
      <c r="E259" s="47">
        <v>37.75</v>
      </c>
      <c r="F259" t="s">
        <v>33</v>
      </c>
      <c r="J259" t="s">
        <v>720</v>
      </c>
      <c r="K259">
        <f>COUNTIF($A$1:A259,A259)</f>
        <v>1</v>
      </c>
      <c r="L259" t="str">
        <f>VLOOKUP(A259,'Cadastro de Produtos'!A:B,2,0)</f>
        <v>Gabinete Mtek D-09 2b Preto</v>
      </c>
      <c r="M259">
        <f t="shared" si="16"/>
        <v>5</v>
      </c>
      <c r="N259">
        <f t="shared" si="17"/>
        <v>0</v>
      </c>
      <c r="O259">
        <f t="shared" si="18"/>
        <v>0</v>
      </c>
      <c r="P259">
        <f t="shared" si="19"/>
        <v>5</v>
      </c>
    </row>
    <row r="260" spans="1:16" x14ac:dyDescent="0.3">
      <c r="A260" t="s">
        <v>541</v>
      </c>
      <c r="B260" t="s">
        <v>12</v>
      </c>
      <c r="C260" s="92">
        <v>42029</v>
      </c>
      <c r="D260" s="46">
        <v>3</v>
      </c>
      <c r="E260" s="47">
        <v>37.75</v>
      </c>
      <c r="F260" t="s">
        <v>33</v>
      </c>
      <c r="J260" t="s">
        <v>720</v>
      </c>
      <c r="K260">
        <f>COUNTIF($A$1:A260,A260)</f>
        <v>1</v>
      </c>
      <c r="L260" t="str">
        <f>VLOOKUP(A260,'Cadastro de Produtos'!A:B,2,0)</f>
        <v>Gabinete Nilko NK 310 MINI ITX (160W)</v>
      </c>
      <c r="M260">
        <f t="shared" si="16"/>
        <v>3</v>
      </c>
      <c r="N260">
        <f t="shared" si="17"/>
        <v>0</v>
      </c>
      <c r="O260">
        <f t="shared" si="18"/>
        <v>0</v>
      </c>
      <c r="P260">
        <f t="shared" si="19"/>
        <v>3</v>
      </c>
    </row>
    <row r="261" spans="1:16" x14ac:dyDescent="0.3">
      <c r="A261" t="s">
        <v>32</v>
      </c>
      <c r="B261" t="s">
        <v>12</v>
      </c>
      <c r="C261" s="92">
        <v>42029</v>
      </c>
      <c r="D261" s="46">
        <v>10</v>
      </c>
      <c r="E261" s="47">
        <v>21</v>
      </c>
      <c r="F261" t="s">
        <v>33</v>
      </c>
      <c r="J261" t="s">
        <v>720</v>
      </c>
      <c r="K261">
        <f>COUNTIF($A$1:A261,A261)</f>
        <v>1</v>
      </c>
      <c r="L261" t="str">
        <f>VLOOKUP(A261,'Cadastro de Produtos'!A:B,2,0)</f>
        <v>Adaptador DVI-VGA</v>
      </c>
      <c r="M261">
        <f t="shared" si="16"/>
        <v>10</v>
      </c>
      <c r="N261">
        <f t="shared" si="17"/>
        <v>0</v>
      </c>
      <c r="O261">
        <f t="shared" si="18"/>
        <v>0</v>
      </c>
      <c r="P261">
        <f t="shared" si="19"/>
        <v>10</v>
      </c>
    </row>
    <row r="262" spans="1:16" x14ac:dyDescent="0.3">
      <c r="A262" t="s">
        <v>35</v>
      </c>
      <c r="B262" t="s">
        <v>12</v>
      </c>
      <c r="C262" s="92">
        <v>42029</v>
      </c>
      <c r="D262" s="46">
        <v>2</v>
      </c>
      <c r="E262" s="47">
        <v>11.39</v>
      </c>
      <c r="F262" t="s">
        <v>33</v>
      </c>
      <c r="J262" t="s">
        <v>720</v>
      </c>
      <c r="K262">
        <f>COUNTIF($A$1:A262,A262)</f>
        <v>1</v>
      </c>
      <c r="L262" t="str">
        <f>VLOOKUP(A262,'Cadastro de Produtos'!A:B,2,0)</f>
        <v>Adaptador de cartão de memória Mini USB</v>
      </c>
      <c r="M262">
        <f t="shared" si="16"/>
        <v>2</v>
      </c>
      <c r="N262">
        <f t="shared" si="17"/>
        <v>0</v>
      </c>
      <c r="O262">
        <f t="shared" si="18"/>
        <v>0</v>
      </c>
      <c r="P262">
        <f t="shared" si="19"/>
        <v>2</v>
      </c>
    </row>
    <row r="263" spans="1:16" x14ac:dyDescent="0.3">
      <c r="A263" t="s">
        <v>36</v>
      </c>
      <c r="B263" t="s">
        <v>12</v>
      </c>
      <c r="C263" s="92">
        <v>42029</v>
      </c>
      <c r="D263" s="46">
        <v>22</v>
      </c>
      <c r="E263" s="47">
        <v>31.9</v>
      </c>
      <c r="F263" t="s">
        <v>33</v>
      </c>
      <c r="J263" t="s">
        <v>720</v>
      </c>
      <c r="K263">
        <f>COUNTIF($A$1:A263,A263)</f>
        <v>1</v>
      </c>
      <c r="L263" t="str">
        <f>VLOOKUP(A263,'Cadastro de Produtos'!A:B,2,0)</f>
        <v>Adaptador DVI-VGA</v>
      </c>
      <c r="M263">
        <f t="shared" si="16"/>
        <v>22</v>
      </c>
      <c r="N263">
        <f t="shared" si="17"/>
        <v>0</v>
      </c>
      <c r="O263">
        <f t="shared" si="18"/>
        <v>0</v>
      </c>
      <c r="P263">
        <f t="shared" si="19"/>
        <v>22</v>
      </c>
    </row>
    <row r="264" spans="1:16" x14ac:dyDescent="0.3">
      <c r="A264" t="s">
        <v>37</v>
      </c>
      <c r="B264" t="s">
        <v>12</v>
      </c>
      <c r="C264" s="92">
        <v>42029</v>
      </c>
      <c r="D264" s="46">
        <v>2</v>
      </c>
      <c r="E264" s="47">
        <v>30</v>
      </c>
      <c r="F264" t="s">
        <v>33</v>
      </c>
      <c r="J264" t="s">
        <v>720</v>
      </c>
      <c r="K264">
        <f>COUNTIF($A$1:A264,A264)</f>
        <v>1</v>
      </c>
      <c r="L264" t="str">
        <f>VLOOKUP(A264,'Cadastro de Produtos'!A:B,2,0)</f>
        <v>Adaptador USB Captura Digital</v>
      </c>
      <c r="M264">
        <f t="shared" si="16"/>
        <v>2</v>
      </c>
      <c r="N264">
        <f t="shared" si="17"/>
        <v>0</v>
      </c>
      <c r="O264">
        <f t="shared" si="18"/>
        <v>0</v>
      </c>
      <c r="P264">
        <f t="shared" si="19"/>
        <v>2</v>
      </c>
    </row>
    <row r="265" spans="1:16" x14ac:dyDescent="0.3">
      <c r="A265" t="s">
        <v>38</v>
      </c>
      <c r="B265" t="s">
        <v>12</v>
      </c>
      <c r="C265" s="92">
        <v>42029</v>
      </c>
      <c r="D265" s="46">
        <v>4</v>
      </c>
      <c r="E265" s="47">
        <v>30</v>
      </c>
      <c r="F265" t="s">
        <v>33</v>
      </c>
      <c r="J265" t="s">
        <v>720</v>
      </c>
      <c r="K265">
        <f>COUNTIF($A$1:A265,A265)</f>
        <v>1</v>
      </c>
      <c r="L265" t="str">
        <f>VLOOKUP(A265,'Cadastro de Produtos'!A:B,2,0)</f>
        <v>Adaptador USB WIFI n (150 Mbps) com Antena</v>
      </c>
      <c r="M265">
        <f t="shared" si="16"/>
        <v>4</v>
      </c>
      <c r="N265">
        <f t="shared" si="17"/>
        <v>0</v>
      </c>
      <c r="O265">
        <f t="shared" si="18"/>
        <v>0</v>
      </c>
      <c r="P265">
        <f t="shared" si="19"/>
        <v>4</v>
      </c>
    </row>
    <row r="266" spans="1:16" x14ac:dyDescent="0.3">
      <c r="A266" t="s">
        <v>39</v>
      </c>
      <c r="B266" t="s">
        <v>12</v>
      </c>
      <c r="C266" s="92">
        <v>42029</v>
      </c>
      <c r="D266" s="46">
        <v>8</v>
      </c>
      <c r="E266" s="47">
        <v>30</v>
      </c>
      <c r="F266" t="s">
        <v>33</v>
      </c>
      <c r="J266" t="s">
        <v>720</v>
      </c>
      <c r="K266">
        <f>COUNTIF($A$1:A266,A266)</f>
        <v>1</v>
      </c>
      <c r="L266" t="str">
        <f>VLOOKUP(A266,'Cadastro de Produtos'!A:B,2,0)</f>
        <v>Adaptador Wireless D-Link DWA-645 PCMCIA 300Mbps</v>
      </c>
      <c r="M266">
        <f t="shared" si="16"/>
        <v>8</v>
      </c>
      <c r="N266">
        <f t="shared" si="17"/>
        <v>0</v>
      </c>
      <c r="O266">
        <f t="shared" si="18"/>
        <v>0</v>
      </c>
      <c r="P266">
        <f t="shared" si="19"/>
        <v>8</v>
      </c>
    </row>
    <row r="267" spans="1:16" x14ac:dyDescent="0.3">
      <c r="A267" t="s">
        <v>40</v>
      </c>
      <c r="B267" t="s">
        <v>12</v>
      </c>
      <c r="C267" s="92">
        <v>42029</v>
      </c>
      <c r="D267" s="46">
        <v>7</v>
      </c>
      <c r="E267" s="47">
        <v>30</v>
      </c>
      <c r="F267" t="s">
        <v>33</v>
      </c>
      <c r="J267" t="s">
        <v>720</v>
      </c>
      <c r="K267">
        <f>COUNTIF($A$1:A267,A267)</f>
        <v>1</v>
      </c>
      <c r="L267" t="str">
        <f>VLOOKUP(A267,'Cadastro de Produtos'!A:B,2,0)</f>
        <v>Adaptador Wireless ENCORE ENLWI-NX2 PCI 300MBPS 802.11n</v>
      </c>
      <c r="M267">
        <f t="shared" si="16"/>
        <v>7</v>
      </c>
      <c r="N267">
        <f t="shared" si="17"/>
        <v>0</v>
      </c>
      <c r="O267">
        <f t="shared" si="18"/>
        <v>0</v>
      </c>
      <c r="P267">
        <f t="shared" si="19"/>
        <v>7</v>
      </c>
    </row>
    <row r="268" spans="1:16" x14ac:dyDescent="0.3">
      <c r="A268" t="s">
        <v>41</v>
      </c>
      <c r="B268" t="s">
        <v>12</v>
      </c>
      <c r="C268" s="92">
        <v>42029</v>
      </c>
      <c r="D268" s="46">
        <v>5</v>
      </c>
      <c r="E268" s="47">
        <v>30</v>
      </c>
      <c r="F268" t="s">
        <v>33</v>
      </c>
      <c r="J268" t="s">
        <v>720</v>
      </c>
      <c r="K268">
        <f>COUNTIF($A$1:A268,A268)</f>
        <v>1</v>
      </c>
      <c r="L268" t="str">
        <f>VLOOKUP(A268,'Cadastro de Produtos'!A:B,2,0)</f>
        <v>Adaptador Wireless TP-LINK TL-WN620G USB</v>
      </c>
      <c r="M268">
        <f t="shared" si="16"/>
        <v>5</v>
      </c>
      <c r="N268">
        <f t="shared" si="17"/>
        <v>0</v>
      </c>
      <c r="O268">
        <f t="shared" si="18"/>
        <v>0</v>
      </c>
      <c r="P268">
        <f t="shared" si="19"/>
        <v>5</v>
      </c>
    </row>
    <row r="269" spans="1:16" x14ac:dyDescent="0.3">
      <c r="A269" t="s">
        <v>42</v>
      </c>
      <c r="B269" t="s">
        <v>12</v>
      </c>
      <c r="C269" s="92">
        <v>42029</v>
      </c>
      <c r="D269" s="46">
        <v>8</v>
      </c>
      <c r="E269" s="47">
        <v>30</v>
      </c>
      <c r="F269" t="s">
        <v>33</v>
      </c>
      <c r="J269" t="s">
        <v>720</v>
      </c>
      <c r="K269">
        <f>COUNTIF($A$1:A269,A269)</f>
        <v>1</v>
      </c>
      <c r="L269" t="str">
        <f>VLOOKUP(A269,'Cadastro de Produtos'!A:B,2,0)</f>
        <v>Bateria notebook A32-F9 for ASUS F9E F9S F6K233E-SL F6A A31-F9</v>
      </c>
      <c r="M269">
        <f t="shared" si="16"/>
        <v>8</v>
      </c>
      <c r="N269">
        <f t="shared" si="17"/>
        <v>0</v>
      </c>
      <c r="O269">
        <f t="shared" si="18"/>
        <v>0</v>
      </c>
      <c r="P269">
        <f t="shared" si="19"/>
        <v>8</v>
      </c>
    </row>
    <row r="270" spans="1:16" x14ac:dyDescent="0.3">
      <c r="A270" t="s">
        <v>43</v>
      </c>
      <c r="B270" t="s">
        <v>12</v>
      </c>
      <c r="C270" s="92">
        <v>42029</v>
      </c>
      <c r="D270" s="46">
        <v>1</v>
      </c>
      <c r="E270" s="47">
        <v>30</v>
      </c>
      <c r="F270" t="s">
        <v>33</v>
      </c>
      <c r="J270" t="s">
        <v>720</v>
      </c>
      <c r="K270">
        <f>COUNTIF($A$1:A270,A270)</f>
        <v>1</v>
      </c>
      <c r="L270" t="str">
        <f>VLOOKUP(A270,'Cadastro de Produtos'!A:B,2,0)</f>
        <v>Bateria para Notebook 6Y270 11.1V/4400mAh 312-0191</v>
      </c>
      <c r="M270">
        <f t="shared" si="16"/>
        <v>1</v>
      </c>
      <c r="N270">
        <f t="shared" si="17"/>
        <v>0</v>
      </c>
      <c r="O270">
        <f t="shared" si="18"/>
        <v>0</v>
      </c>
      <c r="P270">
        <f t="shared" si="19"/>
        <v>1</v>
      </c>
    </row>
    <row r="271" spans="1:16" x14ac:dyDescent="0.3">
      <c r="A271" t="s">
        <v>44</v>
      </c>
      <c r="B271" t="s">
        <v>12</v>
      </c>
      <c r="C271" s="92">
        <v>42029</v>
      </c>
      <c r="D271" s="46">
        <v>0</v>
      </c>
      <c r="E271" s="47">
        <v>30</v>
      </c>
      <c r="F271" t="s">
        <v>33</v>
      </c>
      <c r="J271" t="s">
        <v>720</v>
      </c>
      <c r="K271">
        <f>COUNTIF($A$1:A271,A271)</f>
        <v>1</v>
      </c>
      <c r="L271" t="str">
        <f>VLOOKUP(A271,'Cadastro de Produtos'!A:B,2,0)</f>
        <v>Bateria para Notebook HD438 4 cells 14.8V/2200mAh TD612</v>
      </c>
      <c r="M271">
        <f t="shared" si="16"/>
        <v>0</v>
      </c>
      <c r="N271">
        <f t="shared" si="17"/>
        <v>0</v>
      </c>
      <c r="O271">
        <f t="shared" si="18"/>
        <v>0</v>
      </c>
      <c r="P271">
        <f t="shared" si="19"/>
        <v>0</v>
      </c>
    </row>
    <row r="272" spans="1:16" x14ac:dyDescent="0.3">
      <c r="A272" t="s">
        <v>60</v>
      </c>
      <c r="B272" t="s">
        <v>12</v>
      </c>
      <c r="C272" s="92">
        <v>42029</v>
      </c>
      <c r="D272" s="46">
        <v>6</v>
      </c>
      <c r="E272" s="47">
        <v>0.01</v>
      </c>
      <c r="F272" t="s">
        <v>33</v>
      </c>
      <c r="J272" t="s">
        <v>720</v>
      </c>
      <c r="K272">
        <f>COUNTIF($A$1:A272,A272)</f>
        <v>1</v>
      </c>
      <c r="L272" t="str">
        <f>VLOOKUP(A272,'Cadastro de Produtos'!A:B,2,0)</f>
        <v>Bateria para Notebook HK421 4 cells 14.8V 29Wh GR932</v>
      </c>
      <c r="M272">
        <f t="shared" si="16"/>
        <v>6</v>
      </c>
      <c r="N272">
        <f t="shared" si="17"/>
        <v>0</v>
      </c>
      <c r="O272">
        <f t="shared" si="18"/>
        <v>0</v>
      </c>
      <c r="P272">
        <f t="shared" si="19"/>
        <v>6</v>
      </c>
    </row>
    <row r="273" spans="1:16" x14ac:dyDescent="0.3">
      <c r="A273" t="s">
        <v>61</v>
      </c>
      <c r="B273" t="s">
        <v>12</v>
      </c>
      <c r="C273" s="92">
        <v>42029</v>
      </c>
      <c r="D273" s="46">
        <v>1</v>
      </c>
      <c r="E273" s="47">
        <v>0.01</v>
      </c>
      <c r="F273" t="s">
        <v>33</v>
      </c>
      <c r="J273" t="s">
        <v>720</v>
      </c>
      <c r="K273">
        <f>COUNTIF($A$1:A273,A273)</f>
        <v>1</v>
      </c>
      <c r="L273" t="str">
        <f>VLOOKUP(A273,'Cadastro de Produtos'!A:B,2,0)</f>
        <v>Bateria para Notebook P5413 8 cells 9.6V/4500mAh J9453</v>
      </c>
      <c r="M273">
        <f t="shared" si="16"/>
        <v>1</v>
      </c>
      <c r="N273">
        <f t="shared" si="17"/>
        <v>0</v>
      </c>
      <c r="O273">
        <f t="shared" si="18"/>
        <v>0</v>
      </c>
      <c r="P273">
        <f t="shared" si="19"/>
        <v>1</v>
      </c>
    </row>
    <row r="274" spans="1:16" x14ac:dyDescent="0.3">
      <c r="A274" t="s">
        <v>78</v>
      </c>
      <c r="B274" t="s">
        <v>12</v>
      </c>
      <c r="C274" s="92">
        <v>42029</v>
      </c>
      <c r="D274" s="46">
        <v>11</v>
      </c>
      <c r="E274" s="47">
        <v>15.9</v>
      </c>
      <c r="F274" t="s">
        <v>33</v>
      </c>
      <c r="J274" t="s">
        <v>720</v>
      </c>
      <c r="K274">
        <f>COUNTIF($A$1:A274,A274)</f>
        <v>1</v>
      </c>
      <c r="L274" t="str">
        <f>VLOOKUP(A274,'Cadastro de Produtos'!A:B,2,0)</f>
        <v>Bateria para Notebook U4873 9 cells 11.1V 80WH F5126</v>
      </c>
      <c r="M274">
        <f t="shared" si="16"/>
        <v>11</v>
      </c>
      <c r="N274">
        <f t="shared" si="17"/>
        <v>0</v>
      </c>
      <c r="O274">
        <f t="shared" si="18"/>
        <v>0</v>
      </c>
      <c r="P274">
        <f t="shared" si="19"/>
        <v>11</v>
      </c>
    </row>
    <row r="275" spans="1:16" x14ac:dyDescent="0.3">
      <c r="A275" t="s">
        <v>79</v>
      </c>
      <c r="B275" t="s">
        <v>12</v>
      </c>
      <c r="C275" s="92">
        <v>42029</v>
      </c>
      <c r="D275" s="46">
        <v>10</v>
      </c>
      <c r="E275" s="47">
        <v>15.9</v>
      </c>
      <c r="F275" t="s">
        <v>33</v>
      </c>
      <c r="J275" t="s">
        <v>720</v>
      </c>
      <c r="K275">
        <f>COUNTIF($A$1:A275,A275)</f>
        <v>1</v>
      </c>
      <c r="L275" t="str">
        <f>VLOOKUP(A275,'Cadastro de Produtos'!A:B,2,0)</f>
        <v>Battery Cr2032 notebook ASUS F9S</v>
      </c>
      <c r="M275">
        <f t="shared" si="16"/>
        <v>10</v>
      </c>
      <c r="N275">
        <f t="shared" si="17"/>
        <v>0</v>
      </c>
      <c r="O275">
        <f t="shared" si="18"/>
        <v>0</v>
      </c>
      <c r="P275">
        <f t="shared" si="19"/>
        <v>10</v>
      </c>
    </row>
    <row r="276" spans="1:16" x14ac:dyDescent="0.3">
      <c r="A276" t="s">
        <v>57</v>
      </c>
      <c r="B276" t="s">
        <v>12</v>
      </c>
      <c r="C276" s="92">
        <v>42029</v>
      </c>
      <c r="D276" s="46">
        <v>19</v>
      </c>
      <c r="E276" s="47">
        <v>23.9</v>
      </c>
      <c r="F276" t="s">
        <v>33</v>
      </c>
      <c r="J276" t="s">
        <v>720</v>
      </c>
      <c r="K276">
        <f>COUNTIF($A$1:A276,A276)</f>
        <v>1</v>
      </c>
      <c r="L276" t="str">
        <f>VLOOKUP(A276,'Cadastro de Produtos'!A:B,2,0)</f>
        <v>Bluetooth notebook Asus F9S</v>
      </c>
      <c r="M276">
        <f t="shared" si="16"/>
        <v>19</v>
      </c>
      <c r="N276">
        <f t="shared" si="17"/>
        <v>0</v>
      </c>
      <c r="O276">
        <f t="shared" si="18"/>
        <v>0</v>
      </c>
      <c r="P276">
        <f t="shared" si="19"/>
        <v>19</v>
      </c>
    </row>
    <row r="277" spans="1:16" x14ac:dyDescent="0.3">
      <c r="A277" t="s">
        <v>58</v>
      </c>
      <c r="B277" t="s">
        <v>12</v>
      </c>
      <c r="C277" s="92">
        <v>42029</v>
      </c>
      <c r="D277" s="46">
        <v>17</v>
      </c>
      <c r="E277" s="47">
        <v>23.9</v>
      </c>
      <c r="F277" t="s">
        <v>33</v>
      </c>
      <c r="J277" t="s">
        <v>720</v>
      </c>
      <c r="K277">
        <f>COUNTIF($A$1:A277,A277)</f>
        <v>1</v>
      </c>
      <c r="L277" t="str">
        <f>VLOOKUP(A277,'Cadastro de Produtos'!A:B,2,0)</f>
        <v>Cabo de dados sata</v>
      </c>
      <c r="M277">
        <f t="shared" si="16"/>
        <v>17</v>
      </c>
      <c r="N277">
        <f t="shared" si="17"/>
        <v>0</v>
      </c>
      <c r="O277">
        <f t="shared" si="18"/>
        <v>0</v>
      </c>
      <c r="P277">
        <f t="shared" si="19"/>
        <v>17</v>
      </c>
    </row>
    <row r="278" spans="1:16" x14ac:dyDescent="0.3">
      <c r="A278" t="s">
        <v>59</v>
      </c>
      <c r="B278" t="s">
        <v>12</v>
      </c>
      <c r="C278" s="92">
        <v>42029</v>
      </c>
      <c r="D278" s="46">
        <v>30</v>
      </c>
      <c r="E278" s="47">
        <v>23.9</v>
      </c>
      <c r="F278" t="s">
        <v>33</v>
      </c>
      <c r="J278" t="s">
        <v>720</v>
      </c>
      <c r="K278">
        <f>COUNTIF($A$1:A278,A278)</f>
        <v>1</v>
      </c>
      <c r="L278" t="str">
        <f>VLOOKUP(A278,'Cadastro de Produtos'!A:B,2,0)</f>
        <v>Cabo de força sata</v>
      </c>
      <c r="M278">
        <f t="shared" si="16"/>
        <v>30</v>
      </c>
      <c r="N278">
        <f t="shared" si="17"/>
        <v>0</v>
      </c>
      <c r="O278">
        <f t="shared" si="18"/>
        <v>0</v>
      </c>
      <c r="P278">
        <f t="shared" si="19"/>
        <v>30</v>
      </c>
    </row>
    <row r="279" spans="1:16" x14ac:dyDescent="0.3">
      <c r="A279" t="s">
        <v>70</v>
      </c>
      <c r="B279" t="s">
        <v>12</v>
      </c>
      <c r="C279" s="92">
        <v>42029</v>
      </c>
      <c r="D279" s="46">
        <v>5</v>
      </c>
      <c r="E279" s="47">
        <v>0.01</v>
      </c>
      <c r="F279" t="s">
        <v>33</v>
      </c>
      <c r="J279" t="s">
        <v>720</v>
      </c>
      <c r="K279">
        <f>COUNTIF($A$1:A279,A279)</f>
        <v>1</v>
      </c>
      <c r="L279" t="str">
        <f>VLOOKUP(A279,'Cadastro de Produtos'!A:B,2,0)</f>
        <v>Cabo de rede furukawa Par Trançado (o metro)</v>
      </c>
      <c r="M279">
        <f t="shared" si="16"/>
        <v>5</v>
      </c>
      <c r="N279">
        <f t="shared" si="17"/>
        <v>0</v>
      </c>
      <c r="O279">
        <f t="shared" si="18"/>
        <v>0</v>
      </c>
      <c r="P279">
        <f t="shared" si="19"/>
        <v>5</v>
      </c>
    </row>
    <row r="280" spans="1:16" x14ac:dyDescent="0.3">
      <c r="A280" t="s">
        <v>71</v>
      </c>
      <c r="B280" t="s">
        <v>12</v>
      </c>
      <c r="C280" s="92">
        <v>42029</v>
      </c>
      <c r="D280" s="46">
        <v>2</v>
      </c>
      <c r="E280" s="47">
        <v>0.01</v>
      </c>
      <c r="F280" t="s">
        <v>33</v>
      </c>
      <c r="J280" t="s">
        <v>720</v>
      </c>
      <c r="K280">
        <f>COUNTIF($A$1:A280,A280)</f>
        <v>1</v>
      </c>
      <c r="L280" t="str">
        <f>VLOOKUP(A280,'Cadastro de Produtos'!A:B,2,0)</f>
        <v>CABO HDMI X HDMI com FILTRO - 1,5MT</v>
      </c>
      <c r="M280">
        <f t="shared" si="16"/>
        <v>2</v>
      </c>
      <c r="N280">
        <f t="shared" si="17"/>
        <v>0</v>
      </c>
      <c r="O280">
        <f t="shared" si="18"/>
        <v>0</v>
      </c>
      <c r="P280">
        <f t="shared" si="19"/>
        <v>2</v>
      </c>
    </row>
    <row r="281" spans="1:16" x14ac:dyDescent="0.3">
      <c r="A281" t="s">
        <v>72</v>
      </c>
      <c r="B281" t="s">
        <v>12</v>
      </c>
      <c r="C281" s="92">
        <v>42029</v>
      </c>
      <c r="D281" s="46">
        <v>10</v>
      </c>
      <c r="E281" s="47">
        <v>15.9</v>
      </c>
      <c r="F281" t="s">
        <v>33</v>
      </c>
      <c r="J281" t="s">
        <v>720</v>
      </c>
      <c r="K281">
        <f>COUNTIF($A$1:A281,A281)</f>
        <v>1</v>
      </c>
      <c r="L281" t="str">
        <f>VLOOKUP(A281,'Cadastro de Produtos'!A:B,2,0)</f>
        <v>Cabo USB 2.0 para impressora 1,8</v>
      </c>
      <c r="M281">
        <f t="shared" si="16"/>
        <v>10</v>
      </c>
      <c r="N281">
        <f t="shared" si="17"/>
        <v>0</v>
      </c>
      <c r="O281">
        <f t="shared" si="18"/>
        <v>0</v>
      </c>
      <c r="P281">
        <f t="shared" si="19"/>
        <v>10</v>
      </c>
    </row>
    <row r="282" spans="1:16" x14ac:dyDescent="0.3">
      <c r="A282" t="s">
        <v>73</v>
      </c>
      <c r="B282" t="s">
        <v>12</v>
      </c>
      <c r="C282" s="92">
        <v>42029</v>
      </c>
      <c r="D282" s="46">
        <v>11</v>
      </c>
      <c r="E282" s="47">
        <v>15.9</v>
      </c>
      <c r="F282" t="s">
        <v>33</v>
      </c>
      <c r="J282" t="s">
        <v>720</v>
      </c>
      <c r="K282">
        <f>COUNTIF($A$1:A282,A282)</f>
        <v>1</v>
      </c>
      <c r="L282" t="str">
        <f>VLOOKUP(A282,'Cadastro de Produtos'!A:B,2,0)</f>
        <v>Caixa cabo de rede Furukawa 305 metros</v>
      </c>
      <c r="M282">
        <f t="shared" si="16"/>
        <v>11</v>
      </c>
      <c r="N282">
        <f t="shared" si="17"/>
        <v>0</v>
      </c>
      <c r="O282">
        <f t="shared" si="18"/>
        <v>0</v>
      </c>
      <c r="P282">
        <f t="shared" si="19"/>
        <v>11</v>
      </c>
    </row>
    <row r="283" spans="1:16" x14ac:dyDescent="0.3">
      <c r="A283" t="s">
        <v>64</v>
      </c>
      <c r="B283" t="s">
        <v>12</v>
      </c>
      <c r="C283" s="92">
        <v>42029</v>
      </c>
      <c r="D283" s="46">
        <v>6</v>
      </c>
      <c r="E283" s="47">
        <v>15.9</v>
      </c>
      <c r="F283" t="s">
        <v>33</v>
      </c>
      <c r="J283" t="s">
        <v>720</v>
      </c>
      <c r="K283">
        <f>COUNTIF($A$1:A283,A283)</f>
        <v>1</v>
      </c>
      <c r="L283" t="str">
        <f>VLOOKUP(A283,'Cadastro de Produtos'!A:B,2,0)</f>
        <v>Caixa de som MTEK SPK785USBP USB (Preto)</v>
      </c>
      <c r="M283">
        <f t="shared" si="16"/>
        <v>6</v>
      </c>
      <c r="N283">
        <f t="shared" si="17"/>
        <v>0</v>
      </c>
      <c r="O283">
        <f t="shared" si="18"/>
        <v>0</v>
      </c>
      <c r="P283">
        <f t="shared" si="19"/>
        <v>6</v>
      </c>
    </row>
    <row r="284" spans="1:16" x14ac:dyDescent="0.3">
      <c r="A284" t="s">
        <v>65</v>
      </c>
      <c r="B284" t="s">
        <v>12</v>
      </c>
      <c r="C284" s="92">
        <v>42029</v>
      </c>
      <c r="D284" s="46">
        <v>7</v>
      </c>
      <c r="E284" s="47">
        <v>15.9</v>
      </c>
      <c r="F284" t="s">
        <v>33</v>
      </c>
      <c r="J284" t="s">
        <v>720</v>
      </c>
      <c r="K284">
        <f>COUNTIF($A$1:A284,A284)</f>
        <v>1</v>
      </c>
      <c r="L284" t="str">
        <f>VLOOKUP(A284,'Cadastro de Produtos'!A:B,2,0)</f>
        <v>Carenagem Inferior Asus F9S</v>
      </c>
      <c r="M284">
        <f t="shared" si="16"/>
        <v>7</v>
      </c>
      <c r="N284">
        <f t="shared" si="17"/>
        <v>0</v>
      </c>
      <c r="O284">
        <f t="shared" si="18"/>
        <v>0</v>
      </c>
      <c r="P284">
        <f t="shared" si="19"/>
        <v>7</v>
      </c>
    </row>
    <row r="285" spans="1:16" x14ac:dyDescent="0.3">
      <c r="A285" t="s">
        <v>66</v>
      </c>
      <c r="B285" t="s">
        <v>12</v>
      </c>
      <c r="C285" s="92">
        <v>42029</v>
      </c>
      <c r="D285" s="46">
        <v>12</v>
      </c>
      <c r="E285" s="47">
        <v>15.9</v>
      </c>
      <c r="F285" t="s">
        <v>33</v>
      </c>
      <c r="J285" t="s">
        <v>720</v>
      </c>
      <c r="K285">
        <f>COUNTIF($A$1:A285,A285)</f>
        <v>1</v>
      </c>
      <c r="L285" t="str">
        <f>VLOOKUP(A285,'Cadastro de Produtos'!A:B,2,0)</f>
        <v>Carenagem touchpad ASus F9S</v>
      </c>
      <c r="M285">
        <f t="shared" si="16"/>
        <v>12</v>
      </c>
      <c r="N285">
        <f t="shared" si="17"/>
        <v>0</v>
      </c>
      <c r="O285">
        <f t="shared" si="18"/>
        <v>0</v>
      </c>
      <c r="P285">
        <f t="shared" si="19"/>
        <v>12</v>
      </c>
    </row>
    <row r="286" spans="1:16" x14ac:dyDescent="0.3">
      <c r="A286" t="s">
        <v>67</v>
      </c>
      <c r="B286" t="s">
        <v>12</v>
      </c>
      <c r="C286" s="92">
        <v>42029</v>
      </c>
      <c r="D286" s="46">
        <v>9</v>
      </c>
      <c r="E286" s="47">
        <v>15.9</v>
      </c>
      <c r="F286" t="s">
        <v>33</v>
      </c>
      <c r="J286" t="s">
        <v>720</v>
      </c>
      <c r="K286">
        <f>COUNTIF($A$1:A286,A286)</f>
        <v>1</v>
      </c>
      <c r="L286" t="str">
        <f>VLOOKUP(A286,'Cadastro de Produtos'!A:B,2,0)</f>
        <v>Chaveador KVM Trendnet Rack Mount 8 portas TK-801R</v>
      </c>
      <c r="M286">
        <f t="shared" si="16"/>
        <v>9</v>
      </c>
      <c r="N286">
        <f t="shared" si="17"/>
        <v>0</v>
      </c>
      <c r="O286">
        <f t="shared" si="18"/>
        <v>0</v>
      </c>
      <c r="P286">
        <f t="shared" si="19"/>
        <v>9</v>
      </c>
    </row>
    <row r="287" spans="1:16" x14ac:dyDescent="0.3">
      <c r="A287" t="s">
        <v>68</v>
      </c>
      <c r="B287" t="s">
        <v>12</v>
      </c>
      <c r="C287" s="92">
        <v>42029</v>
      </c>
      <c r="D287" s="46">
        <v>10</v>
      </c>
      <c r="E287" s="47">
        <v>15.9</v>
      </c>
      <c r="F287" t="s">
        <v>33</v>
      </c>
      <c r="J287" t="s">
        <v>720</v>
      </c>
      <c r="K287">
        <f>COUNTIF($A$1:A287,A287)</f>
        <v>1</v>
      </c>
      <c r="L287" t="str">
        <f>VLOOKUP(A287,'Cadastro de Produtos'!A:B,2,0)</f>
        <v>Computador Core 2 Duo E7500 2.93GHz, HD 500GB, 2GB 800, DVD-RW, 250W</v>
      </c>
      <c r="M287">
        <f t="shared" si="16"/>
        <v>10</v>
      </c>
      <c r="N287">
        <f t="shared" si="17"/>
        <v>0</v>
      </c>
      <c r="O287">
        <f t="shared" si="18"/>
        <v>0</v>
      </c>
      <c r="P287">
        <f t="shared" si="19"/>
        <v>10</v>
      </c>
    </row>
    <row r="288" spans="1:16" x14ac:dyDescent="0.3">
      <c r="A288" t="s">
        <v>69</v>
      </c>
      <c r="B288" t="s">
        <v>12</v>
      </c>
      <c r="C288" s="92">
        <v>42029</v>
      </c>
      <c r="D288" s="46">
        <v>19</v>
      </c>
      <c r="E288" s="47">
        <v>15.9</v>
      </c>
      <c r="F288" t="s">
        <v>33</v>
      </c>
      <c r="J288" t="s">
        <v>720</v>
      </c>
      <c r="K288">
        <f>COUNTIF($A$1:A288,A288)</f>
        <v>1</v>
      </c>
      <c r="L288" t="str">
        <f>VLOOKUP(A288,'Cadastro de Produtos'!A:B,2,0)</f>
        <v>Computador Core 2 Quad Q8400 2.66GHz, 320GB, 4GB 800, DVD-RW, LCD 19</v>
      </c>
      <c r="M288">
        <f t="shared" si="16"/>
        <v>19</v>
      </c>
      <c r="N288">
        <f t="shared" si="17"/>
        <v>0</v>
      </c>
      <c r="O288">
        <f t="shared" si="18"/>
        <v>0</v>
      </c>
      <c r="P288">
        <f t="shared" si="19"/>
        <v>19</v>
      </c>
    </row>
    <row r="289" spans="1:16" x14ac:dyDescent="0.3">
      <c r="A289" t="s">
        <v>45</v>
      </c>
      <c r="B289" t="s">
        <v>12</v>
      </c>
      <c r="C289" s="92">
        <v>42029</v>
      </c>
      <c r="D289" s="46">
        <v>4</v>
      </c>
      <c r="E289" s="47">
        <v>21.9</v>
      </c>
      <c r="F289" t="s">
        <v>33</v>
      </c>
      <c r="J289" t="s">
        <v>720</v>
      </c>
      <c r="K289">
        <f>COUNTIF($A$1:A289,A289)</f>
        <v>1</v>
      </c>
      <c r="L289" t="str">
        <f>VLOOKUP(A289,'Cadastro de Produtos'!A:B,2,0)</f>
        <v>Computador Core i3 530 2.93GHz, HD 500GB, 4GB 1333, DVD, 450W</v>
      </c>
      <c r="M289">
        <f t="shared" si="16"/>
        <v>4</v>
      </c>
      <c r="N289">
        <f t="shared" si="17"/>
        <v>0</v>
      </c>
      <c r="O289">
        <f t="shared" si="18"/>
        <v>0</v>
      </c>
      <c r="P289">
        <f t="shared" si="19"/>
        <v>4</v>
      </c>
    </row>
    <row r="290" spans="1:16" x14ac:dyDescent="0.3">
      <c r="A290" t="s">
        <v>46</v>
      </c>
      <c r="B290" t="s">
        <v>12</v>
      </c>
      <c r="C290" s="92">
        <v>42029</v>
      </c>
      <c r="D290" s="46">
        <v>30</v>
      </c>
      <c r="E290" s="47">
        <v>19.5</v>
      </c>
      <c r="F290" t="s">
        <v>33</v>
      </c>
      <c r="J290" t="s">
        <v>720</v>
      </c>
      <c r="K290">
        <f>COUNTIF($A$1:A290,A290)</f>
        <v>1</v>
      </c>
      <c r="L290" t="str">
        <f>VLOOKUP(A290,'Cadastro de Produtos'!A:B,2,0)</f>
        <v>Computador Core i5 650 3.20GHz, HD 500GB, 4GB Dual Channel, DVD, 250W</v>
      </c>
      <c r="M290">
        <f t="shared" si="16"/>
        <v>30</v>
      </c>
      <c r="N290">
        <f t="shared" si="17"/>
        <v>0</v>
      </c>
      <c r="O290">
        <f t="shared" si="18"/>
        <v>0</v>
      </c>
      <c r="P290">
        <f t="shared" si="19"/>
        <v>30</v>
      </c>
    </row>
    <row r="291" spans="1:16" x14ac:dyDescent="0.3">
      <c r="A291" t="s">
        <v>382</v>
      </c>
      <c r="B291" t="s">
        <v>12</v>
      </c>
      <c r="C291" s="92">
        <v>42029</v>
      </c>
      <c r="D291" s="46">
        <v>0</v>
      </c>
      <c r="E291" s="47">
        <v>160</v>
      </c>
      <c r="F291" t="s">
        <v>33</v>
      </c>
      <c r="J291" t="s">
        <v>720</v>
      </c>
      <c r="K291">
        <f>COUNTIF($A$1:A291,A291)</f>
        <v>1</v>
      </c>
      <c r="L291" t="str">
        <f>VLOOKUP(A291,'Cadastro de Produtos'!A:B,2,0)</f>
        <v>Computador Core i5 750 2.66GHz, HD 500GB, 4GB 1333, 1GB Video, DVD, 350W</v>
      </c>
      <c r="M291">
        <f t="shared" si="16"/>
        <v>0</v>
      </c>
      <c r="N291">
        <f t="shared" si="17"/>
        <v>0</v>
      </c>
      <c r="O291">
        <f t="shared" si="18"/>
        <v>0</v>
      </c>
      <c r="P291">
        <f t="shared" si="19"/>
        <v>0</v>
      </c>
    </row>
    <row r="292" spans="1:16" x14ac:dyDescent="0.3">
      <c r="A292" t="s">
        <v>47</v>
      </c>
      <c r="B292" t="s">
        <v>12</v>
      </c>
      <c r="C292" s="92">
        <v>42029</v>
      </c>
      <c r="D292" s="46">
        <v>15</v>
      </c>
      <c r="E292" s="47">
        <v>24.9</v>
      </c>
      <c r="F292" t="s">
        <v>33</v>
      </c>
      <c r="J292" t="s">
        <v>720</v>
      </c>
      <c r="K292">
        <f>COUNTIF($A$1:A292,A292)</f>
        <v>1</v>
      </c>
      <c r="L292" t="str">
        <f>VLOOKUP(A292,'Cadastro de Produtos'!A:B,2,0)</f>
        <v>Computador Core i7 930 2.88GHz, SSD, HD, 6GB Triple Channel, 1GB ATI 5830, DVD</v>
      </c>
      <c r="M292">
        <f t="shared" si="16"/>
        <v>15</v>
      </c>
      <c r="N292">
        <f t="shared" si="17"/>
        <v>0</v>
      </c>
      <c r="O292">
        <f t="shared" si="18"/>
        <v>0</v>
      </c>
      <c r="P292">
        <f t="shared" si="19"/>
        <v>15</v>
      </c>
    </row>
    <row r="293" spans="1:16" x14ac:dyDescent="0.3">
      <c r="A293" t="s">
        <v>48</v>
      </c>
      <c r="B293" t="s">
        <v>12</v>
      </c>
      <c r="C293" s="92">
        <v>42029</v>
      </c>
      <c r="D293" s="46">
        <v>15</v>
      </c>
      <c r="E293" s="47">
        <v>15</v>
      </c>
      <c r="F293" t="s">
        <v>33</v>
      </c>
      <c r="J293" t="s">
        <v>720</v>
      </c>
      <c r="K293">
        <f>COUNTIF($A$1:A293,A293)</f>
        <v>1</v>
      </c>
      <c r="L293" t="str">
        <f>VLOOKUP(A293,'Cadastro de Produtos'!A:B,2,0)</f>
        <v>Computador Mini Atom 330 DUAL CORE, HD 250GB, 2GB, DVD, LCD 15.6</v>
      </c>
      <c r="M293">
        <f t="shared" si="16"/>
        <v>15</v>
      </c>
      <c r="N293">
        <f t="shared" si="17"/>
        <v>0</v>
      </c>
      <c r="O293">
        <f t="shared" si="18"/>
        <v>0</v>
      </c>
      <c r="P293">
        <f t="shared" si="19"/>
        <v>15</v>
      </c>
    </row>
    <row r="294" spans="1:16" x14ac:dyDescent="0.3">
      <c r="A294" t="s">
        <v>49</v>
      </c>
      <c r="B294" t="s">
        <v>12</v>
      </c>
      <c r="C294" s="92">
        <v>42029</v>
      </c>
      <c r="D294" s="46">
        <v>2</v>
      </c>
      <c r="E294" s="47">
        <v>15.19</v>
      </c>
      <c r="F294" t="s">
        <v>33</v>
      </c>
      <c r="J294" t="s">
        <v>720</v>
      </c>
      <c r="K294">
        <f>COUNTIF($A$1:A294,A294)</f>
        <v>1</v>
      </c>
      <c r="L294" t="str">
        <f>VLOOKUP(A294,'Cadastro de Produtos'!A:B,2,0)</f>
        <v>Computador Pentium Dual Core E5400 2.7GHz, HD 500GB, 2GB 800, DVD, 450W</v>
      </c>
      <c r="M294">
        <f t="shared" si="16"/>
        <v>2</v>
      </c>
      <c r="N294">
        <f t="shared" si="17"/>
        <v>0</v>
      </c>
      <c r="O294">
        <f t="shared" si="18"/>
        <v>0</v>
      </c>
      <c r="P294">
        <f t="shared" si="19"/>
        <v>2</v>
      </c>
    </row>
    <row r="295" spans="1:16" x14ac:dyDescent="0.3">
      <c r="A295" t="s">
        <v>50</v>
      </c>
      <c r="B295" t="s">
        <v>12</v>
      </c>
      <c r="C295" s="92">
        <v>42029</v>
      </c>
      <c r="D295" s="46">
        <v>368</v>
      </c>
      <c r="E295" s="47">
        <v>1.6</v>
      </c>
      <c r="F295" t="s">
        <v>33</v>
      </c>
      <c r="J295" t="s">
        <v>720</v>
      </c>
      <c r="K295">
        <f>COUNTIF($A$1:A295,A295)</f>
        <v>1</v>
      </c>
      <c r="L295" t="str">
        <f>VLOOKUP(A295,'Cadastro de Produtos'!A:B,2,0)</f>
        <v>Conector RJ45 Furucawa</v>
      </c>
      <c r="M295">
        <f t="shared" si="16"/>
        <v>368</v>
      </c>
      <c r="N295">
        <f t="shared" si="17"/>
        <v>0</v>
      </c>
      <c r="O295">
        <f t="shared" si="18"/>
        <v>0</v>
      </c>
      <c r="P295">
        <f t="shared" si="19"/>
        <v>368</v>
      </c>
    </row>
    <row r="296" spans="1:16" x14ac:dyDescent="0.3">
      <c r="A296" t="s">
        <v>51</v>
      </c>
      <c r="B296" t="s">
        <v>12</v>
      </c>
      <c r="C296" s="92">
        <v>42029</v>
      </c>
      <c r="D296" s="46">
        <v>10</v>
      </c>
      <c r="E296" s="47">
        <v>23.9</v>
      </c>
      <c r="F296" t="s">
        <v>33</v>
      </c>
      <c r="J296" t="s">
        <v>720</v>
      </c>
      <c r="K296">
        <f>COUNTIF($A$1:A296,A296)</f>
        <v>1</v>
      </c>
      <c r="L296" t="str">
        <f>VLOOKUP(A296,'Cadastro de Produtos'!A:B,2,0)</f>
        <v>Conversor USB para Som Virtual 7.1</v>
      </c>
      <c r="M296">
        <f t="shared" si="16"/>
        <v>10</v>
      </c>
      <c r="N296">
        <f t="shared" si="17"/>
        <v>0</v>
      </c>
      <c r="O296">
        <f t="shared" si="18"/>
        <v>0</v>
      </c>
      <c r="P296">
        <f t="shared" si="19"/>
        <v>10</v>
      </c>
    </row>
    <row r="297" spans="1:16" x14ac:dyDescent="0.3">
      <c r="A297" t="s">
        <v>52</v>
      </c>
      <c r="B297" t="s">
        <v>12</v>
      </c>
      <c r="C297" s="92">
        <v>42029</v>
      </c>
      <c r="D297" s="46">
        <v>35</v>
      </c>
      <c r="E297" s="47">
        <v>2.6</v>
      </c>
      <c r="F297" t="s">
        <v>33</v>
      </c>
      <c r="J297" t="s">
        <v>720</v>
      </c>
      <c r="K297">
        <f>COUNTIF($A$1:A297,A297)</f>
        <v>1</v>
      </c>
      <c r="L297" t="str">
        <f>VLOOKUP(A297,'Cadastro de Produtos'!A:B,2,0)</f>
        <v>Cooler notebook Asus F9S</v>
      </c>
      <c r="M297">
        <f t="shared" si="16"/>
        <v>35</v>
      </c>
      <c r="N297">
        <f t="shared" si="17"/>
        <v>0</v>
      </c>
      <c r="O297">
        <f t="shared" si="18"/>
        <v>0</v>
      </c>
      <c r="P297">
        <f t="shared" si="19"/>
        <v>35</v>
      </c>
    </row>
    <row r="298" spans="1:16" x14ac:dyDescent="0.3">
      <c r="A298" t="s">
        <v>76</v>
      </c>
      <c r="B298" t="s">
        <v>12</v>
      </c>
      <c r="C298" s="92">
        <v>42029</v>
      </c>
      <c r="D298" s="46">
        <v>1</v>
      </c>
      <c r="E298" s="47">
        <v>64.900000000000006</v>
      </c>
      <c r="F298" t="s">
        <v>33</v>
      </c>
      <c r="J298" t="s">
        <v>720</v>
      </c>
      <c r="K298">
        <f>COUNTIF($A$1:A298,A298)</f>
        <v>1</v>
      </c>
      <c r="L298" t="str">
        <f>VLOOKUP(A298,'Cadastro de Produtos'!A:B,2,0)</f>
        <v>Filtro de Linha Multilaser Bivolt 6 Tomadas (Preto)</v>
      </c>
      <c r="M298">
        <f t="shared" si="16"/>
        <v>1</v>
      </c>
      <c r="N298">
        <f t="shared" si="17"/>
        <v>0</v>
      </c>
      <c r="O298">
        <f t="shared" si="18"/>
        <v>0</v>
      </c>
      <c r="P298">
        <f t="shared" si="19"/>
        <v>1</v>
      </c>
    </row>
    <row r="299" spans="1:16" x14ac:dyDescent="0.3">
      <c r="A299" t="s">
        <v>53</v>
      </c>
      <c r="B299" t="s">
        <v>12</v>
      </c>
      <c r="C299" s="92">
        <v>42029</v>
      </c>
      <c r="D299" s="46">
        <v>80</v>
      </c>
      <c r="E299" s="47">
        <v>0.8</v>
      </c>
      <c r="F299" t="s">
        <v>33</v>
      </c>
      <c r="J299" t="s">
        <v>720</v>
      </c>
      <c r="K299">
        <f>COUNTIF($A$1:A299,A299)</f>
        <v>1</v>
      </c>
      <c r="L299" t="str">
        <f>VLOOKUP(A299,'Cadastro de Produtos'!A:B,2,0)</f>
        <v>Cooler para INTEL Cooler Master Socket 775</v>
      </c>
      <c r="M299">
        <f t="shared" si="16"/>
        <v>80</v>
      </c>
      <c r="N299">
        <f t="shared" si="17"/>
        <v>0</v>
      </c>
      <c r="O299">
        <f t="shared" si="18"/>
        <v>0</v>
      </c>
      <c r="P299">
        <f t="shared" si="19"/>
        <v>80</v>
      </c>
    </row>
    <row r="300" spans="1:16" x14ac:dyDescent="0.3">
      <c r="A300" t="s">
        <v>55</v>
      </c>
      <c r="B300" t="s">
        <v>12</v>
      </c>
      <c r="C300" s="92">
        <v>42029</v>
      </c>
      <c r="D300" s="46">
        <v>220</v>
      </c>
      <c r="E300" s="47">
        <v>1.8</v>
      </c>
      <c r="F300" t="s">
        <v>33</v>
      </c>
      <c r="J300" t="s">
        <v>720</v>
      </c>
      <c r="K300">
        <f>COUNTIF($A$1:A300,A300)</f>
        <v>1</v>
      </c>
      <c r="L300" t="str">
        <f>VLOOKUP(A300,'Cadastro de Produtos'!A:B,2,0)</f>
        <v>Estabilizador BIVOLT 115V/220V - 300VA - preto</v>
      </c>
      <c r="M300">
        <f t="shared" si="16"/>
        <v>220</v>
      </c>
      <c r="N300">
        <f t="shared" si="17"/>
        <v>0</v>
      </c>
      <c r="O300">
        <f t="shared" si="18"/>
        <v>0</v>
      </c>
      <c r="P300">
        <f t="shared" si="19"/>
        <v>220</v>
      </c>
    </row>
    <row r="301" spans="1:16" x14ac:dyDescent="0.3">
      <c r="A301" t="s">
        <v>55</v>
      </c>
      <c r="B301" t="s">
        <v>17</v>
      </c>
      <c r="C301" s="92">
        <v>42029</v>
      </c>
      <c r="D301" s="46">
        <v>50</v>
      </c>
      <c r="E301" s="47">
        <v>0</v>
      </c>
      <c r="F301" t="s">
        <v>56</v>
      </c>
      <c r="J301" t="s">
        <v>720</v>
      </c>
      <c r="K301">
        <f>COUNTIF($A$1:A301,A301)</f>
        <v>2</v>
      </c>
      <c r="L301" t="str">
        <f>VLOOKUP(A301,'Cadastro de Produtos'!A:B,2,0)</f>
        <v>Estabilizador BIVOLT 115V/220V - 300VA - preto</v>
      </c>
      <c r="M301">
        <f t="shared" si="16"/>
        <v>0</v>
      </c>
      <c r="N301">
        <f t="shared" si="17"/>
        <v>50</v>
      </c>
      <c r="O301">
        <f t="shared" si="18"/>
        <v>-50</v>
      </c>
      <c r="P301">
        <f t="shared" si="19"/>
        <v>-50</v>
      </c>
    </row>
    <row r="302" spans="1:16" x14ac:dyDescent="0.3">
      <c r="A302" t="s">
        <v>62</v>
      </c>
      <c r="B302" t="s">
        <v>12</v>
      </c>
      <c r="C302" s="92">
        <v>42029</v>
      </c>
      <c r="D302" s="46">
        <v>50</v>
      </c>
      <c r="E302" s="47">
        <v>1.8</v>
      </c>
      <c r="F302" t="s">
        <v>33</v>
      </c>
      <c r="J302" t="s">
        <v>720</v>
      </c>
      <c r="K302">
        <f>COUNTIF($A$1:A302,A302)</f>
        <v>3</v>
      </c>
      <c r="L302" t="str">
        <f>VLOOKUP(A302,'Cadastro de Produtos'!A:B,2,0)</f>
        <v>Estabilizador BIVOLT 115V/220V - 300VA - preto</v>
      </c>
      <c r="M302">
        <f t="shared" si="16"/>
        <v>50</v>
      </c>
      <c r="N302">
        <f t="shared" si="17"/>
        <v>0</v>
      </c>
      <c r="O302">
        <f t="shared" si="18"/>
        <v>0</v>
      </c>
      <c r="P302">
        <f t="shared" si="19"/>
        <v>50</v>
      </c>
    </row>
    <row r="303" spans="1:16" x14ac:dyDescent="0.3">
      <c r="A303" t="s">
        <v>54</v>
      </c>
      <c r="B303" t="s">
        <v>12</v>
      </c>
      <c r="C303" s="92">
        <v>42029</v>
      </c>
      <c r="D303" s="46">
        <v>3</v>
      </c>
      <c r="E303" s="47">
        <v>17.5</v>
      </c>
      <c r="F303" t="s">
        <v>33</v>
      </c>
      <c r="J303" t="s">
        <v>720</v>
      </c>
      <c r="K303">
        <f>COUNTIF($A$1:A303,A303)</f>
        <v>1</v>
      </c>
      <c r="L303" t="str">
        <f>VLOOKUP(A303,'Cadastro de Produtos'!A:B,2,0)</f>
        <v>Estabilizador MONOVOLT 115V - 300VA - preto</v>
      </c>
      <c r="M303">
        <f t="shared" si="16"/>
        <v>3</v>
      </c>
      <c r="N303">
        <f t="shared" si="17"/>
        <v>0</v>
      </c>
      <c r="O303">
        <f t="shared" si="18"/>
        <v>0</v>
      </c>
      <c r="P303">
        <f t="shared" si="19"/>
        <v>3</v>
      </c>
    </row>
    <row r="304" spans="1:16" x14ac:dyDescent="0.3">
      <c r="A304" t="s">
        <v>54</v>
      </c>
      <c r="B304" t="s">
        <v>17</v>
      </c>
      <c r="C304" s="92">
        <v>42029</v>
      </c>
      <c r="D304" s="46">
        <v>10</v>
      </c>
      <c r="E304" s="47">
        <v>0</v>
      </c>
      <c r="F304" t="s">
        <v>56</v>
      </c>
      <c r="J304" t="s">
        <v>720</v>
      </c>
      <c r="K304">
        <f>COUNTIF($A$1:A304,A304)</f>
        <v>2</v>
      </c>
      <c r="L304" t="str">
        <f>VLOOKUP(A304,'Cadastro de Produtos'!A:B,2,0)</f>
        <v>Estabilizador MONOVOLT 115V - 300VA - preto</v>
      </c>
      <c r="M304">
        <f t="shared" si="16"/>
        <v>0</v>
      </c>
      <c r="N304">
        <f t="shared" si="17"/>
        <v>10</v>
      </c>
      <c r="O304">
        <f t="shared" si="18"/>
        <v>-10</v>
      </c>
      <c r="P304">
        <f t="shared" si="19"/>
        <v>-10</v>
      </c>
    </row>
    <row r="305" spans="1:16" x14ac:dyDescent="0.3">
      <c r="A305" t="s">
        <v>63</v>
      </c>
      <c r="B305" t="s">
        <v>12</v>
      </c>
      <c r="C305" s="92">
        <v>42029</v>
      </c>
      <c r="D305" s="46">
        <v>10</v>
      </c>
      <c r="E305" s="47">
        <v>17.5</v>
      </c>
      <c r="F305" t="s">
        <v>33</v>
      </c>
      <c r="J305" t="s">
        <v>720</v>
      </c>
      <c r="K305">
        <f>COUNTIF($A$1:A305,A305)</f>
        <v>3</v>
      </c>
      <c r="L305" t="str">
        <f>VLOOKUP(A305,'Cadastro de Produtos'!A:B,2,0)</f>
        <v>Estabilizador MONOVOLT 115V - 300VA - preto</v>
      </c>
      <c r="M305">
        <f t="shared" si="16"/>
        <v>10</v>
      </c>
      <c r="N305">
        <f t="shared" si="17"/>
        <v>0</v>
      </c>
      <c r="O305">
        <f t="shared" si="18"/>
        <v>0</v>
      </c>
      <c r="P305">
        <f t="shared" si="19"/>
        <v>10</v>
      </c>
    </row>
    <row r="306" spans="1:16" x14ac:dyDescent="0.3">
      <c r="A306" t="s">
        <v>75</v>
      </c>
      <c r="B306" t="s">
        <v>12</v>
      </c>
      <c r="C306" s="92">
        <v>42029</v>
      </c>
      <c r="D306" s="46">
        <v>1</v>
      </c>
      <c r="E306" s="47">
        <v>8.6999999999999993</v>
      </c>
      <c r="F306" t="s">
        <v>33</v>
      </c>
      <c r="J306" t="s">
        <v>720</v>
      </c>
      <c r="K306">
        <f>COUNTIF($A$1:A306,A306)</f>
        <v>1</v>
      </c>
      <c r="L306" t="str">
        <f>VLOOKUP(A306,'Cadastro de Produtos'!A:B,2,0)</f>
        <v>Fax Modem 56K PCI</v>
      </c>
      <c r="M306">
        <f t="shared" si="16"/>
        <v>1</v>
      </c>
      <c r="N306">
        <f t="shared" si="17"/>
        <v>0</v>
      </c>
      <c r="O306">
        <f t="shared" si="18"/>
        <v>0</v>
      </c>
      <c r="P306">
        <f t="shared" si="19"/>
        <v>1</v>
      </c>
    </row>
    <row r="307" spans="1:16" x14ac:dyDescent="0.3">
      <c r="A307" t="s">
        <v>74</v>
      </c>
      <c r="B307" t="s">
        <v>12</v>
      </c>
      <c r="C307" s="92">
        <v>42029</v>
      </c>
      <c r="D307" s="46">
        <v>4</v>
      </c>
      <c r="E307" s="47">
        <v>52</v>
      </c>
      <c r="F307" t="s">
        <v>33</v>
      </c>
      <c r="J307" t="s">
        <v>720</v>
      </c>
      <c r="K307">
        <f>COUNTIF($A$1:A307,A307)</f>
        <v>1</v>
      </c>
      <c r="L307" t="str">
        <f>VLOOKUP(A307,'Cadastro de Produtos'!A:B,2,0)</f>
        <v>Fan para gabinete</v>
      </c>
      <c r="M307">
        <f t="shared" si="16"/>
        <v>4</v>
      </c>
      <c r="N307">
        <f t="shared" si="17"/>
        <v>0</v>
      </c>
      <c r="O307">
        <f t="shared" si="18"/>
        <v>0</v>
      </c>
      <c r="P307">
        <f t="shared" si="19"/>
        <v>4</v>
      </c>
    </row>
    <row r="308" spans="1:16" x14ac:dyDescent="0.3">
      <c r="A308" t="s">
        <v>77</v>
      </c>
      <c r="B308" t="s">
        <v>12</v>
      </c>
      <c r="C308" s="92">
        <v>42029</v>
      </c>
      <c r="D308" s="46">
        <v>10</v>
      </c>
      <c r="E308" s="47">
        <v>1.58</v>
      </c>
      <c r="F308" t="s">
        <v>33</v>
      </c>
      <c r="J308" t="s">
        <v>720</v>
      </c>
      <c r="K308">
        <f>COUNTIF($A$1:A308,A308)</f>
        <v>1</v>
      </c>
      <c r="L308" t="str">
        <f>VLOOKUP(A308,'Cadastro de Produtos'!A:B,2,0)</f>
        <v>Fingerprint F2J notebook Asus F9S</v>
      </c>
      <c r="M308">
        <f t="shared" si="16"/>
        <v>10</v>
      </c>
      <c r="N308">
        <f t="shared" si="17"/>
        <v>0</v>
      </c>
      <c r="O308">
        <f t="shared" si="18"/>
        <v>0</v>
      </c>
      <c r="P308">
        <f t="shared" si="19"/>
        <v>10</v>
      </c>
    </row>
    <row r="309" spans="1:16" x14ac:dyDescent="0.3">
      <c r="A309" t="s">
        <v>80</v>
      </c>
      <c r="B309" t="s">
        <v>12</v>
      </c>
      <c r="C309" s="92">
        <v>42029</v>
      </c>
      <c r="D309" s="46">
        <v>10</v>
      </c>
      <c r="E309" s="47">
        <v>15.9</v>
      </c>
      <c r="F309" t="s">
        <v>33</v>
      </c>
      <c r="J309" t="s">
        <v>720</v>
      </c>
      <c r="K309">
        <f>COUNTIF($A$1:A309,A309)</f>
        <v>1</v>
      </c>
      <c r="L309" t="str">
        <f>VLOOKUP(A309,'Cadastro de Produtos'!A:B,2,0)</f>
        <v>Fone de ouvido Edifier Cyber-Pro CD-6632 Com microfone</v>
      </c>
      <c r="M309">
        <f t="shared" si="16"/>
        <v>10</v>
      </c>
      <c r="N309">
        <f t="shared" si="17"/>
        <v>0</v>
      </c>
      <c r="O309">
        <f t="shared" si="18"/>
        <v>0</v>
      </c>
      <c r="P309">
        <f t="shared" si="19"/>
        <v>10</v>
      </c>
    </row>
    <row r="310" spans="1:16" x14ac:dyDescent="0.3">
      <c r="A310" t="s">
        <v>81</v>
      </c>
      <c r="B310" t="s">
        <v>12</v>
      </c>
      <c r="C310" s="92">
        <v>42029</v>
      </c>
      <c r="D310" s="46">
        <v>9</v>
      </c>
      <c r="E310" s="47">
        <v>15.9</v>
      </c>
      <c r="F310" t="s">
        <v>33</v>
      </c>
      <c r="J310" t="s">
        <v>720</v>
      </c>
      <c r="K310">
        <f>COUNTIF($A$1:A310,A310)</f>
        <v>1</v>
      </c>
      <c r="L310" t="str">
        <f>VLOOKUP(A310,'Cadastro de Produtos'!A:B,2,0)</f>
        <v>Fonte AC para notebook U7809</v>
      </c>
      <c r="M310">
        <f t="shared" si="16"/>
        <v>9</v>
      </c>
      <c r="N310">
        <f t="shared" si="17"/>
        <v>0</v>
      </c>
      <c r="O310">
        <f t="shared" si="18"/>
        <v>0</v>
      </c>
      <c r="P310">
        <f t="shared" si="19"/>
        <v>9</v>
      </c>
    </row>
    <row r="311" spans="1:16" x14ac:dyDescent="0.3">
      <c r="A311" t="s">
        <v>82</v>
      </c>
      <c r="B311" t="s">
        <v>12</v>
      </c>
      <c r="C311" s="92">
        <v>42029</v>
      </c>
      <c r="D311" s="46">
        <v>10</v>
      </c>
      <c r="E311" s="47">
        <v>2</v>
      </c>
      <c r="F311" t="s">
        <v>33</v>
      </c>
      <c r="J311" t="s">
        <v>720</v>
      </c>
      <c r="K311">
        <f>COUNTIF($A$1:A311,A311)</f>
        <v>1</v>
      </c>
      <c r="L311" t="str">
        <f>VLOOKUP(A311,'Cadastro de Produtos'!A:B,2,0)</f>
        <v>Fonte C3 Tech v2.2 350W REAL (700W Nominal)</v>
      </c>
      <c r="M311">
        <f t="shared" si="16"/>
        <v>10</v>
      </c>
      <c r="N311">
        <f t="shared" si="17"/>
        <v>0</v>
      </c>
      <c r="O311">
        <f t="shared" si="18"/>
        <v>0</v>
      </c>
      <c r="P311">
        <f t="shared" si="19"/>
        <v>10</v>
      </c>
    </row>
    <row r="312" spans="1:16" x14ac:dyDescent="0.3">
      <c r="A312" t="s">
        <v>160</v>
      </c>
      <c r="B312" t="s">
        <v>12</v>
      </c>
      <c r="C312" s="92">
        <v>42029</v>
      </c>
      <c r="D312" s="46">
        <v>0</v>
      </c>
      <c r="E312" s="47">
        <v>99.9</v>
      </c>
      <c r="F312" t="s">
        <v>33</v>
      </c>
      <c r="J312" t="s">
        <v>720</v>
      </c>
      <c r="K312">
        <f>COUNTIF($A$1:A312,A312)</f>
        <v>1</v>
      </c>
      <c r="L312" t="str">
        <f>VLOOKUP(A312,'Cadastro de Produtos'!A:B,2,0)</f>
        <v>HD SATA II 1TB Maxtor/W.Digital 7.200rpm</v>
      </c>
      <c r="M312">
        <f t="shared" si="16"/>
        <v>0</v>
      </c>
      <c r="N312">
        <f t="shared" si="17"/>
        <v>0</v>
      </c>
      <c r="O312">
        <f t="shared" si="18"/>
        <v>0</v>
      </c>
      <c r="P312">
        <f t="shared" si="19"/>
        <v>0</v>
      </c>
    </row>
    <row r="313" spans="1:16" x14ac:dyDescent="0.3">
      <c r="A313" t="s">
        <v>161</v>
      </c>
      <c r="B313" t="s">
        <v>12</v>
      </c>
      <c r="C313" s="92">
        <v>42029</v>
      </c>
      <c r="D313" s="46">
        <v>3</v>
      </c>
      <c r="E313" s="47">
        <v>138.91</v>
      </c>
      <c r="F313" t="s">
        <v>33</v>
      </c>
      <c r="J313" t="s">
        <v>720</v>
      </c>
      <c r="K313">
        <f>COUNTIF($A$1:A313,A313)</f>
        <v>1</v>
      </c>
      <c r="L313" t="str">
        <f>VLOOKUP(A313,'Cadastro de Produtos'!A:B,2,0)</f>
        <v>HD SATA II 1TB Seagate 7.200RPM</v>
      </c>
      <c r="M313">
        <f t="shared" si="16"/>
        <v>3</v>
      </c>
      <c r="N313">
        <f t="shared" si="17"/>
        <v>0</v>
      </c>
      <c r="O313">
        <f t="shared" si="18"/>
        <v>0</v>
      </c>
      <c r="P313">
        <f t="shared" si="19"/>
        <v>3</v>
      </c>
    </row>
    <row r="314" spans="1:16" x14ac:dyDescent="0.3">
      <c r="A314" t="s">
        <v>162</v>
      </c>
      <c r="B314" t="s">
        <v>12</v>
      </c>
      <c r="C314" s="92">
        <v>42029</v>
      </c>
      <c r="D314" s="46">
        <v>3</v>
      </c>
      <c r="E314" s="47">
        <v>18.34</v>
      </c>
      <c r="F314" t="s">
        <v>33</v>
      </c>
      <c r="J314" t="s">
        <v>720</v>
      </c>
      <c r="K314">
        <f>COUNTIF($A$1:A314,A314)</f>
        <v>1</v>
      </c>
      <c r="L314" t="str">
        <f>VLOOKUP(A314,'Cadastro de Produtos'!A:B,2,0)</f>
        <v>HD SATA II 250GB Maxtor/W.Digital/Samsung 7.200RPM</v>
      </c>
      <c r="M314">
        <f t="shared" si="16"/>
        <v>3</v>
      </c>
      <c r="N314">
        <f t="shared" si="17"/>
        <v>0</v>
      </c>
      <c r="O314">
        <f t="shared" si="18"/>
        <v>0</v>
      </c>
      <c r="P314">
        <f t="shared" si="19"/>
        <v>3</v>
      </c>
    </row>
    <row r="315" spans="1:16" x14ac:dyDescent="0.3">
      <c r="A315" t="s">
        <v>163</v>
      </c>
      <c r="B315" t="s">
        <v>12</v>
      </c>
      <c r="C315" s="92">
        <v>42029</v>
      </c>
      <c r="D315" s="46">
        <v>1</v>
      </c>
      <c r="E315" s="47">
        <v>57</v>
      </c>
      <c r="F315" t="s">
        <v>33</v>
      </c>
      <c r="J315" t="s">
        <v>720</v>
      </c>
      <c r="K315">
        <f>COUNTIF($A$1:A315,A315)</f>
        <v>1</v>
      </c>
      <c r="L315" t="str">
        <f>VLOOKUP(A315,'Cadastro de Produtos'!A:B,2,0)</f>
        <v>HD SATA II 250GB Seagate 7.200RPM</v>
      </c>
      <c r="M315">
        <f t="shared" si="16"/>
        <v>1</v>
      </c>
      <c r="N315">
        <f t="shared" si="17"/>
        <v>0</v>
      </c>
      <c r="O315">
        <f t="shared" si="18"/>
        <v>0</v>
      </c>
      <c r="P315">
        <f t="shared" si="19"/>
        <v>1</v>
      </c>
    </row>
    <row r="316" spans="1:16" x14ac:dyDescent="0.3">
      <c r="A316" t="s">
        <v>164</v>
      </c>
      <c r="B316" t="s">
        <v>12</v>
      </c>
      <c r="C316" s="92">
        <v>42029</v>
      </c>
      <c r="D316" s="46">
        <v>1</v>
      </c>
      <c r="E316" s="47">
        <v>39.9</v>
      </c>
      <c r="F316" t="s">
        <v>33</v>
      </c>
      <c r="J316" t="s">
        <v>720</v>
      </c>
      <c r="K316">
        <f>COUNTIF($A$1:A316,A316)</f>
        <v>1</v>
      </c>
      <c r="L316" t="str">
        <f>VLOOKUP(A316,'Cadastro de Produtos'!A:B,2,0)</f>
        <v>HD SATA II 2TB W. Digital 32MB 7200RPM</v>
      </c>
      <c r="M316">
        <f t="shared" si="16"/>
        <v>1</v>
      </c>
      <c r="N316">
        <f t="shared" si="17"/>
        <v>0</v>
      </c>
      <c r="O316">
        <f t="shared" si="18"/>
        <v>0</v>
      </c>
      <c r="P316">
        <f t="shared" si="19"/>
        <v>1</v>
      </c>
    </row>
    <row r="317" spans="1:16" x14ac:dyDescent="0.3">
      <c r="A317" t="s">
        <v>167</v>
      </c>
      <c r="B317" t="s">
        <v>12</v>
      </c>
      <c r="C317" s="92">
        <v>42029</v>
      </c>
      <c r="D317" s="46">
        <v>0</v>
      </c>
      <c r="E317" s="47">
        <v>109.9</v>
      </c>
      <c r="F317" t="s">
        <v>33</v>
      </c>
      <c r="J317" t="s">
        <v>720</v>
      </c>
      <c r="K317">
        <f>COUNTIF($A$1:A317,A317)</f>
        <v>1</v>
      </c>
      <c r="L317" t="str">
        <f>VLOOKUP(A317,'Cadastro de Produtos'!A:B,2,0)</f>
        <v>HD SATA II 500GB Maxtor/W.Digital/Samsung 7.200RPM</v>
      </c>
      <c r="M317">
        <f t="shared" si="16"/>
        <v>0</v>
      </c>
      <c r="N317">
        <f t="shared" si="17"/>
        <v>0</v>
      </c>
      <c r="O317">
        <f t="shared" si="18"/>
        <v>0</v>
      </c>
      <c r="P317">
        <f t="shared" si="19"/>
        <v>0</v>
      </c>
    </row>
    <row r="318" spans="1:16" x14ac:dyDescent="0.3">
      <c r="A318" t="s">
        <v>168</v>
      </c>
      <c r="B318" t="s">
        <v>12</v>
      </c>
      <c r="C318" s="92">
        <v>42029</v>
      </c>
      <c r="D318" s="46">
        <v>3</v>
      </c>
      <c r="E318" s="47">
        <v>0.01</v>
      </c>
      <c r="F318" t="s">
        <v>33</v>
      </c>
      <c r="J318" t="s">
        <v>720</v>
      </c>
      <c r="K318">
        <f>COUNTIF($A$1:A318,A318)</f>
        <v>1</v>
      </c>
      <c r="L318" t="str">
        <f>VLOOKUP(A318,'Cadastro de Produtos'!A:B,2,0)</f>
        <v>HD SATA II 500GB Seagate 16MB 7.200RPM</v>
      </c>
      <c r="M318">
        <f t="shared" si="16"/>
        <v>3</v>
      </c>
      <c r="N318">
        <f t="shared" si="17"/>
        <v>0</v>
      </c>
      <c r="O318">
        <f t="shared" si="18"/>
        <v>0</v>
      </c>
      <c r="P318">
        <f t="shared" si="19"/>
        <v>3</v>
      </c>
    </row>
    <row r="319" spans="1:16" x14ac:dyDescent="0.3">
      <c r="A319" t="s">
        <v>171</v>
      </c>
      <c r="B319" t="s">
        <v>12</v>
      </c>
      <c r="C319" s="92">
        <v>42029</v>
      </c>
      <c r="D319" s="46">
        <v>0</v>
      </c>
      <c r="E319" s="47">
        <v>126.26</v>
      </c>
      <c r="F319" t="s">
        <v>33</v>
      </c>
      <c r="J319" t="s">
        <v>720</v>
      </c>
      <c r="K319">
        <f>COUNTIF($A$1:A319,A319)</f>
        <v>1</v>
      </c>
      <c r="L319" t="str">
        <f>VLOOKUP(A319,'Cadastro de Produtos'!A:B,2,0)</f>
        <v>HD SATA NOTEBOOK 320GB WD 5.400RPM</v>
      </c>
      <c r="M319">
        <f t="shared" si="16"/>
        <v>0</v>
      </c>
      <c r="N319">
        <f t="shared" si="17"/>
        <v>0</v>
      </c>
      <c r="O319">
        <f t="shared" si="18"/>
        <v>0</v>
      </c>
      <c r="P319">
        <f t="shared" si="19"/>
        <v>0</v>
      </c>
    </row>
    <row r="320" spans="1:16" x14ac:dyDescent="0.3">
      <c r="A320" t="s">
        <v>173</v>
      </c>
      <c r="B320" t="s">
        <v>12</v>
      </c>
      <c r="C320" s="92">
        <v>42029</v>
      </c>
      <c r="D320" s="46">
        <v>0</v>
      </c>
      <c r="E320" s="47">
        <v>219.9</v>
      </c>
      <c r="F320" t="s">
        <v>33</v>
      </c>
      <c r="J320" t="s">
        <v>720</v>
      </c>
      <c r="K320">
        <f>COUNTIF($A$1:A320,A320)</f>
        <v>1</v>
      </c>
      <c r="L320" t="str">
        <f>VLOOKUP(A320,'Cadastro de Produtos'!A:B,2,0)</f>
        <v>Headset C3 Tech 662863 Multimidia Stereo</v>
      </c>
      <c r="M320">
        <f t="shared" si="16"/>
        <v>0</v>
      </c>
      <c r="N320">
        <f t="shared" si="17"/>
        <v>0</v>
      </c>
      <c r="O320">
        <f t="shared" si="18"/>
        <v>0</v>
      </c>
      <c r="P320">
        <f t="shared" si="19"/>
        <v>0</v>
      </c>
    </row>
    <row r="321" spans="1:16" x14ac:dyDescent="0.3">
      <c r="A321" t="s">
        <v>172</v>
      </c>
      <c r="B321" t="s">
        <v>12</v>
      </c>
      <c r="C321" s="92">
        <v>42029</v>
      </c>
      <c r="D321" s="46">
        <v>0</v>
      </c>
      <c r="E321" s="47">
        <v>562</v>
      </c>
      <c r="F321" t="s">
        <v>33</v>
      </c>
      <c r="J321" t="s">
        <v>720</v>
      </c>
      <c r="K321">
        <f>COUNTIF($A$1:A321,A321)</f>
        <v>1</v>
      </c>
      <c r="L321" t="str">
        <f>VLOOKUP(A321,'Cadastro de Produtos'!A:B,2,0)</f>
        <v>HD SSD 160Gb Intel SSDSA2MH160G2C1902384</v>
      </c>
      <c r="M321">
        <f t="shared" si="16"/>
        <v>0</v>
      </c>
      <c r="N321">
        <f t="shared" si="17"/>
        <v>0</v>
      </c>
      <c r="O321">
        <f t="shared" si="18"/>
        <v>0</v>
      </c>
      <c r="P321">
        <f t="shared" si="19"/>
        <v>0</v>
      </c>
    </row>
    <row r="322" spans="1:16" x14ac:dyDescent="0.3">
      <c r="A322" t="s">
        <v>175</v>
      </c>
      <c r="B322" t="s">
        <v>12</v>
      </c>
      <c r="C322" s="92">
        <v>42029</v>
      </c>
      <c r="D322" s="46">
        <v>2</v>
      </c>
      <c r="E322" s="47">
        <v>125.8</v>
      </c>
      <c r="F322" t="s">
        <v>33</v>
      </c>
      <c r="J322" t="s">
        <v>720</v>
      </c>
      <c r="K322">
        <f>COUNTIF($A$1:A322,A322)</f>
        <v>1</v>
      </c>
      <c r="L322" t="str">
        <f>VLOOKUP(A322,'Cadastro de Produtos'!A:B,2,0)</f>
        <v>HUB USB 2.0 - 7 portas</v>
      </c>
      <c r="M322">
        <f t="shared" ref="M322:M385" si="20">SUMIF(B322,"E",D322:D322)</f>
        <v>2</v>
      </c>
      <c r="N322">
        <f t="shared" ref="N322:N385" si="21">SUMIF(B322,"S",D322:D322)</f>
        <v>0</v>
      </c>
      <c r="O322">
        <f t="shared" ref="O322:O385" si="22">N322*-1</f>
        <v>0</v>
      </c>
      <c r="P322">
        <f t="shared" ref="P322:P385" si="23">SUM(M322+O322)</f>
        <v>2</v>
      </c>
    </row>
    <row r="323" spans="1:16" x14ac:dyDescent="0.3">
      <c r="A323" t="s">
        <v>176</v>
      </c>
      <c r="B323" t="s">
        <v>12</v>
      </c>
      <c r="C323" s="92">
        <v>42029</v>
      </c>
      <c r="D323" s="46">
        <v>1</v>
      </c>
      <c r="E323" s="47">
        <v>1095</v>
      </c>
      <c r="F323" t="s">
        <v>33</v>
      </c>
      <c r="J323" t="s">
        <v>720</v>
      </c>
      <c r="K323">
        <f>COUNTIF($A$1:A323,A323)</f>
        <v>1</v>
      </c>
      <c r="L323" t="str">
        <f>VLOOKUP(A323,'Cadastro de Produtos'!A:B,2,0)</f>
        <v>Impressora Epson Jato de Tinta Stylus T50</v>
      </c>
      <c r="M323">
        <f t="shared" si="20"/>
        <v>1</v>
      </c>
      <c r="N323">
        <f t="shared" si="21"/>
        <v>0</v>
      </c>
      <c r="O323">
        <f t="shared" si="22"/>
        <v>0</v>
      </c>
      <c r="P323">
        <f t="shared" si="23"/>
        <v>1</v>
      </c>
    </row>
    <row r="324" spans="1:16" x14ac:dyDescent="0.3">
      <c r="A324" t="s">
        <v>177</v>
      </c>
      <c r="B324" t="s">
        <v>12</v>
      </c>
      <c r="C324" s="92">
        <v>42029</v>
      </c>
      <c r="D324" s="46">
        <v>2</v>
      </c>
      <c r="E324" s="47">
        <v>0.01</v>
      </c>
      <c r="F324" t="s">
        <v>33</v>
      </c>
      <c r="J324" t="s">
        <v>720</v>
      </c>
      <c r="K324">
        <f>COUNTIF($A$1:A324,A324)</f>
        <v>1</v>
      </c>
      <c r="L324" t="str">
        <f>VLOOKUP(A324,'Cadastro de Produtos'!A:B,2,0)</f>
        <v>Impressora Epson Matricial FX-2190 (136col 9 agulhas 680cps)</v>
      </c>
      <c r="M324">
        <f t="shared" si="20"/>
        <v>2</v>
      </c>
      <c r="N324">
        <f t="shared" si="21"/>
        <v>0</v>
      </c>
      <c r="O324">
        <f t="shared" si="22"/>
        <v>0</v>
      </c>
      <c r="P324">
        <f t="shared" si="23"/>
        <v>2</v>
      </c>
    </row>
    <row r="325" spans="1:16" x14ac:dyDescent="0.3">
      <c r="A325" t="s">
        <v>178</v>
      </c>
      <c r="B325" t="s">
        <v>12</v>
      </c>
      <c r="C325" s="92">
        <v>42029</v>
      </c>
      <c r="D325" s="46">
        <v>2</v>
      </c>
      <c r="E325" s="47">
        <v>82.99</v>
      </c>
      <c r="F325" t="s">
        <v>33</v>
      </c>
      <c r="J325" t="s">
        <v>720</v>
      </c>
      <c r="K325">
        <f>COUNTIF($A$1:A325,A325)</f>
        <v>1</v>
      </c>
      <c r="L325" t="str">
        <f>VLOOKUP(A325,'Cadastro de Produtos'!A:B,2,0)</f>
        <v>Impressora Epson Matricial FX-890 (80col 9 agulhas 680cps)</v>
      </c>
      <c r="M325">
        <f t="shared" si="20"/>
        <v>2</v>
      </c>
      <c r="N325">
        <f t="shared" si="21"/>
        <v>0</v>
      </c>
      <c r="O325">
        <f t="shared" si="22"/>
        <v>0</v>
      </c>
      <c r="P325">
        <f t="shared" si="23"/>
        <v>2</v>
      </c>
    </row>
    <row r="326" spans="1:16" x14ac:dyDescent="0.3">
      <c r="A326" t="s">
        <v>180</v>
      </c>
      <c r="B326" t="s">
        <v>12</v>
      </c>
      <c r="C326" s="92">
        <v>42029</v>
      </c>
      <c r="D326" s="46">
        <v>2</v>
      </c>
      <c r="E326" s="47">
        <v>6.3</v>
      </c>
      <c r="F326" t="s">
        <v>33</v>
      </c>
      <c r="J326" t="s">
        <v>720</v>
      </c>
      <c r="K326">
        <f>COUNTIF($A$1:A326,A326)</f>
        <v>1</v>
      </c>
      <c r="L326" t="str">
        <f>VLOOKUP(A326,'Cadastro de Produtos'!A:B,2,0)</f>
        <v>Impressora HP Deskjet D1660</v>
      </c>
      <c r="M326">
        <f t="shared" si="20"/>
        <v>2</v>
      </c>
      <c r="N326">
        <f t="shared" si="21"/>
        <v>0</v>
      </c>
      <c r="O326">
        <f t="shared" si="22"/>
        <v>0</v>
      </c>
      <c r="P326">
        <f t="shared" si="23"/>
        <v>2</v>
      </c>
    </row>
    <row r="327" spans="1:16" x14ac:dyDescent="0.3">
      <c r="A327" t="s">
        <v>179</v>
      </c>
      <c r="B327" t="s">
        <v>12</v>
      </c>
      <c r="C327" s="92">
        <v>42029</v>
      </c>
      <c r="D327" s="46">
        <v>10</v>
      </c>
      <c r="E327" s="47">
        <v>20.95</v>
      </c>
      <c r="F327" t="s">
        <v>33</v>
      </c>
      <c r="J327" t="s">
        <v>720</v>
      </c>
      <c r="K327">
        <f>COUNTIF($A$1:A327,A327)</f>
        <v>1</v>
      </c>
      <c r="L327" t="str">
        <f>VLOOKUP(A327,'Cadastro de Produtos'!A:B,2,0)</f>
        <v>Impressora Epson Matricial LX300+ II (80col 9 agulhas 337cps)</v>
      </c>
      <c r="M327">
        <f t="shared" si="20"/>
        <v>10</v>
      </c>
      <c r="N327">
        <f t="shared" si="21"/>
        <v>0</v>
      </c>
      <c r="O327">
        <f t="shared" si="22"/>
        <v>0</v>
      </c>
      <c r="P327">
        <f t="shared" si="23"/>
        <v>10</v>
      </c>
    </row>
    <row r="328" spans="1:16" x14ac:dyDescent="0.3">
      <c r="A328" t="s">
        <v>181</v>
      </c>
      <c r="B328" t="s">
        <v>12</v>
      </c>
      <c r="C328" s="92">
        <v>42029</v>
      </c>
      <c r="D328" s="46">
        <v>4</v>
      </c>
      <c r="E328" s="47">
        <v>13.9</v>
      </c>
      <c r="F328" t="s">
        <v>33</v>
      </c>
      <c r="J328" t="s">
        <v>720</v>
      </c>
      <c r="K328">
        <f>COUNTIF($A$1:A328,A328)</f>
        <v>1</v>
      </c>
      <c r="L328" t="str">
        <f>VLOOKUP(A328,'Cadastro de Produtos'!A:B,2,0)</f>
        <v>Impressora HP Deskjet D2460 Ink Jet 4cores 4800x1200dpi 20ppm</v>
      </c>
      <c r="M328">
        <f t="shared" si="20"/>
        <v>4</v>
      </c>
      <c r="N328">
        <f t="shared" si="21"/>
        <v>0</v>
      </c>
      <c r="O328">
        <f t="shared" si="22"/>
        <v>0</v>
      </c>
      <c r="P328">
        <f t="shared" si="23"/>
        <v>4</v>
      </c>
    </row>
    <row r="329" spans="1:16" x14ac:dyDescent="0.3">
      <c r="A329" t="s">
        <v>190</v>
      </c>
      <c r="B329" t="s">
        <v>12</v>
      </c>
      <c r="C329" s="92">
        <v>42029</v>
      </c>
      <c r="D329" s="46">
        <v>26</v>
      </c>
      <c r="E329" s="47">
        <v>0.01</v>
      </c>
      <c r="F329" t="s">
        <v>33</v>
      </c>
      <c r="J329" t="s">
        <v>720</v>
      </c>
      <c r="K329">
        <f>COUNTIF($A$1:A329,A329)</f>
        <v>1</v>
      </c>
      <c r="L329" t="str">
        <f>VLOOKUP(A329,'Cadastro de Produtos'!A:B,2,0)</f>
        <v>Impressora Samsung ML-1665L/XAZ Laser Mono 1200x600 16ppm 8MB</v>
      </c>
      <c r="M329">
        <f t="shared" si="20"/>
        <v>26</v>
      </c>
      <c r="N329">
        <f t="shared" si="21"/>
        <v>0</v>
      </c>
      <c r="O329">
        <f t="shared" si="22"/>
        <v>0</v>
      </c>
      <c r="P329">
        <f t="shared" si="23"/>
        <v>26</v>
      </c>
    </row>
    <row r="330" spans="1:16" x14ac:dyDescent="0.3">
      <c r="A330" t="s">
        <v>182</v>
      </c>
      <c r="B330" t="s">
        <v>12</v>
      </c>
      <c r="C330" s="92">
        <v>42029</v>
      </c>
      <c r="D330" s="46">
        <v>2</v>
      </c>
      <c r="E330" s="47">
        <v>16.670000000000002</v>
      </c>
      <c r="F330" t="s">
        <v>33</v>
      </c>
      <c r="J330" t="s">
        <v>720</v>
      </c>
      <c r="K330">
        <f>COUNTIF($A$1:A330,A330)</f>
        <v>1</v>
      </c>
      <c r="L330" t="str">
        <f>VLOOKUP(A330,'Cadastro de Produtos'!A:B,2,0)</f>
        <v>Impressora HP LaserJet CP1215 Laser Color 600x600dpi 12ppm 16MB</v>
      </c>
      <c r="M330">
        <f t="shared" si="20"/>
        <v>2</v>
      </c>
      <c r="N330">
        <f t="shared" si="21"/>
        <v>0</v>
      </c>
      <c r="O330">
        <f t="shared" si="22"/>
        <v>0</v>
      </c>
      <c r="P330">
        <f t="shared" si="23"/>
        <v>2</v>
      </c>
    </row>
    <row r="331" spans="1:16" x14ac:dyDescent="0.3">
      <c r="A331" t="s">
        <v>183</v>
      </c>
      <c r="B331" t="s">
        <v>12</v>
      </c>
      <c r="C331" s="92">
        <v>42029</v>
      </c>
      <c r="D331" s="46">
        <v>0</v>
      </c>
      <c r="E331" s="47">
        <v>146.9</v>
      </c>
      <c r="F331" t="s">
        <v>33</v>
      </c>
      <c r="J331" t="s">
        <v>720</v>
      </c>
      <c r="K331">
        <f>COUNTIF($A$1:A331,A331)</f>
        <v>1</v>
      </c>
      <c r="L331" t="str">
        <f>VLOOKUP(A331,'Cadastro de Produtos'!A:B,2,0)</f>
        <v>Impressora HP LaserJet P2055dn Laser Mono 1200x1200dpi 35ppm 128MB</v>
      </c>
      <c r="M331">
        <f t="shared" si="20"/>
        <v>0</v>
      </c>
      <c r="N331">
        <f t="shared" si="21"/>
        <v>0</v>
      </c>
      <c r="O331">
        <f t="shared" si="22"/>
        <v>0</v>
      </c>
      <c r="P331">
        <f t="shared" si="23"/>
        <v>0</v>
      </c>
    </row>
    <row r="332" spans="1:16" x14ac:dyDescent="0.3">
      <c r="A332" t="s">
        <v>184</v>
      </c>
      <c r="B332" t="s">
        <v>12</v>
      </c>
      <c r="C332" s="92">
        <v>42029</v>
      </c>
      <c r="D332" s="46">
        <v>1</v>
      </c>
      <c r="E332" s="47">
        <v>126</v>
      </c>
      <c r="F332" t="s">
        <v>33</v>
      </c>
      <c r="J332" t="s">
        <v>720</v>
      </c>
      <c r="K332">
        <f>COUNTIF($A$1:A332,A332)</f>
        <v>1</v>
      </c>
      <c r="L332" t="str">
        <f>VLOOKUP(A332,'Cadastro de Produtos'!A:B,2,0)</f>
        <v>Impressora HP Laserjet Pro 1102w Laser Mono 600x600dpi 18ppm</v>
      </c>
      <c r="M332">
        <f t="shared" si="20"/>
        <v>1</v>
      </c>
      <c r="N332">
        <f t="shared" si="21"/>
        <v>0</v>
      </c>
      <c r="O332">
        <f t="shared" si="22"/>
        <v>0</v>
      </c>
      <c r="P332">
        <f t="shared" si="23"/>
        <v>1</v>
      </c>
    </row>
    <row r="333" spans="1:16" x14ac:dyDescent="0.3">
      <c r="A333" t="s">
        <v>185</v>
      </c>
      <c r="B333" t="s">
        <v>12</v>
      </c>
      <c r="C333" s="92">
        <v>42029</v>
      </c>
      <c r="D333" s="46">
        <v>2</v>
      </c>
      <c r="E333" s="47">
        <v>5.79</v>
      </c>
      <c r="F333" t="s">
        <v>33</v>
      </c>
      <c r="J333" t="s">
        <v>720</v>
      </c>
      <c r="K333">
        <f>COUNTIF($A$1:A333,A333)</f>
        <v>1</v>
      </c>
      <c r="L333" t="str">
        <f>VLOOKUP(A333,'Cadastro de Produtos'!A:B,2,0)</f>
        <v>Impressora HP OFFICEJET 6000DWN REDE WIRELESS DUPLEX</v>
      </c>
      <c r="M333">
        <f t="shared" si="20"/>
        <v>2</v>
      </c>
      <c r="N333">
        <f t="shared" si="21"/>
        <v>0</v>
      </c>
      <c r="O333">
        <f t="shared" si="22"/>
        <v>0</v>
      </c>
      <c r="P333">
        <f t="shared" si="23"/>
        <v>2</v>
      </c>
    </row>
    <row r="334" spans="1:16" x14ac:dyDescent="0.3">
      <c r="A334" t="s">
        <v>187</v>
      </c>
      <c r="B334" t="s">
        <v>12</v>
      </c>
      <c r="C334" s="92">
        <v>42029</v>
      </c>
      <c r="D334" s="46">
        <v>2</v>
      </c>
      <c r="E334" s="47">
        <v>30</v>
      </c>
      <c r="F334" t="s">
        <v>33</v>
      </c>
      <c r="J334" t="s">
        <v>720</v>
      </c>
      <c r="K334">
        <f>COUNTIF($A$1:A334,A334)</f>
        <v>1</v>
      </c>
      <c r="L334" t="str">
        <f>VLOOKUP(A334,'Cadastro de Produtos'!A:B,2,0)</f>
        <v>Impressora HP OFFICEJET PRO 8000DN REDE DUPLEX</v>
      </c>
      <c r="M334">
        <f t="shared" si="20"/>
        <v>2</v>
      </c>
      <c r="N334">
        <f t="shared" si="21"/>
        <v>0</v>
      </c>
      <c r="O334">
        <f t="shared" si="22"/>
        <v>0</v>
      </c>
      <c r="P334">
        <f t="shared" si="23"/>
        <v>2</v>
      </c>
    </row>
    <row r="335" spans="1:16" x14ac:dyDescent="0.3">
      <c r="A335" t="s">
        <v>186</v>
      </c>
      <c r="B335" t="s">
        <v>12</v>
      </c>
      <c r="C335" s="92">
        <v>42029</v>
      </c>
      <c r="D335" s="46">
        <v>1</v>
      </c>
      <c r="E335" s="47">
        <v>50</v>
      </c>
      <c r="F335" t="s">
        <v>33</v>
      </c>
      <c r="J335" t="s">
        <v>720</v>
      </c>
      <c r="K335">
        <f>COUNTIF($A$1:A335,A335)</f>
        <v>1</v>
      </c>
      <c r="L335" t="str">
        <f>VLOOKUP(A335,'Cadastro de Produtos'!A:B,2,0)</f>
        <v>Impressora HP Officejet 6000N</v>
      </c>
      <c r="M335">
        <f t="shared" si="20"/>
        <v>1</v>
      </c>
      <c r="N335">
        <f t="shared" si="21"/>
        <v>0</v>
      </c>
      <c r="O335">
        <f t="shared" si="22"/>
        <v>0</v>
      </c>
      <c r="P335">
        <f t="shared" si="23"/>
        <v>1</v>
      </c>
    </row>
    <row r="336" spans="1:16" x14ac:dyDescent="0.3">
      <c r="A336" t="s">
        <v>188</v>
      </c>
      <c r="B336" t="s">
        <v>12</v>
      </c>
      <c r="C336" s="92">
        <v>42029</v>
      </c>
      <c r="D336" s="46">
        <v>2</v>
      </c>
      <c r="E336" s="47">
        <v>13.09</v>
      </c>
      <c r="F336" t="s">
        <v>33</v>
      </c>
      <c r="J336" t="s">
        <v>720</v>
      </c>
      <c r="K336">
        <f>COUNTIF($A$1:A336,A336)</f>
        <v>1</v>
      </c>
      <c r="L336" t="str">
        <f>VLOOKUP(A336,'Cadastro de Produtos'!A:B,2,0)</f>
        <v>Impressora Lexmark E260DN BR Laser Mono 1200x1200dpi 33ppm 32MB</v>
      </c>
      <c r="M336">
        <f t="shared" si="20"/>
        <v>2</v>
      </c>
      <c r="N336">
        <f t="shared" si="21"/>
        <v>0</v>
      </c>
      <c r="O336">
        <f t="shared" si="22"/>
        <v>0</v>
      </c>
      <c r="P336">
        <f t="shared" si="23"/>
        <v>2</v>
      </c>
    </row>
    <row r="337" spans="1:16" x14ac:dyDescent="0.3">
      <c r="A337" t="s">
        <v>189</v>
      </c>
      <c r="B337" t="s">
        <v>12</v>
      </c>
      <c r="C337" s="92">
        <v>42029</v>
      </c>
      <c r="D337" s="46">
        <v>0</v>
      </c>
      <c r="E337" s="47">
        <v>9.7799999999999994</v>
      </c>
      <c r="F337" t="s">
        <v>33</v>
      </c>
      <c r="J337" t="s">
        <v>720</v>
      </c>
      <c r="K337">
        <f>COUNTIF($A$1:A337,A337)</f>
        <v>1</v>
      </c>
      <c r="L337" t="str">
        <f>VLOOKUP(A337,'Cadastro de Produtos'!A:B,2,0)</f>
        <v>Impressora Samsung CLP-315/XAZ Laser Color 2400x600 16ppm 32MB</v>
      </c>
      <c r="M337">
        <f t="shared" si="20"/>
        <v>0</v>
      </c>
      <c r="N337">
        <f t="shared" si="21"/>
        <v>0</v>
      </c>
      <c r="O337">
        <f t="shared" si="22"/>
        <v>0</v>
      </c>
      <c r="P337">
        <f t="shared" si="23"/>
        <v>0</v>
      </c>
    </row>
    <row r="338" spans="1:16" x14ac:dyDescent="0.3">
      <c r="A338" t="s">
        <v>191</v>
      </c>
      <c r="B338" t="s">
        <v>12</v>
      </c>
      <c r="C338" s="92">
        <v>42029</v>
      </c>
      <c r="D338" s="46">
        <v>5</v>
      </c>
      <c r="E338" s="47">
        <v>5.79</v>
      </c>
      <c r="F338" t="s">
        <v>33</v>
      </c>
      <c r="J338" t="s">
        <v>720</v>
      </c>
      <c r="K338">
        <f>COUNTIF($A$1:A338,A338)</f>
        <v>1</v>
      </c>
      <c r="L338" t="str">
        <f>VLOOKUP(A338,'Cadastro de Produtos'!A:B,2,0)</f>
        <v>Impressora Samsung ML-2851ND Laser Mono 1200x1200 28ppm 32MB</v>
      </c>
      <c r="M338">
        <f t="shared" si="20"/>
        <v>5</v>
      </c>
      <c r="N338">
        <f t="shared" si="21"/>
        <v>0</v>
      </c>
      <c r="O338">
        <f t="shared" si="22"/>
        <v>0</v>
      </c>
      <c r="P338">
        <f t="shared" si="23"/>
        <v>5</v>
      </c>
    </row>
    <row r="339" spans="1:16" x14ac:dyDescent="0.3">
      <c r="A339" t="s">
        <v>194</v>
      </c>
      <c r="B339" t="s">
        <v>12</v>
      </c>
      <c r="C339" s="92">
        <v>42029</v>
      </c>
      <c r="D339" s="46">
        <v>0</v>
      </c>
      <c r="E339" s="47">
        <v>3.08</v>
      </c>
      <c r="F339" t="s">
        <v>33</v>
      </c>
      <c r="J339" t="s">
        <v>720</v>
      </c>
      <c r="K339">
        <f>COUNTIF($A$1:A339,A339)</f>
        <v>1</v>
      </c>
      <c r="L339" t="str">
        <f>VLOOKUP(A339,'Cadastro de Produtos'!A:B,2,0)</f>
        <v>LCD Cable 14.1" SXGA SCREEN 06M871 REV A00</v>
      </c>
      <c r="M339">
        <f t="shared" si="20"/>
        <v>0</v>
      </c>
      <c r="N339">
        <f t="shared" si="21"/>
        <v>0</v>
      </c>
      <c r="O339">
        <f t="shared" si="22"/>
        <v>0</v>
      </c>
      <c r="P339">
        <f t="shared" si="23"/>
        <v>0</v>
      </c>
    </row>
    <row r="340" spans="1:16" x14ac:dyDescent="0.3">
      <c r="A340" t="s">
        <v>192</v>
      </c>
      <c r="B340" t="s">
        <v>12</v>
      </c>
      <c r="C340" s="92">
        <v>42029</v>
      </c>
      <c r="D340" s="46">
        <v>0</v>
      </c>
      <c r="E340" s="47">
        <v>4.18</v>
      </c>
      <c r="F340" t="s">
        <v>33</v>
      </c>
      <c r="J340" t="s">
        <v>720</v>
      </c>
      <c r="K340">
        <f>COUNTIF($A$1:A340,A340)</f>
        <v>1</v>
      </c>
      <c r="L340" t="str">
        <f>VLOOKUP(A340,'Cadastro de Produtos'!A:B,2,0)</f>
        <v>Inverter board F3J asus</v>
      </c>
      <c r="M340">
        <f t="shared" si="20"/>
        <v>0</v>
      </c>
      <c r="N340">
        <f t="shared" si="21"/>
        <v>0</v>
      </c>
      <c r="O340">
        <f t="shared" si="22"/>
        <v>0</v>
      </c>
      <c r="P340">
        <f t="shared" si="23"/>
        <v>0</v>
      </c>
    </row>
    <row r="341" spans="1:16" x14ac:dyDescent="0.3">
      <c r="A341" t="s">
        <v>193</v>
      </c>
      <c r="B341" t="s">
        <v>12</v>
      </c>
      <c r="C341" s="92">
        <v>42029</v>
      </c>
      <c r="D341" s="46">
        <v>0</v>
      </c>
      <c r="E341" s="47">
        <v>4.49</v>
      </c>
      <c r="F341" t="s">
        <v>33</v>
      </c>
      <c r="J341" t="s">
        <v>720</v>
      </c>
      <c r="K341">
        <f>COUNTIF($A$1:A341,A341)</f>
        <v>1</v>
      </c>
      <c r="L341" t="str">
        <f>VLOOKUP(A341,'Cadastro de Produtos'!A:B,2,0)</f>
        <v>LCD Cable 14.1" SCREEN 6M871 REV A00</v>
      </c>
      <c r="M341">
        <f t="shared" si="20"/>
        <v>0</v>
      </c>
      <c r="N341">
        <f t="shared" si="21"/>
        <v>0</v>
      </c>
      <c r="O341">
        <f t="shared" si="22"/>
        <v>0</v>
      </c>
      <c r="P341">
        <f t="shared" si="23"/>
        <v>0</v>
      </c>
    </row>
    <row r="342" spans="1:16" x14ac:dyDescent="0.3">
      <c r="A342" t="s">
        <v>195</v>
      </c>
      <c r="B342" t="s">
        <v>12</v>
      </c>
      <c r="C342" s="92">
        <v>42029</v>
      </c>
      <c r="D342" s="46">
        <v>0</v>
      </c>
      <c r="E342" s="47">
        <v>7.17</v>
      </c>
      <c r="F342" t="s">
        <v>33</v>
      </c>
      <c r="J342" t="s">
        <v>720</v>
      </c>
      <c r="K342">
        <f>COUNTIF($A$1:A342,A342)</f>
        <v>1</v>
      </c>
      <c r="L342" t="str">
        <f>VLOOKUP(A342,'Cadastro de Produtos'!A:B,2,0)</f>
        <v>LCD Cable 15.4" REV A00 REV.3A DDDFM1LC111</v>
      </c>
      <c r="M342">
        <f t="shared" si="20"/>
        <v>0</v>
      </c>
      <c r="N342">
        <f t="shared" si="21"/>
        <v>0</v>
      </c>
      <c r="O342">
        <f t="shared" si="22"/>
        <v>0</v>
      </c>
      <c r="P342">
        <f t="shared" si="23"/>
        <v>0</v>
      </c>
    </row>
    <row r="343" spans="1:16" x14ac:dyDescent="0.3">
      <c r="A343" t="s">
        <v>196</v>
      </c>
      <c r="B343" t="s">
        <v>12</v>
      </c>
      <c r="C343" s="92">
        <v>42029</v>
      </c>
      <c r="D343" s="46">
        <v>0</v>
      </c>
      <c r="E343" s="47">
        <v>8.65</v>
      </c>
      <c r="F343" t="s">
        <v>33</v>
      </c>
      <c r="J343" t="s">
        <v>720</v>
      </c>
      <c r="K343">
        <f>COUNTIF($A$1:A343,A343)</f>
        <v>1</v>
      </c>
      <c r="L343" t="str">
        <f>VLOOKUP(A343,'Cadastro de Produtos'!A:B,2,0)</f>
        <v>LCD Cable 50.4W001.301 i1526 WK447 15.4</v>
      </c>
      <c r="M343">
        <f t="shared" si="20"/>
        <v>0</v>
      </c>
      <c r="N343">
        <f t="shared" si="21"/>
        <v>0</v>
      </c>
      <c r="O343">
        <f t="shared" si="22"/>
        <v>0</v>
      </c>
      <c r="P343">
        <f t="shared" si="23"/>
        <v>0</v>
      </c>
    </row>
    <row r="344" spans="1:16" x14ac:dyDescent="0.3">
      <c r="A344" t="s">
        <v>197</v>
      </c>
      <c r="B344" t="s">
        <v>12</v>
      </c>
      <c r="C344" s="92">
        <v>42029</v>
      </c>
      <c r="D344" s="46">
        <v>0</v>
      </c>
      <c r="E344" s="47">
        <v>15.79</v>
      </c>
      <c r="F344" t="s">
        <v>33</v>
      </c>
      <c r="J344" t="s">
        <v>720</v>
      </c>
      <c r="K344">
        <f>COUNTIF($A$1:A344,A344)</f>
        <v>1</v>
      </c>
      <c r="L344" t="str">
        <f>VLOOKUP(A344,'Cadastro de Produtos'!A:B,2,0)</f>
        <v>LCD Cable DDDM3LLC000 14" REV A01 REV.3B</v>
      </c>
      <c r="M344">
        <f t="shared" si="20"/>
        <v>0</v>
      </c>
      <c r="N344">
        <f t="shared" si="21"/>
        <v>0</v>
      </c>
      <c r="O344">
        <f t="shared" si="22"/>
        <v>0</v>
      </c>
      <c r="P344">
        <f t="shared" si="23"/>
        <v>0</v>
      </c>
    </row>
    <row r="345" spans="1:16" x14ac:dyDescent="0.3">
      <c r="A345" t="s">
        <v>198</v>
      </c>
      <c r="B345" t="s">
        <v>12</v>
      </c>
      <c r="C345" s="92">
        <v>42029</v>
      </c>
      <c r="D345" s="46">
        <v>3</v>
      </c>
      <c r="E345" s="47">
        <v>13.04</v>
      </c>
      <c r="F345" t="s">
        <v>33</v>
      </c>
      <c r="J345" t="s">
        <v>720</v>
      </c>
      <c r="K345">
        <f>COUNTIF($A$1:A345,A345)</f>
        <v>1</v>
      </c>
      <c r="L345" t="str">
        <f>VLOOKUP(A345,'Cadastro de Produtos'!A:B,2,0)</f>
        <v>LCD Cable DDDM3LLC018 15" XGA REV A02</v>
      </c>
      <c r="M345">
        <f t="shared" si="20"/>
        <v>3</v>
      </c>
      <c r="N345">
        <f t="shared" si="21"/>
        <v>0</v>
      </c>
      <c r="O345">
        <f t="shared" si="22"/>
        <v>0</v>
      </c>
      <c r="P345">
        <f t="shared" si="23"/>
        <v>3</v>
      </c>
    </row>
    <row r="346" spans="1:16" x14ac:dyDescent="0.3">
      <c r="A346" t="s">
        <v>169</v>
      </c>
      <c r="B346" t="s">
        <v>12</v>
      </c>
      <c r="C346" s="92">
        <v>42029</v>
      </c>
      <c r="D346" s="46">
        <v>1</v>
      </c>
      <c r="E346" s="47">
        <v>0.01</v>
      </c>
      <c r="F346" t="s">
        <v>33</v>
      </c>
      <c r="J346" t="s">
        <v>720</v>
      </c>
      <c r="K346">
        <f>COUNTIF($A$1:A346,A346)</f>
        <v>1</v>
      </c>
      <c r="L346" t="str">
        <f>VLOOKUP(A346,'Cadastro de Produtos'!A:B,2,0)</f>
        <v>HD SATA NOTEBOOK 160GB Samsung 5.400RPM</v>
      </c>
      <c r="M346">
        <f t="shared" si="20"/>
        <v>1</v>
      </c>
      <c r="N346">
        <f t="shared" si="21"/>
        <v>0</v>
      </c>
      <c r="O346">
        <f t="shared" si="22"/>
        <v>0</v>
      </c>
      <c r="P346">
        <f t="shared" si="23"/>
        <v>1</v>
      </c>
    </row>
    <row r="347" spans="1:16" x14ac:dyDescent="0.3">
      <c r="A347" t="s">
        <v>170</v>
      </c>
      <c r="B347" t="s">
        <v>12</v>
      </c>
      <c r="C347" s="92">
        <v>42029</v>
      </c>
      <c r="D347" s="46">
        <v>24</v>
      </c>
      <c r="E347" s="47">
        <v>0.01</v>
      </c>
      <c r="F347" t="s">
        <v>33</v>
      </c>
      <c r="J347" t="s">
        <v>720</v>
      </c>
      <c r="K347">
        <f>COUNTIF($A$1:A347,A347)</f>
        <v>1</v>
      </c>
      <c r="L347" t="str">
        <f>VLOOKUP(A347,'Cadastro de Produtos'!A:B,2,0)</f>
        <v>HD SATA NOTEBOOK 250GB WD 5.400RPM</v>
      </c>
      <c r="M347">
        <f t="shared" si="20"/>
        <v>24</v>
      </c>
      <c r="N347">
        <f t="shared" si="21"/>
        <v>0</v>
      </c>
      <c r="O347">
        <f t="shared" si="22"/>
        <v>0</v>
      </c>
      <c r="P347">
        <f t="shared" si="23"/>
        <v>24</v>
      </c>
    </row>
    <row r="348" spans="1:16" x14ac:dyDescent="0.3">
      <c r="A348" t="s">
        <v>174</v>
      </c>
      <c r="B348" t="s">
        <v>12</v>
      </c>
      <c r="C348" s="92">
        <v>42029</v>
      </c>
      <c r="D348" s="46">
        <v>1</v>
      </c>
      <c r="E348" s="47">
        <v>0.01</v>
      </c>
      <c r="F348" t="s">
        <v>33</v>
      </c>
      <c r="J348" t="s">
        <v>720</v>
      </c>
      <c r="K348">
        <f>COUNTIF($A$1:A348,A348)</f>
        <v>1</v>
      </c>
      <c r="L348" t="str">
        <f>VLOOKUP(A348,'Cadastro de Produtos'!A:B,2,0)</f>
        <v>Headset sem fio Microsoft LifeChat ZX-6000</v>
      </c>
      <c r="M348">
        <f t="shared" si="20"/>
        <v>1</v>
      </c>
      <c r="N348">
        <f t="shared" si="21"/>
        <v>0</v>
      </c>
      <c r="O348">
        <f t="shared" si="22"/>
        <v>0</v>
      </c>
      <c r="P348">
        <f t="shared" si="23"/>
        <v>1</v>
      </c>
    </row>
    <row r="349" spans="1:16" x14ac:dyDescent="0.3">
      <c r="A349" t="s">
        <v>166</v>
      </c>
      <c r="B349" t="s">
        <v>12</v>
      </c>
      <c r="C349" s="92">
        <v>42029</v>
      </c>
      <c r="D349" s="46">
        <v>1</v>
      </c>
      <c r="E349" s="47">
        <v>17</v>
      </c>
      <c r="F349" t="s">
        <v>33</v>
      </c>
      <c r="J349" t="s">
        <v>720</v>
      </c>
      <c r="K349">
        <f>COUNTIF($A$1:A349,A349)</f>
        <v>1</v>
      </c>
      <c r="L349" t="str">
        <f>VLOOKUP(A349,'Cadastro de Produtos'!A:B,2,0)</f>
        <v>HD SATA II 320GB Seagate 16MB 7.200RPM</v>
      </c>
      <c r="M349">
        <f t="shared" si="20"/>
        <v>1</v>
      </c>
      <c r="N349">
        <f t="shared" si="21"/>
        <v>0</v>
      </c>
      <c r="O349">
        <f t="shared" si="22"/>
        <v>0</v>
      </c>
      <c r="P349">
        <f t="shared" si="23"/>
        <v>1</v>
      </c>
    </row>
    <row r="350" spans="1:16" x14ac:dyDescent="0.3">
      <c r="A350" t="s">
        <v>165</v>
      </c>
      <c r="B350" t="s">
        <v>12</v>
      </c>
      <c r="C350" s="92">
        <v>42029</v>
      </c>
      <c r="D350" s="46">
        <v>0</v>
      </c>
      <c r="E350" s="47">
        <v>5.6</v>
      </c>
      <c r="F350" t="s">
        <v>33</v>
      </c>
      <c r="J350" t="s">
        <v>720</v>
      </c>
      <c r="K350">
        <f>COUNTIF($A$1:A350,A350)</f>
        <v>1</v>
      </c>
      <c r="L350" t="str">
        <f>VLOOKUP(A350,'Cadastro de Produtos'!A:B,2,0)</f>
        <v>HD SATA II 320GB Maxtor/W.Digital/Samsung 7.200RPM</v>
      </c>
      <c r="M350">
        <f t="shared" si="20"/>
        <v>0</v>
      </c>
      <c r="N350">
        <f t="shared" si="21"/>
        <v>0</v>
      </c>
      <c r="O350">
        <f t="shared" si="22"/>
        <v>0</v>
      </c>
      <c r="P350">
        <f t="shared" si="23"/>
        <v>0</v>
      </c>
    </row>
    <row r="351" spans="1:16" x14ac:dyDescent="0.3">
      <c r="A351" t="s">
        <v>83</v>
      </c>
      <c r="B351" t="s">
        <v>12</v>
      </c>
      <c r="C351" s="92">
        <v>42029</v>
      </c>
      <c r="D351" s="46">
        <v>1</v>
      </c>
      <c r="E351" s="47">
        <v>279.89999999999998</v>
      </c>
      <c r="F351" t="s">
        <v>33</v>
      </c>
      <c r="J351" t="s">
        <v>720</v>
      </c>
      <c r="K351">
        <f>COUNTIF($A$1:A351,A351)</f>
        <v>1</v>
      </c>
      <c r="L351" t="str">
        <f>VLOOKUP(A351,'Cadastro de Produtos'!A:B,2,0)</f>
        <v>Fonte C3 Tech v2.2 400W REAL (800W Nominal)</v>
      </c>
      <c r="M351">
        <f t="shared" si="20"/>
        <v>1</v>
      </c>
      <c r="N351">
        <f t="shared" si="21"/>
        <v>0</v>
      </c>
      <c r="O351">
        <f t="shared" si="22"/>
        <v>0</v>
      </c>
      <c r="P351">
        <f t="shared" si="23"/>
        <v>1</v>
      </c>
    </row>
    <row r="352" spans="1:16" x14ac:dyDescent="0.3">
      <c r="A352" t="s">
        <v>84</v>
      </c>
      <c r="B352" t="s">
        <v>12</v>
      </c>
      <c r="C352" s="92">
        <v>42029</v>
      </c>
      <c r="D352" s="46">
        <v>1</v>
      </c>
      <c r="E352" s="47">
        <v>679</v>
      </c>
      <c r="F352" t="s">
        <v>33</v>
      </c>
      <c r="J352" t="s">
        <v>720</v>
      </c>
      <c r="K352">
        <f>COUNTIF($A$1:A352,A352)</f>
        <v>1</v>
      </c>
      <c r="L352" t="str">
        <f>VLOOKUP(A352,'Cadastro de Produtos'!A:B,2,0)</f>
        <v>Fonte C3 Tech v2.2 500W REAL (1000W Nominal)</v>
      </c>
      <c r="M352">
        <f t="shared" si="20"/>
        <v>1</v>
      </c>
      <c r="N352">
        <f t="shared" si="21"/>
        <v>0</v>
      </c>
      <c r="O352">
        <f t="shared" si="22"/>
        <v>0</v>
      </c>
      <c r="P352">
        <f t="shared" si="23"/>
        <v>1</v>
      </c>
    </row>
    <row r="353" spans="1:16" x14ac:dyDescent="0.3">
      <c r="A353" t="s">
        <v>85</v>
      </c>
      <c r="B353" t="s">
        <v>12</v>
      </c>
      <c r="C353" s="92">
        <v>42029</v>
      </c>
      <c r="D353" s="46">
        <v>1</v>
      </c>
      <c r="E353" s="47">
        <v>4468</v>
      </c>
      <c r="F353" t="s">
        <v>33</v>
      </c>
      <c r="J353" t="s">
        <v>720</v>
      </c>
      <c r="K353">
        <f>COUNTIF($A$1:A353,A353)</f>
        <v>1</v>
      </c>
      <c r="L353" t="str">
        <f>VLOOKUP(A353,'Cadastro de Produtos'!A:B,2,0)</f>
        <v>Fonte Casemall POWEREX 600W REAL</v>
      </c>
      <c r="M353">
        <f t="shared" si="20"/>
        <v>1</v>
      </c>
      <c r="N353">
        <f t="shared" si="21"/>
        <v>0</v>
      </c>
      <c r="O353">
        <f t="shared" si="22"/>
        <v>0</v>
      </c>
      <c r="P353">
        <f t="shared" si="23"/>
        <v>1</v>
      </c>
    </row>
    <row r="354" spans="1:16" x14ac:dyDescent="0.3">
      <c r="A354" t="s">
        <v>86</v>
      </c>
      <c r="B354" t="s">
        <v>12</v>
      </c>
      <c r="C354" s="92">
        <v>42029</v>
      </c>
      <c r="D354" s="46">
        <v>0</v>
      </c>
      <c r="E354" s="47">
        <v>483.9</v>
      </c>
      <c r="F354" t="s">
        <v>33</v>
      </c>
      <c r="J354" t="s">
        <v>720</v>
      </c>
      <c r="K354">
        <f>COUNTIF($A$1:A354,A354)</f>
        <v>1</v>
      </c>
      <c r="L354" t="str">
        <f>VLOOKUP(A354,'Cadastro de Produtos'!A:B,2,0)</f>
        <v>Fonte Cooler Master V2.2 650W REAL</v>
      </c>
      <c r="M354">
        <f t="shared" si="20"/>
        <v>0</v>
      </c>
      <c r="N354">
        <f t="shared" si="21"/>
        <v>0</v>
      </c>
      <c r="O354">
        <f t="shared" si="22"/>
        <v>0</v>
      </c>
      <c r="P354">
        <f t="shared" si="23"/>
        <v>0</v>
      </c>
    </row>
    <row r="355" spans="1:16" x14ac:dyDescent="0.3">
      <c r="A355" t="s">
        <v>87</v>
      </c>
      <c r="B355" t="s">
        <v>12</v>
      </c>
      <c r="C355" s="92">
        <v>42029</v>
      </c>
      <c r="D355" s="46">
        <v>1</v>
      </c>
      <c r="E355" s="47">
        <v>483.9</v>
      </c>
      <c r="F355" t="s">
        <v>33</v>
      </c>
      <c r="J355" t="s">
        <v>720</v>
      </c>
      <c r="K355">
        <f>COUNTIF($A$1:A355,A355)</f>
        <v>1</v>
      </c>
      <c r="L355" t="str">
        <f>VLOOKUP(A355,'Cadastro de Produtos'!A:B,2,0)</f>
        <v>Fonte Duex v2.2 500W REAL (1000W Nominal)</v>
      </c>
      <c r="M355">
        <f t="shared" si="20"/>
        <v>1</v>
      </c>
      <c r="N355">
        <f t="shared" si="21"/>
        <v>0</v>
      </c>
      <c r="O355">
        <f t="shared" si="22"/>
        <v>0</v>
      </c>
      <c r="P355">
        <f t="shared" si="23"/>
        <v>1</v>
      </c>
    </row>
    <row r="356" spans="1:16" x14ac:dyDescent="0.3">
      <c r="A356" t="s">
        <v>88</v>
      </c>
      <c r="B356" t="s">
        <v>12</v>
      </c>
      <c r="C356" s="92">
        <v>42029</v>
      </c>
      <c r="D356" s="46">
        <v>1</v>
      </c>
      <c r="E356" s="47">
        <v>259.91000000000003</v>
      </c>
      <c r="F356" t="s">
        <v>33</v>
      </c>
      <c r="J356" t="s">
        <v>720</v>
      </c>
      <c r="K356">
        <f>COUNTIF($A$1:A356,A356)</f>
        <v>1</v>
      </c>
      <c r="L356" t="str">
        <f>VLOOKUP(A356,'Cadastro de Produtos'!A:B,2,0)</f>
        <v>Fonte Nilko v2.2 250W REAL (500W Nominal)</v>
      </c>
      <c r="M356">
        <f t="shared" si="20"/>
        <v>1</v>
      </c>
      <c r="N356">
        <f t="shared" si="21"/>
        <v>0</v>
      </c>
      <c r="O356">
        <f t="shared" si="22"/>
        <v>0</v>
      </c>
      <c r="P356">
        <f t="shared" si="23"/>
        <v>1</v>
      </c>
    </row>
    <row r="357" spans="1:16" x14ac:dyDescent="0.3">
      <c r="A357" t="s">
        <v>89</v>
      </c>
      <c r="B357" t="s">
        <v>12</v>
      </c>
      <c r="C357" s="92">
        <v>42029</v>
      </c>
      <c r="D357" s="46">
        <v>1</v>
      </c>
      <c r="E357" s="47">
        <v>2630</v>
      </c>
      <c r="F357" t="s">
        <v>33</v>
      </c>
      <c r="J357" t="s">
        <v>720</v>
      </c>
      <c r="K357">
        <f>COUNTIF($A$1:A357,A357)</f>
        <v>1</v>
      </c>
      <c r="L357" t="str">
        <f>VLOOKUP(A357,'Cadastro de Produtos'!A:B,2,0)</f>
        <v>Fonte notebook AC Adapter LITEON PA-1900-04</v>
      </c>
      <c r="M357">
        <f t="shared" si="20"/>
        <v>1</v>
      </c>
      <c r="N357">
        <f t="shared" si="21"/>
        <v>0</v>
      </c>
      <c r="O357">
        <f t="shared" si="22"/>
        <v>0</v>
      </c>
      <c r="P357">
        <f t="shared" si="23"/>
        <v>1</v>
      </c>
    </row>
    <row r="358" spans="1:16" x14ac:dyDescent="0.3">
      <c r="A358" t="s">
        <v>90</v>
      </c>
      <c r="B358" t="s">
        <v>12</v>
      </c>
      <c r="C358" s="92">
        <v>42029</v>
      </c>
      <c r="D358" s="46">
        <v>1</v>
      </c>
      <c r="E358" s="47">
        <v>2630</v>
      </c>
      <c r="F358" t="s">
        <v>33</v>
      </c>
      <c r="J358" t="s">
        <v>720</v>
      </c>
      <c r="K358">
        <f>COUNTIF($A$1:A358,A358)</f>
        <v>1</v>
      </c>
      <c r="L358" t="str">
        <f>VLOOKUP(A358,'Cadastro de Produtos'!A:B,2,0)</f>
        <v>Fonte para Notebook AC Adapter ADP-50SB 19V PN 9834T</v>
      </c>
      <c r="M358">
        <f t="shared" si="20"/>
        <v>1</v>
      </c>
      <c r="N358">
        <f t="shared" si="21"/>
        <v>0</v>
      </c>
      <c r="O358">
        <f t="shared" si="22"/>
        <v>0</v>
      </c>
      <c r="P358">
        <f t="shared" si="23"/>
        <v>1</v>
      </c>
    </row>
    <row r="359" spans="1:16" x14ac:dyDescent="0.3">
      <c r="A359" t="s">
        <v>91</v>
      </c>
      <c r="B359" t="s">
        <v>12</v>
      </c>
      <c r="C359" s="92">
        <v>42029</v>
      </c>
      <c r="D359" s="46">
        <v>1</v>
      </c>
      <c r="E359" s="47">
        <v>582</v>
      </c>
      <c r="F359" t="s">
        <v>33</v>
      </c>
      <c r="J359" t="s">
        <v>720</v>
      </c>
      <c r="K359">
        <f>COUNTIF($A$1:A359,A359)</f>
        <v>1</v>
      </c>
      <c r="L359" t="str">
        <f>VLOOKUP(A359,'Cadastro de Produtos'!A:B,2,0)</f>
        <v>Fonte para Notebook AC Adapter PA-10 90W 19V PN U7809</v>
      </c>
      <c r="M359">
        <f t="shared" si="20"/>
        <v>1</v>
      </c>
      <c r="N359">
        <f t="shared" si="21"/>
        <v>0</v>
      </c>
      <c r="O359">
        <f t="shared" si="22"/>
        <v>0</v>
      </c>
      <c r="P359">
        <f t="shared" si="23"/>
        <v>1</v>
      </c>
    </row>
    <row r="360" spans="1:16" x14ac:dyDescent="0.3">
      <c r="A360" t="s">
        <v>92</v>
      </c>
      <c r="B360" t="s">
        <v>12</v>
      </c>
      <c r="C360" s="92">
        <v>42029</v>
      </c>
      <c r="D360" s="46">
        <v>1</v>
      </c>
      <c r="E360" s="47">
        <v>0.01</v>
      </c>
      <c r="F360" t="s">
        <v>33</v>
      </c>
      <c r="J360" t="s">
        <v>720</v>
      </c>
      <c r="K360">
        <f>COUNTIF($A$1:A360,A360)</f>
        <v>1</v>
      </c>
      <c r="L360" t="str">
        <f>VLOOKUP(A360,'Cadastro de Produtos'!A:B,2,0)</f>
        <v>Fonte para Notebook AC Adapter PA-12 65W PA-1650-05D2 19.5V F7970</v>
      </c>
      <c r="M360">
        <f t="shared" si="20"/>
        <v>1</v>
      </c>
      <c r="N360">
        <f t="shared" si="21"/>
        <v>0</v>
      </c>
      <c r="O360">
        <f t="shared" si="22"/>
        <v>0</v>
      </c>
      <c r="P360">
        <f t="shared" si="23"/>
        <v>1</v>
      </c>
    </row>
    <row r="361" spans="1:16" x14ac:dyDescent="0.3">
      <c r="A361" t="s">
        <v>93</v>
      </c>
      <c r="B361" t="s">
        <v>12</v>
      </c>
      <c r="C361" s="92">
        <v>42029</v>
      </c>
      <c r="D361" s="46">
        <v>1</v>
      </c>
      <c r="E361" s="47">
        <v>1799</v>
      </c>
      <c r="F361" t="s">
        <v>33</v>
      </c>
      <c r="J361" t="s">
        <v>720</v>
      </c>
      <c r="K361">
        <f>COUNTIF($A$1:A361,A361)</f>
        <v>1</v>
      </c>
      <c r="L361" t="str">
        <f>VLOOKUP(A361,'Cadastro de Produtos'!A:B,2,0)</f>
        <v>Fonte para Notebook AC Adapter PA-16 60W PA-1600-06D2 19V TD231</v>
      </c>
      <c r="M361">
        <f t="shared" si="20"/>
        <v>1</v>
      </c>
      <c r="N361">
        <f t="shared" si="21"/>
        <v>0</v>
      </c>
      <c r="O361">
        <f t="shared" si="22"/>
        <v>0</v>
      </c>
      <c r="P361">
        <f t="shared" si="23"/>
        <v>1</v>
      </c>
    </row>
    <row r="362" spans="1:16" x14ac:dyDescent="0.3">
      <c r="A362" t="s">
        <v>94</v>
      </c>
      <c r="B362" t="s">
        <v>12</v>
      </c>
      <c r="C362" s="92">
        <v>42029</v>
      </c>
      <c r="D362" s="46">
        <v>1</v>
      </c>
      <c r="E362" s="47">
        <v>586.04</v>
      </c>
      <c r="F362" t="s">
        <v>33</v>
      </c>
      <c r="J362" t="s">
        <v>720</v>
      </c>
      <c r="K362">
        <f>COUNTIF($A$1:A362,A362)</f>
        <v>1</v>
      </c>
      <c r="L362" t="str">
        <f>VLOOKUP(A362,'Cadastro de Produtos'!A:B,2,0)</f>
        <v>Fonte para Notebook AC Adapter PA-21 65W PA-1650-02DW 19.5V F7970</v>
      </c>
      <c r="M362">
        <f t="shared" si="20"/>
        <v>1</v>
      </c>
      <c r="N362">
        <f t="shared" si="21"/>
        <v>0</v>
      </c>
      <c r="O362">
        <f t="shared" si="22"/>
        <v>0</v>
      </c>
      <c r="P362">
        <f t="shared" si="23"/>
        <v>1</v>
      </c>
    </row>
    <row r="363" spans="1:16" x14ac:dyDescent="0.3">
      <c r="A363" t="s">
        <v>95</v>
      </c>
      <c r="B363" t="s">
        <v>12</v>
      </c>
      <c r="C363" s="92">
        <v>42029</v>
      </c>
      <c r="D363" s="46">
        <v>1</v>
      </c>
      <c r="E363" s="47">
        <v>5676</v>
      </c>
      <c r="F363" t="s">
        <v>33</v>
      </c>
      <c r="J363" t="s">
        <v>720</v>
      </c>
      <c r="K363">
        <f>COUNTIF($A$1:A363,A363)</f>
        <v>1</v>
      </c>
      <c r="L363" t="str">
        <f>VLOOKUP(A363,'Cadastro de Produtos'!A:B,2,0)</f>
        <v>Fonte para Notebook AC Adapter PA-9 PA-1900-05D 20V PN 6G356</v>
      </c>
      <c r="M363">
        <f t="shared" si="20"/>
        <v>1</v>
      </c>
      <c r="N363">
        <f t="shared" si="21"/>
        <v>0</v>
      </c>
      <c r="O363">
        <f t="shared" si="22"/>
        <v>0</v>
      </c>
      <c r="P363">
        <f t="shared" si="23"/>
        <v>1</v>
      </c>
    </row>
    <row r="364" spans="1:16" x14ac:dyDescent="0.3">
      <c r="A364" t="s">
        <v>96</v>
      </c>
      <c r="B364" t="s">
        <v>12</v>
      </c>
      <c r="C364" s="92">
        <v>42029</v>
      </c>
      <c r="D364" s="46">
        <v>1</v>
      </c>
      <c r="E364" s="47">
        <v>5676</v>
      </c>
      <c r="F364" t="s">
        <v>33</v>
      </c>
      <c r="J364" t="s">
        <v>720</v>
      </c>
      <c r="K364">
        <f>COUNTIF($A$1:A364,A364)</f>
        <v>1</v>
      </c>
      <c r="L364" t="str">
        <f>VLOOKUP(A364,'Cadastro de Produtos'!A:B,2,0)</f>
        <v>Fonte SEVENTEAM 1000W REAL HURRICANE ST-1000EAZ</v>
      </c>
      <c r="M364">
        <f t="shared" si="20"/>
        <v>1</v>
      </c>
      <c r="N364">
        <f t="shared" si="21"/>
        <v>0</v>
      </c>
      <c r="O364">
        <f t="shared" si="22"/>
        <v>0</v>
      </c>
      <c r="P364">
        <f t="shared" si="23"/>
        <v>1</v>
      </c>
    </row>
    <row r="365" spans="1:16" x14ac:dyDescent="0.3">
      <c r="A365" t="s">
        <v>97</v>
      </c>
      <c r="B365" t="s">
        <v>12</v>
      </c>
      <c r="C365" s="92">
        <v>42029</v>
      </c>
      <c r="D365" s="46">
        <v>1</v>
      </c>
      <c r="E365" s="47">
        <v>959</v>
      </c>
      <c r="F365" t="s">
        <v>33</v>
      </c>
      <c r="J365" t="s">
        <v>720</v>
      </c>
      <c r="K365">
        <f>COUNTIF($A$1:A365,A365)</f>
        <v>1</v>
      </c>
      <c r="L365" t="str">
        <f>VLOOKUP(A365,'Cadastro de Produtos'!A:B,2,0)</f>
        <v>Fonte SEVENTEAM 460W REAL ST-460BKM V2.0 BLACK</v>
      </c>
      <c r="M365">
        <f t="shared" si="20"/>
        <v>1</v>
      </c>
      <c r="N365">
        <f t="shared" si="21"/>
        <v>0</v>
      </c>
      <c r="O365">
        <f t="shared" si="22"/>
        <v>0</v>
      </c>
      <c r="P365">
        <f t="shared" si="23"/>
        <v>1</v>
      </c>
    </row>
    <row r="366" spans="1:16" x14ac:dyDescent="0.3">
      <c r="A366" t="s">
        <v>98</v>
      </c>
      <c r="B366" t="s">
        <v>12</v>
      </c>
      <c r="C366" s="92">
        <v>42029</v>
      </c>
      <c r="D366" s="46">
        <v>1</v>
      </c>
      <c r="E366" s="47">
        <v>259</v>
      </c>
      <c r="F366" t="s">
        <v>33</v>
      </c>
      <c r="J366" t="s">
        <v>720</v>
      </c>
      <c r="K366">
        <f>COUNTIF($A$1:A366,A366)</f>
        <v>1</v>
      </c>
      <c r="L366" t="str">
        <f>VLOOKUP(A366,'Cadastro de Produtos'!A:B,2,0)</f>
        <v>Fonte SEVENTEAM 500W REAL ST-500BAZ V2.2 BLACK</v>
      </c>
      <c r="M366">
        <f t="shared" si="20"/>
        <v>1</v>
      </c>
      <c r="N366">
        <f t="shared" si="21"/>
        <v>0</v>
      </c>
      <c r="O366">
        <f t="shared" si="22"/>
        <v>0</v>
      </c>
      <c r="P366">
        <f t="shared" si="23"/>
        <v>1</v>
      </c>
    </row>
    <row r="367" spans="1:16" x14ac:dyDescent="0.3">
      <c r="A367" t="s">
        <v>100</v>
      </c>
      <c r="B367" t="s">
        <v>12</v>
      </c>
      <c r="C367" s="92">
        <v>42029</v>
      </c>
      <c r="D367" s="46">
        <v>1</v>
      </c>
      <c r="E367" s="47">
        <v>1374</v>
      </c>
      <c r="F367" t="s">
        <v>33</v>
      </c>
      <c r="J367" t="s">
        <v>720</v>
      </c>
      <c r="K367">
        <f>COUNTIF($A$1:A367,A367)</f>
        <v>1</v>
      </c>
      <c r="L367" t="str">
        <f>VLOOKUP(A367,'Cadastro de Produtos'!A:B,2,0)</f>
        <v>Fonte SEVENTEAM 850W V-FORCE ST-850Z-AF V2.3</v>
      </c>
      <c r="M367">
        <f t="shared" si="20"/>
        <v>1</v>
      </c>
      <c r="N367">
        <f t="shared" si="21"/>
        <v>0</v>
      </c>
      <c r="O367">
        <f t="shared" si="22"/>
        <v>0</v>
      </c>
      <c r="P367">
        <f t="shared" si="23"/>
        <v>1</v>
      </c>
    </row>
    <row r="368" spans="1:16" x14ac:dyDescent="0.3">
      <c r="A368" t="s">
        <v>101</v>
      </c>
      <c r="B368" t="s">
        <v>12</v>
      </c>
      <c r="C368" s="92">
        <v>42029</v>
      </c>
      <c r="D368" s="46">
        <v>1</v>
      </c>
      <c r="E368" s="47">
        <v>700</v>
      </c>
      <c r="F368" t="s">
        <v>33</v>
      </c>
      <c r="J368" t="s">
        <v>720</v>
      </c>
      <c r="K368">
        <f>COUNTIF($A$1:A368,A368)</f>
        <v>1</v>
      </c>
      <c r="L368" t="str">
        <f>VLOOKUP(A368,'Cadastro de Produtos'!A:B,2,0)</f>
        <v>Fonte Zalman 360W ZM360B-APS Ver2.2</v>
      </c>
      <c r="M368">
        <f t="shared" si="20"/>
        <v>1</v>
      </c>
      <c r="N368">
        <f t="shared" si="21"/>
        <v>0</v>
      </c>
      <c r="O368">
        <f t="shared" si="22"/>
        <v>0</v>
      </c>
      <c r="P368">
        <f t="shared" si="23"/>
        <v>1</v>
      </c>
    </row>
    <row r="369" spans="1:16" x14ac:dyDescent="0.3">
      <c r="A369" t="s">
        <v>99</v>
      </c>
      <c r="B369" t="s">
        <v>12</v>
      </c>
      <c r="C369" s="92">
        <v>42029</v>
      </c>
      <c r="D369" s="46">
        <v>2</v>
      </c>
      <c r="E369" s="47">
        <v>1300</v>
      </c>
      <c r="F369" t="s">
        <v>33</v>
      </c>
      <c r="J369" t="s">
        <v>720</v>
      </c>
      <c r="K369">
        <f>COUNTIF($A$1:A369,A369)</f>
        <v>1</v>
      </c>
      <c r="L369" t="str">
        <f>VLOOKUP(A369,'Cadastro de Produtos'!A:B,2,0)</f>
        <v>Fonte SEVENTEAM 750W REAL V-FORCE ST-750Z-AF V2.3</v>
      </c>
      <c r="M369">
        <f t="shared" si="20"/>
        <v>2</v>
      </c>
      <c r="N369">
        <f t="shared" si="21"/>
        <v>0</v>
      </c>
      <c r="O369">
        <f t="shared" si="22"/>
        <v>0</v>
      </c>
      <c r="P369">
        <f t="shared" si="23"/>
        <v>2</v>
      </c>
    </row>
    <row r="370" spans="1:16" x14ac:dyDescent="0.3">
      <c r="A370" t="s">
        <v>99</v>
      </c>
      <c r="B370" t="s">
        <v>17</v>
      </c>
      <c r="C370" s="92">
        <v>42029</v>
      </c>
      <c r="D370" s="46">
        <v>1</v>
      </c>
      <c r="E370" s="47">
        <v>0</v>
      </c>
      <c r="F370" t="s">
        <v>56</v>
      </c>
      <c r="J370" t="s">
        <v>720</v>
      </c>
      <c r="K370">
        <f>COUNTIF($A$1:A370,A370)</f>
        <v>2</v>
      </c>
      <c r="L370" t="str">
        <f>VLOOKUP(A370,'Cadastro de Produtos'!A:B,2,0)</f>
        <v>Fonte SEVENTEAM 750W REAL V-FORCE ST-750Z-AF V2.3</v>
      </c>
      <c r="M370">
        <f t="shared" si="20"/>
        <v>0</v>
      </c>
      <c r="N370">
        <f t="shared" si="21"/>
        <v>1</v>
      </c>
      <c r="O370">
        <f t="shared" si="22"/>
        <v>-1</v>
      </c>
      <c r="P370">
        <f t="shared" si="23"/>
        <v>-1</v>
      </c>
    </row>
    <row r="371" spans="1:16" x14ac:dyDescent="0.3">
      <c r="A371" t="s">
        <v>102</v>
      </c>
      <c r="B371" t="s">
        <v>12</v>
      </c>
      <c r="C371" s="92">
        <v>42029</v>
      </c>
      <c r="D371" s="46">
        <v>2</v>
      </c>
      <c r="E371" s="47">
        <v>17.37</v>
      </c>
      <c r="F371" t="s">
        <v>33</v>
      </c>
      <c r="J371" t="s">
        <v>720</v>
      </c>
      <c r="K371">
        <f>COUNTIF($A$1:A371,A371)</f>
        <v>1</v>
      </c>
      <c r="L371" t="str">
        <f>VLOOKUP(A371,'Cadastro de Produtos'!A:B,2,0)</f>
        <v>Fonte Zalman 460W ZM460B-APS Ver2.2</v>
      </c>
      <c r="M371">
        <f t="shared" si="20"/>
        <v>2</v>
      </c>
      <c r="N371">
        <f t="shared" si="21"/>
        <v>0</v>
      </c>
      <c r="O371">
        <f t="shared" si="22"/>
        <v>0</v>
      </c>
      <c r="P371">
        <f t="shared" si="23"/>
        <v>2</v>
      </c>
    </row>
    <row r="372" spans="1:16" x14ac:dyDescent="0.3">
      <c r="A372" t="s">
        <v>103</v>
      </c>
      <c r="B372" t="s">
        <v>12</v>
      </c>
      <c r="C372" s="92">
        <v>42029</v>
      </c>
      <c r="D372" s="46">
        <v>3</v>
      </c>
      <c r="E372" s="47">
        <v>25.21</v>
      </c>
      <c r="F372" t="s">
        <v>33</v>
      </c>
      <c r="J372" t="s">
        <v>720</v>
      </c>
      <c r="K372">
        <f>COUNTIF($A$1:A372,A372)</f>
        <v>1</v>
      </c>
      <c r="L372" t="str">
        <f>VLOOKUP(A372,'Cadastro de Produtos'!A:B,2,0)</f>
        <v>Fonte Zalman 500W ZM500-ST 2.3 80 Plus</v>
      </c>
      <c r="M372">
        <f t="shared" si="20"/>
        <v>3</v>
      </c>
      <c r="N372">
        <f t="shared" si="21"/>
        <v>0</v>
      </c>
      <c r="O372">
        <f t="shared" si="22"/>
        <v>0</v>
      </c>
      <c r="P372">
        <f t="shared" si="23"/>
        <v>3</v>
      </c>
    </row>
    <row r="373" spans="1:16" x14ac:dyDescent="0.3">
      <c r="A373" t="s">
        <v>104</v>
      </c>
      <c r="B373" t="s">
        <v>12</v>
      </c>
      <c r="C373" s="92">
        <v>42029</v>
      </c>
      <c r="D373" s="46">
        <v>1</v>
      </c>
      <c r="E373" s="47">
        <v>19.899999999999999</v>
      </c>
      <c r="F373" t="s">
        <v>33</v>
      </c>
      <c r="J373" t="s">
        <v>720</v>
      </c>
      <c r="K373">
        <f>COUNTIF($A$1:A373,A373)</f>
        <v>1</v>
      </c>
      <c r="L373" t="str">
        <f>VLOOKUP(A373,'Cadastro de Produtos'!A:B,2,0)</f>
        <v>Fonte Zalman 600W ZM600-ST 2.3 80 Plus</v>
      </c>
      <c r="M373">
        <f t="shared" si="20"/>
        <v>1</v>
      </c>
      <c r="N373">
        <f t="shared" si="21"/>
        <v>0</v>
      </c>
      <c r="O373">
        <f t="shared" si="22"/>
        <v>0</v>
      </c>
      <c r="P373">
        <f t="shared" si="23"/>
        <v>1</v>
      </c>
    </row>
    <row r="374" spans="1:16" x14ac:dyDescent="0.3">
      <c r="A374" t="s">
        <v>105</v>
      </c>
      <c r="B374" t="s">
        <v>12</v>
      </c>
      <c r="C374" s="92">
        <v>42029</v>
      </c>
      <c r="D374" s="46">
        <v>1</v>
      </c>
      <c r="E374" s="47">
        <v>7.9</v>
      </c>
      <c r="F374" t="s">
        <v>33</v>
      </c>
      <c r="J374" t="s">
        <v>720</v>
      </c>
      <c r="K374">
        <f>COUNTIF($A$1:A374,A374)</f>
        <v>1</v>
      </c>
      <c r="L374" t="str">
        <f>VLOOKUP(A374,'Cadastro de Produtos'!A:B,2,0)</f>
        <v>Fonte Zalman 750W ZM750-HP v2.2</v>
      </c>
      <c r="M374">
        <f t="shared" si="20"/>
        <v>1</v>
      </c>
      <c r="N374">
        <f t="shared" si="21"/>
        <v>0</v>
      </c>
      <c r="O374">
        <f t="shared" si="22"/>
        <v>0</v>
      </c>
      <c r="P374">
        <f t="shared" si="23"/>
        <v>1</v>
      </c>
    </row>
    <row r="375" spans="1:16" x14ac:dyDescent="0.3">
      <c r="A375" t="s">
        <v>106</v>
      </c>
      <c r="B375" t="s">
        <v>12</v>
      </c>
      <c r="C375" s="92">
        <v>42029</v>
      </c>
      <c r="D375" s="46">
        <v>1</v>
      </c>
      <c r="E375" s="47">
        <v>89.9</v>
      </c>
      <c r="F375" t="s">
        <v>33</v>
      </c>
      <c r="J375" t="s">
        <v>720</v>
      </c>
      <c r="K375">
        <f>COUNTIF($A$1:A375,A375)</f>
        <v>1</v>
      </c>
      <c r="L375" t="str">
        <f>VLOOKUP(A375,'Cadastro de Produtos'!A:B,2,0)</f>
        <v>Fonte Zalman 850W ZM850-HP v2.2</v>
      </c>
      <c r="M375">
        <f t="shared" si="20"/>
        <v>1</v>
      </c>
      <c r="N375">
        <f t="shared" si="21"/>
        <v>0</v>
      </c>
      <c r="O375">
        <f t="shared" si="22"/>
        <v>0</v>
      </c>
      <c r="P375">
        <f t="shared" si="23"/>
        <v>1</v>
      </c>
    </row>
    <row r="376" spans="1:16" x14ac:dyDescent="0.3">
      <c r="A376" t="s">
        <v>107</v>
      </c>
      <c r="B376" t="s">
        <v>12</v>
      </c>
      <c r="C376" s="92">
        <v>42029</v>
      </c>
      <c r="D376" s="46">
        <v>3</v>
      </c>
      <c r="E376" s="47">
        <v>51.9</v>
      </c>
      <c r="F376" t="s">
        <v>33</v>
      </c>
      <c r="J376" t="s">
        <v>720</v>
      </c>
      <c r="K376">
        <f>COUNTIF($A$1:A376,A376)</f>
        <v>1</v>
      </c>
      <c r="L376" t="str">
        <f>VLOOKUP(A376,'Cadastro de Produtos'!A:B,2,0)</f>
        <v>Fonte Zippy Mini-Redundante 420W MRW-6420P</v>
      </c>
      <c r="M376">
        <f t="shared" si="20"/>
        <v>3</v>
      </c>
      <c r="N376">
        <f t="shared" si="21"/>
        <v>0</v>
      </c>
      <c r="O376">
        <f t="shared" si="22"/>
        <v>0</v>
      </c>
      <c r="P376">
        <f t="shared" si="23"/>
        <v>3</v>
      </c>
    </row>
    <row r="377" spans="1:16" x14ac:dyDescent="0.3">
      <c r="A377" t="s">
        <v>108</v>
      </c>
      <c r="B377" t="s">
        <v>12</v>
      </c>
      <c r="C377" s="92">
        <v>42029</v>
      </c>
      <c r="D377" s="46">
        <v>2</v>
      </c>
      <c r="E377" s="47">
        <v>34.9</v>
      </c>
      <c r="F377" t="s">
        <v>33</v>
      </c>
      <c r="J377" t="s">
        <v>720</v>
      </c>
      <c r="K377">
        <f>COUNTIF($A$1:A377,A377)</f>
        <v>1</v>
      </c>
      <c r="L377" t="str">
        <f>VLOOKUP(A377,'Cadastro de Produtos'!A:B,2,0)</f>
        <v>Frente CD/DVD Asus F9s</v>
      </c>
      <c r="M377">
        <f t="shared" si="20"/>
        <v>2</v>
      </c>
      <c r="N377">
        <f t="shared" si="21"/>
        <v>0</v>
      </c>
      <c r="O377">
        <f t="shared" si="22"/>
        <v>0</v>
      </c>
      <c r="P377">
        <f t="shared" si="23"/>
        <v>2</v>
      </c>
    </row>
    <row r="378" spans="1:16" x14ac:dyDescent="0.3">
      <c r="A378" t="s">
        <v>109</v>
      </c>
      <c r="B378" t="s">
        <v>12</v>
      </c>
      <c r="C378" s="92">
        <v>42029</v>
      </c>
      <c r="D378" s="46">
        <v>1</v>
      </c>
      <c r="E378" s="47">
        <v>190.9</v>
      </c>
      <c r="F378" t="s">
        <v>33</v>
      </c>
      <c r="J378" t="s">
        <v>720</v>
      </c>
      <c r="K378">
        <f>COUNTIF($A$1:A378,A378)</f>
        <v>1</v>
      </c>
      <c r="L378" t="str">
        <f>VLOOKUP(A378,'Cadastro de Produtos'!A:B,2,0)</f>
        <v>Gabinete Casemall ATX R530 Slim (sem fonte)</v>
      </c>
      <c r="M378">
        <f t="shared" si="20"/>
        <v>1</v>
      </c>
      <c r="N378">
        <f t="shared" si="21"/>
        <v>0</v>
      </c>
      <c r="O378">
        <f t="shared" si="22"/>
        <v>0</v>
      </c>
      <c r="P378">
        <f t="shared" si="23"/>
        <v>1</v>
      </c>
    </row>
    <row r="379" spans="1:16" x14ac:dyDescent="0.3">
      <c r="A379" t="s">
        <v>110</v>
      </c>
      <c r="B379" t="s">
        <v>12</v>
      </c>
      <c r="C379" s="92">
        <v>42029</v>
      </c>
      <c r="D379" s="46">
        <v>1</v>
      </c>
      <c r="E379" s="47">
        <v>203.18</v>
      </c>
      <c r="F379" t="s">
        <v>33</v>
      </c>
      <c r="J379" t="s">
        <v>720</v>
      </c>
      <c r="K379">
        <f>COUNTIF($A$1:A379,A379)</f>
        <v>1</v>
      </c>
      <c r="L379" t="str">
        <f>VLOOKUP(A379,'Cadastro de Produtos'!A:B,2,0)</f>
        <v>Gabinete Casemall L1100 T.Rex Cool ATX (s/ fonte)</v>
      </c>
      <c r="M379">
        <f t="shared" si="20"/>
        <v>1</v>
      </c>
      <c r="N379">
        <f t="shared" si="21"/>
        <v>0</v>
      </c>
      <c r="O379">
        <f t="shared" si="22"/>
        <v>0</v>
      </c>
      <c r="P379">
        <f t="shared" si="23"/>
        <v>1</v>
      </c>
    </row>
    <row r="380" spans="1:16" x14ac:dyDescent="0.3">
      <c r="A380" t="s">
        <v>111</v>
      </c>
      <c r="B380" t="s">
        <v>12</v>
      </c>
      <c r="C380" s="92">
        <v>42029</v>
      </c>
      <c r="D380" s="46">
        <v>0</v>
      </c>
      <c r="E380" s="47">
        <v>44.04</v>
      </c>
      <c r="F380" t="s">
        <v>33</v>
      </c>
      <c r="J380" t="s">
        <v>720</v>
      </c>
      <c r="K380">
        <f>COUNTIF($A$1:A380,A380)</f>
        <v>1</v>
      </c>
      <c r="L380" t="str">
        <f>VLOOKUP(A380,'Cadastro de Produtos'!A:B,2,0)</f>
        <v>Gabinete GMC K1 MUSE MULTIMEDIA BLACK (s/ fonte)</v>
      </c>
      <c r="M380">
        <f t="shared" si="20"/>
        <v>0</v>
      </c>
      <c r="N380">
        <f t="shared" si="21"/>
        <v>0</v>
      </c>
      <c r="O380">
        <f t="shared" si="22"/>
        <v>0</v>
      </c>
      <c r="P380">
        <f t="shared" si="23"/>
        <v>0</v>
      </c>
    </row>
    <row r="381" spans="1:16" x14ac:dyDescent="0.3">
      <c r="A381" t="s">
        <v>112</v>
      </c>
      <c r="B381" t="s">
        <v>12</v>
      </c>
      <c r="C381" s="92">
        <v>42029</v>
      </c>
      <c r="D381" s="46">
        <v>1</v>
      </c>
      <c r="E381" s="47">
        <v>17.88</v>
      </c>
      <c r="F381" t="s">
        <v>33</v>
      </c>
      <c r="J381" t="s">
        <v>720</v>
      </c>
      <c r="K381">
        <f>COUNTIF($A$1:A381,A381)</f>
        <v>1</v>
      </c>
      <c r="L381" t="str">
        <f>VLOOKUP(A381,'Cadastro de Produtos'!A:B,2,0)</f>
        <v>Gabinete GMC R2 TOAST ATX Preto (s/ fonte)</v>
      </c>
      <c r="M381">
        <f t="shared" si="20"/>
        <v>1</v>
      </c>
      <c r="N381">
        <f t="shared" si="21"/>
        <v>0</v>
      </c>
      <c r="O381">
        <f t="shared" si="22"/>
        <v>0</v>
      </c>
      <c r="P381">
        <f t="shared" si="23"/>
        <v>1</v>
      </c>
    </row>
    <row r="382" spans="1:16" x14ac:dyDescent="0.3">
      <c r="A382" t="s">
        <v>113</v>
      </c>
      <c r="B382" t="s">
        <v>12</v>
      </c>
      <c r="C382" s="92">
        <v>42029</v>
      </c>
      <c r="D382" s="46">
        <v>1</v>
      </c>
      <c r="E382" s="47">
        <v>149.99</v>
      </c>
      <c r="F382" t="s">
        <v>33</v>
      </c>
      <c r="J382" t="s">
        <v>720</v>
      </c>
      <c r="K382">
        <f>COUNTIF($A$1:A382,A382)</f>
        <v>1</v>
      </c>
      <c r="L382" t="str">
        <f>VLOOKUP(A382,'Cadastro de Produtos'!A:B,2,0)</f>
        <v>Gabinete HM NK510 ATX 2 baias (s/ fonte) Preto</v>
      </c>
      <c r="M382">
        <f t="shared" si="20"/>
        <v>1</v>
      </c>
      <c r="N382">
        <f t="shared" si="21"/>
        <v>0</v>
      </c>
      <c r="O382">
        <f t="shared" si="22"/>
        <v>0</v>
      </c>
      <c r="P382">
        <f t="shared" si="23"/>
        <v>1</v>
      </c>
    </row>
    <row r="383" spans="1:16" x14ac:dyDescent="0.3">
      <c r="A383" t="s">
        <v>114</v>
      </c>
      <c r="B383" t="s">
        <v>12</v>
      </c>
      <c r="C383" s="92">
        <v>42029</v>
      </c>
      <c r="D383" s="46">
        <v>5</v>
      </c>
      <c r="E383" s="47">
        <v>9.11</v>
      </c>
      <c r="F383" t="s">
        <v>33</v>
      </c>
      <c r="J383" t="s">
        <v>720</v>
      </c>
      <c r="K383">
        <f>COUNTIF($A$1:A383,A383)</f>
        <v>1</v>
      </c>
      <c r="L383" t="str">
        <f>VLOOKUP(A383,'Cadastro de Produtos'!A:B,2,0)</f>
        <v>Gabinete HM NK770 ATX 4 baias (s/ fonte) Preto</v>
      </c>
      <c r="M383">
        <f t="shared" si="20"/>
        <v>5</v>
      </c>
      <c r="N383">
        <f t="shared" si="21"/>
        <v>0</v>
      </c>
      <c r="O383">
        <f t="shared" si="22"/>
        <v>0</v>
      </c>
      <c r="P383">
        <f t="shared" si="23"/>
        <v>5</v>
      </c>
    </row>
    <row r="384" spans="1:16" x14ac:dyDescent="0.3">
      <c r="A384" t="s">
        <v>115</v>
      </c>
      <c r="B384" t="s">
        <v>12</v>
      </c>
      <c r="C384" s="92">
        <v>42029</v>
      </c>
      <c r="D384" s="46">
        <v>1</v>
      </c>
      <c r="E384" s="47">
        <v>5.75</v>
      </c>
      <c r="F384" t="s">
        <v>33</v>
      </c>
      <c r="J384" t="s">
        <v>720</v>
      </c>
      <c r="K384">
        <f>COUNTIF($A$1:A384,A384)</f>
        <v>1</v>
      </c>
      <c r="L384" t="str">
        <f>VLOOKUP(A384,'Cadastro de Produtos'!A:B,2,0)</f>
        <v>Gabinete HM NK770 ATX 4 baias 250W/500W Preto</v>
      </c>
      <c r="M384">
        <f t="shared" si="20"/>
        <v>1</v>
      </c>
      <c r="N384">
        <f t="shared" si="21"/>
        <v>0</v>
      </c>
      <c r="O384">
        <f t="shared" si="22"/>
        <v>0</v>
      </c>
      <c r="P384">
        <f t="shared" si="23"/>
        <v>1</v>
      </c>
    </row>
    <row r="385" spans="1:16" x14ac:dyDescent="0.3">
      <c r="A385" t="s">
        <v>116</v>
      </c>
      <c r="B385" t="s">
        <v>12</v>
      </c>
      <c r="C385" s="92">
        <v>42029</v>
      </c>
      <c r="D385" s="46">
        <v>0</v>
      </c>
      <c r="E385" s="47">
        <v>5.68</v>
      </c>
      <c r="F385" t="s">
        <v>33</v>
      </c>
      <c r="J385" t="s">
        <v>720</v>
      </c>
      <c r="K385">
        <f>COUNTIF($A$1:A385,A385)</f>
        <v>1</v>
      </c>
      <c r="L385" t="str">
        <f>VLOOKUP(A385,'Cadastro de Produtos'!A:B,2,0)</f>
        <v>Gabinete Intel SC5650BRP (FONTE 600W + HOT SWAP)</v>
      </c>
      <c r="M385">
        <f t="shared" si="20"/>
        <v>0</v>
      </c>
      <c r="N385">
        <f t="shared" si="21"/>
        <v>0</v>
      </c>
      <c r="O385">
        <f t="shared" si="22"/>
        <v>0</v>
      </c>
      <c r="P385">
        <f t="shared" si="23"/>
        <v>0</v>
      </c>
    </row>
    <row r="386" spans="1:16" x14ac:dyDescent="0.3">
      <c r="A386" t="s">
        <v>118</v>
      </c>
      <c r="B386" t="s">
        <v>12</v>
      </c>
      <c r="C386" s="92">
        <v>42029</v>
      </c>
      <c r="D386" s="46">
        <v>5</v>
      </c>
      <c r="E386" s="47">
        <v>25.44</v>
      </c>
      <c r="F386" t="s">
        <v>33</v>
      </c>
      <c r="J386" t="s">
        <v>720</v>
      </c>
      <c r="K386">
        <f>COUNTIF($A$1:A386,A386)</f>
        <v>1</v>
      </c>
      <c r="L386" t="str">
        <f>VLOOKUP(A386,'Cadastro de Produtos'!A:B,2,0)</f>
        <v>Gabinete Nilko NK 310 MINI ITX (160W)</v>
      </c>
      <c r="M386">
        <f t="shared" ref="M386:M449" si="24">SUMIF(B386,"E",D386:D386)</f>
        <v>5</v>
      </c>
      <c r="N386">
        <f t="shared" ref="N386:N449" si="25">SUMIF(B386,"S",D386:D386)</f>
        <v>0</v>
      </c>
      <c r="O386">
        <f t="shared" ref="O386:O449" si="26">N386*-1</f>
        <v>0</v>
      </c>
      <c r="P386">
        <f t="shared" ref="P386:P449" si="27">SUM(M386+O386)</f>
        <v>5</v>
      </c>
    </row>
    <row r="387" spans="1:16" x14ac:dyDescent="0.3">
      <c r="A387" t="s">
        <v>117</v>
      </c>
      <c r="B387" t="s">
        <v>12</v>
      </c>
      <c r="C387" s="92">
        <v>42029</v>
      </c>
      <c r="D387" s="46">
        <v>4</v>
      </c>
      <c r="E387" s="47">
        <v>46.9</v>
      </c>
      <c r="F387" t="s">
        <v>33</v>
      </c>
      <c r="J387" t="s">
        <v>720</v>
      </c>
      <c r="K387">
        <f>COUNTIF($A$1:A387,A387)</f>
        <v>1</v>
      </c>
      <c r="L387" t="str">
        <f>VLOOKUP(A387,'Cadastro de Produtos'!A:B,2,0)</f>
        <v>Gabinete Mtek D-09 2b Preto</v>
      </c>
      <c r="M387">
        <f t="shared" si="24"/>
        <v>4</v>
      </c>
      <c r="N387">
        <f t="shared" si="25"/>
        <v>0</v>
      </c>
      <c r="O387">
        <f t="shared" si="26"/>
        <v>0</v>
      </c>
      <c r="P387">
        <f t="shared" si="27"/>
        <v>4</v>
      </c>
    </row>
    <row r="388" spans="1:16" x14ac:dyDescent="0.3">
      <c r="A388" t="s">
        <v>120</v>
      </c>
      <c r="B388" t="s">
        <v>12</v>
      </c>
      <c r="C388" s="92">
        <v>42029</v>
      </c>
      <c r="D388" s="46">
        <v>0</v>
      </c>
      <c r="E388" s="47">
        <v>8.9499999999999993</v>
      </c>
      <c r="F388" t="s">
        <v>33</v>
      </c>
      <c r="J388" t="s">
        <v>720</v>
      </c>
      <c r="K388">
        <f>COUNTIF($A$1:A388,A388)</f>
        <v>1</v>
      </c>
      <c r="L388" t="str">
        <f>VLOOKUP(A388,'Cadastro de Produtos'!A:B,2,0)</f>
        <v>Gabinete NZXT Apollo Preto</v>
      </c>
      <c r="M388">
        <f t="shared" si="24"/>
        <v>0</v>
      </c>
      <c r="N388">
        <f t="shared" si="25"/>
        <v>0</v>
      </c>
      <c r="O388">
        <f t="shared" si="26"/>
        <v>0</v>
      </c>
      <c r="P388">
        <f t="shared" si="27"/>
        <v>0</v>
      </c>
    </row>
    <row r="389" spans="1:16" x14ac:dyDescent="0.3">
      <c r="A389" t="s">
        <v>119</v>
      </c>
      <c r="B389" t="s">
        <v>12</v>
      </c>
      <c r="C389" s="92">
        <v>42029</v>
      </c>
      <c r="D389" s="46">
        <v>1</v>
      </c>
      <c r="E389" s="47">
        <v>2.09</v>
      </c>
      <c r="F389" t="s">
        <v>33</v>
      </c>
      <c r="J389" t="s">
        <v>720</v>
      </c>
      <c r="K389">
        <f>COUNTIF($A$1:A389,A389)</f>
        <v>1</v>
      </c>
      <c r="L389" t="str">
        <f>VLOOKUP(A389,'Cadastro de Produtos'!A:B,2,0)</f>
        <v>Gabinete NZXT Alpha Tunning Preto</v>
      </c>
      <c r="M389">
        <f t="shared" si="24"/>
        <v>1</v>
      </c>
      <c r="N389">
        <f t="shared" si="25"/>
        <v>0</v>
      </c>
      <c r="O389">
        <f t="shared" si="26"/>
        <v>0</v>
      </c>
      <c r="P389">
        <f t="shared" si="27"/>
        <v>1</v>
      </c>
    </row>
    <row r="390" spans="1:16" x14ac:dyDescent="0.3">
      <c r="A390" t="s">
        <v>121</v>
      </c>
      <c r="B390" t="s">
        <v>12</v>
      </c>
      <c r="C390" s="92">
        <v>42029</v>
      </c>
      <c r="D390" s="46">
        <v>2</v>
      </c>
      <c r="E390" s="47">
        <v>19.989999999999998</v>
      </c>
      <c r="F390" t="s">
        <v>33</v>
      </c>
      <c r="J390" t="s">
        <v>720</v>
      </c>
      <c r="K390">
        <f>COUNTIF($A$1:A390,A390)</f>
        <v>1</v>
      </c>
      <c r="L390" t="str">
        <f>VLOOKUP(A390,'Cadastro de Produtos'!A:B,2,0)</f>
        <v>Gabinete NZXT Beta Evo Preto</v>
      </c>
      <c r="M390">
        <f t="shared" si="24"/>
        <v>2</v>
      </c>
      <c r="N390">
        <f t="shared" si="25"/>
        <v>0</v>
      </c>
      <c r="O390">
        <f t="shared" si="26"/>
        <v>0</v>
      </c>
      <c r="P390">
        <f t="shared" si="27"/>
        <v>2</v>
      </c>
    </row>
    <row r="391" spans="1:16" x14ac:dyDescent="0.3">
      <c r="A391" t="s">
        <v>122</v>
      </c>
      <c r="B391" t="s">
        <v>12</v>
      </c>
      <c r="C391" s="92">
        <v>42029</v>
      </c>
      <c r="D391" s="46">
        <v>2</v>
      </c>
      <c r="E391" s="47">
        <v>51.9</v>
      </c>
      <c r="F391" t="s">
        <v>33</v>
      </c>
      <c r="J391" t="s">
        <v>720</v>
      </c>
      <c r="K391">
        <f>COUNTIF($A$1:A391,A391)</f>
        <v>1</v>
      </c>
      <c r="L391" t="str">
        <f>VLOOKUP(A391,'Cadastro de Produtos'!A:B,2,0)</f>
        <v>Gabinete NZXT Gamma Cs-nt-(blk) Preto</v>
      </c>
      <c r="M391">
        <f t="shared" si="24"/>
        <v>2</v>
      </c>
      <c r="N391">
        <f t="shared" si="25"/>
        <v>0</v>
      </c>
      <c r="O391">
        <f t="shared" si="26"/>
        <v>0</v>
      </c>
      <c r="P391">
        <f t="shared" si="27"/>
        <v>2</v>
      </c>
    </row>
    <row r="392" spans="1:16" x14ac:dyDescent="0.3">
      <c r="A392" t="s">
        <v>123</v>
      </c>
      <c r="B392" t="s">
        <v>12</v>
      </c>
      <c r="C392" s="92">
        <v>42029</v>
      </c>
      <c r="D392" s="46">
        <v>1</v>
      </c>
      <c r="E392" s="47">
        <v>241</v>
      </c>
      <c r="F392" t="s">
        <v>33</v>
      </c>
      <c r="J392" t="s">
        <v>720</v>
      </c>
      <c r="K392">
        <f>COUNTIF($A$1:A392,A392)</f>
        <v>1</v>
      </c>
      <c r="L392" t="str">
        <f>VLOOKUP(A392,'Cadastro de Produtos'!A:B,2,0)</f>
        <v>Gabinete NZXT Guardian 921 Preto</v>
      </c>
      <c r="M392">
        <f t="shared" si="24"/>
        <v>1</v>
      </c>
      <c r="N392">
        <f t="shared" si="25"/>
        <v>0</v>
      </c>
      <c r="O392">
        <f t="shared" si="26"/>
        <v>0</v>
      </c>
      <c r="P392">
        <f t="shared" si="27"/>
        <v>1</v>
      </c>
    </row>
    <row r="393" spans="1:16" x14ac:dyDescent="0.3">
      <c r="A393" t="s">
        <v>124</v>
      </c>
      <c r="B393" t="s">
        <v>12</v>
      </c>
      <c r="C393" s="92">
        <v>42029</v>
      </c>
      <c r="D393" s="46">
        <v>0</v>
      </c>
      <c r="E393" s="47">
        <v>2</v>
      </c>
      <c r="F393" t="s">
        <v>33</v>
      </c>
      <c r="J393" t="s">
        <v>720</v>
      </c>
      <c r="K393">
        <f>COUNTIF($A$1:A393,A393)</f>
        <v>1</v>
      </c>
      <c r="L393" t="str">
        <f>VLOOKUP(A393,'Cadastro de Produtos'!A:B,2,0)</f>
        <v>Gabinete NZXT Lexa S Preto com Led Azul</v>
      </c>
      <c r="M393">
        <f t="shared" si="24"/>
        <v>0</v>
      </c>
      <c r="N393">
        <f t="shared" si="25"/>
        <v>0</v>
      </c>
      <c r="O393">
        <f t="shared" si="26"/>
        <v>0</v>
      </c>
      <c r="P393">
        <f t="shared" si="27"/>
        <v>0</v>
      </c>
    </row>
    <row r="394" spans="1:16" x14ac:dyDescent="0.3">
      <c r="A394" t="s">
        <v>125</v>
      </c>
      <c r="B394" t="s">
        <v>12</v>
      </c>
      <c r="C394" s="92">
        <v>42029</v>
      </c>
      <c r="D394" s="46">
        <v>0</v>
      </c>
      <c r="E394" s="47">
        <v>4.2</v>
      </c>
      <c r="F394" t="s">
        <v>33</v>
      </c>
      <c r="J394" t="s">
        <v>720</v>
      </c>
      <c r="K394">
        <f>COUNTIF($A$1:A394,A394)</f>
        <v>1</v>
      </c>
      <c r="L394" t="str">
        <f>VLOOKUP(A394,'Cadastro de Produtos'!A:B,2,0)</f>
        <v>Gabinete RACK 2U NILKO NK220 530 mm (s/ fonte)</v>
      </c>
      <c r="M394">
        <f t="shared" si="24"/>
        <v>0</v>
      </c>
      <c r="N394">
        <f t="shared" si="25"/>
        <v>0</v>
      </c>
      <c r="O394">
        <f t="shared" si="26"/>
        <v>0</v>
      </c>
      <c r="P394">
        <f t="shared" si="27"/>
        <v>0</v>
      </c>
    </row>
    <row r="395" spans="1:16" x14ac:dyDescent="0.3">
      <c r="A395" t="s">
        <v>126</v>
      </c>
      <c r="B395" t="s">
        <v>12</v>
      </c>
      <c r="C395" s="92">
        <v>42029</v>
      </c>
      <c r="D395" s="46">
        <v>1</v>
      </c>
      <c r="E395" s="47">
        <v>48.9</v>
      </c>
      <c r="F395" t="s">
        <v>33</v>
      </c>
      <c r="J395" t="s">
        <v>720</v>
      </c>
      <c r="K395">
        <f>COUNTIF($A$1:A395,A395)</f>
        <v>1</v>
      </c>
      <c r="L395" t="str">
        <f>VLOOKUP(A395,'Cadastro de Produtos'!A:B,2,0)</f>
        <v>Gabinete RACK 4U NILKO NK211 530mm (s/ fonte)</v>
      </c>
      <c r="M395">
        <f t="shared" si="24"/>
        <v>1</v>
      </c>
      <c r="N395">
        <f t="shared" si="25"/>
        <v>0</v>
      </c>
      <c r="O395">
        <f t="shared" si="26"/>
        <v>0</v>
      </c>
      <c r="P395">
        <f t="shared" si="27"/>
        <v>1</v>
      </c>
    </row>
    <row r="396" spans="1:16" x14ac:dyDescent="0.3">
      <c r="A396" t="s">
        <v>127</v>
      </c>
      <c r="B396" t="s">
        <v>12</v>
      </c>
      <c r="C396" s="92">
        <v>42029</v>
      </c>
      <c r="D396" s="46">
        <v>2</v>
      </c>
      <c r="E396" s="47">
        <v>19.79</v>
      </c>
      <c r="F396" t="s">
        <v>33</v>
      </c>
      <c r="J396" t="s">
        <v>720</v>
      </c>
      <c r="K396">
        <f>COUNTIF($A$1:A396,A396)</f>
        <v>1</v>
      </c>
      <c r="L396" t="str">
        <f>VLOOKUP(A396,'Cadastro de Produtos'!A:B,2,0)</f>
        <v>Gabinete Servidor Chieftec BH-02BBB ATX (s/ fonte)</v>
      </c>
      <c r="M396">
        <f t="shared" si="24"/>
        <v>2</v>
      </c>
      <c r="N396">
        <f t="shared" si="25"/>
        <v>0</v>
      </c>
      <c r="O396">
        <f t="shared" si="26"/>
        <v>0</v>
      </c>
      <c r="P396">
        <f t="shared" si="27"/>
        <v>2</v>
      </c>
    </row>
    <row r="397" spans="1:16" x14ac:dyDescent="0.3">
      <c r="A397" t="s">
        <v>130</v>
      </c>
      <c r="B397" t="s">
        <v>12</v>
      </c>
      <c r="C397" s="92">
        <v>42029</v>
      </c>
      <c r="D397" s="46">
        <v>2</v>
      </c>
      <c r="E397" s="47">
        <v>220</v>
      </c>
      <c r="F397" t="s">
        <v>33</v>
      </c>
      <c r="J397" t="s">
        <v>720</v>
      </c>
      <c r="K397">
        <f>COUNTIF($A$1:A397,A397)</f>
        <v>1</v>
      </c>
      <c r="L397" t="str">
        <f>VLOOKUP(A397,'Cadastro de Produtos'!A:B,2,0)</f>
        <v>Gaveta Externa Max power para HD SATA 3,5 USB</v>
      </c>
      <c r="M397">
        <f t="shared" si="24"/>
        <v>2</v>
      </c>
      <c r="N397">
        <f t="shared" si="25"/>
        <v>0</v>
      </c>
      <c r="O397">
        <f t="shared" si="26"/>
        <v>0</v>
      </c>
      <c r="P397">
        <f t="shared" si="27"/>
        <v>2</v>
      </c>
    </row>
    <row r="398" spans="1:16" x14ac:dyDescent="0.3">
      <c r="A398" t="s">
        <v>128</v>
      </c>
      <c r="B398" t="s">
        <v>12</v>
      </c>
      <c r="C398" s="92">
        <v>42029</v>
      </c>
      <c r="D398" s="46">
        <v>0</v>
      </c>
      <c r="E398" s="47">
        <v>63.09</v>
      </c>
      <c r="F398" t="s">
        <v>33</v>
      </c>
      <c r="J398" t="s">
        <v>720</v>
      </c>
      <c r="K398">
        <f>COUNTIF($A$1:A398,A398)</f>
        <v>1</v>
      </c>
      <c r="L398" t="str">
        <f>VLOOKUP(A398,'Cadastro de Produtos'!A:B,2,0)</f>
        <v>Gabinete THERMALTAKE SD100 MINI ITX C/ FONTE 120W</v>
      </c>
      <c r="M398">
        <f t="shared" si="24"/>
        <v>0</v>
      </c>
      <c r="N398">
        <f t="shared" si="25"/>
        <v>0</v>
      </c>
      <c r="O398">
        <f t="shared" si="26"/>
        <v>0</v>
      </c>
      <c r="P398">
        <f t="shared" si="27"/>
        <v>0</v>
      </c>
    </row>
    <row r="399" spans="1:16" x14ac:dyDescent="0.3">
      <c r="A399" t="s">
        <v>129</v>
      </c>
      <c r="B399" t="s">
        <v>12</v>
      </c>
      <c r="C399" s="92">
        <v>42029</v>
      </c>
      <c r="D399" s="46">
        <v>1</v>
      </c>
      <c r="E399" s="47">
        <v>12.49</v>
      </c>
      <c r="F399" t="s">
        <v>33</v>
      </c>
      <c r="J399" t="s">
        <v>720</v>
      </c>
      <c r="K399">
        <f>COUNTIF($A$1:A399,A399)</f>
        <v>1</v>
      </c>
      <c r="L399" t="str">
        <f>VLOOKUP(A399,'Cadastro de Produtos'!A:B,2,0)</f>
        <v>Gaveta Externa Max power para HD SATA 2,5 USB</v>
      </c>
      <c r="M399">
        <f t="shared" si="24"/>
        <v>1</v>
      </c>
      <c r="N399">
        <f t="shared" si="25"/>
        <v>0</v>
      </c>
      <c r="O399">
        <f t="shared" si="26"/>
        <v>0</v>
      </c>
      <c r="P399">
        <f t="shared" si="27"/>
        <v>1</v>
      </c>
    </row>
    <row r="400" spans="1:16" x14ac:dyDescent="0.3">
      <c r="A400" t="s">
        <v>131</v>
      </c>
      <c r="B400" t="s">
        <v>12</v>
      </c>
      <c r="C400" s="92">
        <v>42029</v>
      </c>
      <c r="D400" s="46">
        <v>3</v>
      </c>
      <c r="E400" s="47">
        <v>9.9499999999999993</v>
      </c>
      <c r="F400" t="s">
        <v>33</v>
      </c>
      <c r="J400" t="s">
        <v>720</v>
      </c>
      <c r="K400">
        <f>COUNTIF($A$1:A400,A400)</f>
        <v>1</v>
      </c>
      <c r="L400" t="str">
        <f>VLOOKUP(A400,'Cadastro de Produtos'!A:B,2,0)</f>
        <v>Gaveta Externa Microbon para HD IDE 2,5 USB</v>
      </c>
      <c r="M400">
        <f t="shared" si="24"/>
        <v>3</v>
      </c>
      <c r="N400">
        <f t="shared" si="25"/>
        <v>0</v>
      </c>
      <c r="O400">
        <f t="shared" si="26"/>
        <v>0</v>
      </c>
      <c r="P400">
        <f t="shared" si="27"/>
        <v>3</v>
      </c>
    </row>
    <row r="401" spans="1:16" x14ac:dyDescent="0.3">
      <c r="A401" t="s">
        <v>132</v>
      </c>
      <c r="B401" t="s">
        <v>12</v>
      </c>
      <c r="C401" s="92">
        <v>42029</v>
      </c>
      <c r="D401" s="46">
        <v>2</v>
      </c>
      <c r="E401" s="47">
        <v>12.95</v>
      </c>
      <c r="F401" t="s">
        <v>33</v>
      </c>
      <c r="J401" t="s">
        <v>720</v>
      </c>
      <c r="K401">
        <f>COUNTIF($A$1:A401,A401)</f>
        <v>1</v>
      </c>
      <c r="L401" t="str">
        <f>VLOOKUP(A401,'Cadastro de Produtos'!A:B,2,0)</f>
        <v>Gaveta Externa Mtek EN251A para HD SATA 2 ½ USB</v>
      </c>
      <c r="M401">
        <f t="shared" si="24"/>
        <v>2</v>
      </c>
      <c r="N401">
        <f t="shared" si="25"/>
        <v>0</v>
      </c>
      <c r="O401">
        <f t="shared" si="26"/>
        <v>0</v>
      </c>
      <c r="P401">
        <f t="shared" si="27"/>
        <v>2</v>
      </c>
    </row>
    <row r="402" spans="1:16" x14ac:dyDescent="0.3">
      <c r="A402" t="s">
        <v>133</v>
      </c>
      <c r="B402" t="s">
        <v>12</v>
      </c>
      <c r="C402" s="92">
        <v>42029</v>
      </c>
      <c r="D402" s="46">
        <v>1</v>
      </c>
      <c r="E402" s="47">
        <v>0.01</v>
      </c>
      <c r="F402" t="s">
        <v>33</v>
      </c>
      <c r="J402" t="s">
        <v>720</v>
      </c>
      <c r="K402">
        <f>COUNTIF($A$1:A402,A402)</f>
        <v>1</v>
      </c>
      <c r="L402" t="str">
        <f>VLOOKUP(A402,'Cadastro de Produtos'!A:B,2,0)</f>
        <v>Gaveta Externa Mtek EN352A para HD SATA 3 ½ USB</v>
      </c>
      <c r="M402">
        <f t="shared" si="24"/>
        <v>1</v>
      </c>
      <c r="N402">
        <f t="shared" si="25"/>
        <v>0</v>
      </c>
      <c r="O402">
        <f t="shared" si="26"/>
        <v>0</v>
      </c>
      <c r="P402">
        <f t="shared" si="27"/>
        <v>1</v>
      </c>
    </row>
    <row r="403" spans="1:16" x14ac:dyDescent="0.3">
      <c r="A403" t="s">
        <v>134</v>
      </c>
      <c r="B403" t="s">
        <v>12</v>
      </c>
      <c r="C403" s="92">
        <v>42029</v>
      </c>
      <c r="D403" s="46">
        <v>1</v>
      </c>
      <c r="E403" s="47">
        <v>26.05</v>
      </c>
      <c r="F403" t="s">
        <v>33</v>
      </c>
      <c r="J403" t="s">
        <v>720</v>
      </c>
      <c r="K403">
        <f>COUNTIF($A$1:A403,A403)</f>
        <v>1</v>
      </c>
      <c r="L403" t="str">
        <f>VLOOKUP(A403,'Cadastro de Produtos'!A:B,2,0)</f>
        <v>Gaveta Interna Hot Swap 3.5 ICY DOCK MB877SK-B SATA</v>
      </c>
      <c r="M403">
        <f t="shared" si="24"/>
        <v>1</v>
      </c>
      <c r="N403">
        <f t="shared" si="25"/>
        <v>0</v>
      </c>
      <c r="O403">
        <f t="shared" si="26"/>
        <v>0</v>
      </c>
      <c r="P403">
        <f t="shared" si="27"/>
        <v>1</v>
      </c>
    </row>
    <row r="404" spans="1:16" x14ac:dyDescent="0.3">
      <c r="A404" t="s">
        <v>135</v>
      </c>
      <c r="B404" t="s">
        <v>12</v>
      </c>
      <c r="C404" s="92">
        <v>42029</v>
      </c>
      <c r="D404" s="46">
        <v>5</v>
      </c>
      <c r="E404" s="47">
        <v>1.04</v>
      </c>
      <c r="F404" t="s">
        <v>33</v>
      </c>
      <c r="J404" t="s">
        <v>720</v>
      </c>
      <c r="K404">
        <f>COUNTIF($A$1:A404,A404)</f>
        <v>1</v>
      </c>
      <c r="L404" t="str">
        <f>VLOOKUP(A404,'Cadastro de Produtos'!A:B,2,0)</f>
        <v>Gravador DVD Notebook IDE Sony AD-7590A-01</v>
      </c>
      <c r="M404">
        <f t="shared" si="24"/>
        <v>5</v>
      </c>
      <c r="N404">
        <f t="shared" si="25"/>
        <v>0</v>
      </c>
      <c r="O404">
        <f t="shared" si="26"/>
        <v>0</v>
      </c>
      <c r="P404">
        <f t="shared" si="27"/>
        <v>5</v>
      </c>
    </row>
    <row r="405" spans="1:16" x14ac:dyDescent="0.3">
      <c r="A405" t="s">
        <v>136</v>
      </c>
      <c r="B405" t="s">
        <v>12</v>
      </c>
      <c r="C405" s="92">
        <v>42029</v>
      </c>
      <c r="D405" s="46">
        <v>3</v>
      </c>
      <c r="E405" s="47">
        <v>20.79</v>
      </c>
      <c r="F405" t="s">
        <v>33</v>
      </c>
      <c r="J405" t="s">
        <v>720</v>
      </c>
      <c r="K405">
        <f>COUNTIF($A$1:A405,A405)</f>
        <v>1</v>
      </c>
      <c r="L405" t="str">
        <f>VLOOKUP(A405,'Cadastro de Produtos'!A:B,2,0)</f>
        <v>Gravador DVD-RW LG IDE (Preto/OEM)</v>
      </c>
      <c r="M405">
        <f t="shared" si="24"/>
        <v>3</v>
      </c>
      <c r="N405">
        <f t="shared" si="25"/>
        <v>0</v>
      </c>
      <c r="O405">
        <f t="shared" si="26"/>
        <v>0</v>
      </c>
      <c r="P405">
        <f t="shared" si="27"/>
        <v>3</v>
      </c>
    </row>
    <row r="406" spans="1:16" x14ac:dyDescent="0.3">
      <c r="A406" t="s">
        <v>137</v>
      </c>
      <c r="B406" t="s">
        <v>12</v>
      </c>
      <c r="C406" s="92">
        <v>42029</v>
      </c>
      <c r="D406" s="46">
        <v>5</v>
      </c>
      <c r="E406" s="47">
        <v>31.09</v>
      </c>
      <c r="F406" t="s">
        <v>33</v>
      </c>
      <c r="J406" t="s">
        <v>720</v>
      </c>
      <c r="K406">
        <f>COUNTIF($A$1:A406,A406)</f>
        <v>1</v>
      </c>
      <c r="L406" t="str">
        <f>VLOOKUP(A406,'Cadastro de Produtos'!A:B,2,0)</f>
        <v>Gravador DVD-RW LG SATA (Preto/OEM)</v>
      </c>
      <c r="M406">
        <f t="shared" si="24"/>
        <v>5</v>
      </c>
      <c r="N406">
        <f t="shared" si="25"/>
        <v>0</v>
      </c>
      <c r="O406">
        <f t="shared" si="26"/>
        <v>0</v>
      </c>
      <c r="P406">
        <f t="shared" si="27"/>
        <v>5</v>
      </c>
    </row>
    <row r="407" spans="1:16" x14ac:dyDescent="0.3">
      <c r="A407" t="s">
        <v>138</v>
      </c>
      <c r="B407" t="s">
        <v>12</v>
      </c>
      <c r="C407" s="92">
        <v>42029</v>
      </c>
      <c r="D407" s="46">
        <v>1</v>
      </c>
      <c r="E407" s="47">
        <v>84</v>
      </c>
      <c r="F407" t="s">
        <v>33</v>
      </c>
      <c r="J407" t="s">
        <v>720</v>
      </c>
      <c r="K407">
        <f>COUNTIF($A$1:A407,A407)</f>
        <v>1</v>
      </c>
      <c r="L407" t="str">
        <f>VLOOKUP(A407,'Cadastro de Produtos'!A:B,2,0)</f>
        <v>Gravador DVD-RW Samsung IDE (Preto/OEM)</v>
      </c>
      <c r="M407">
        <f t="shared" si="24"/>
        <v>1</v>
      </c>
      <c r="N407">
        <f t="shared" si="25"/>
        <v>0</v>
      </c>
      <c r="O407">
        <f t="shared" si="26"/>
        <v>0</v>
      </c>
      <c r="P407">
        <f t="shared" si="27"/>
        <v>1</v>
      </c>
    </row>
    <row r="408" spans="1:16" x14ac:dyDescent="0.3">
      <c r="A408" t="s">
        <v>139</v>
      </c>
      <c r="B408" t="s">
        <v>12</v>
      </c>
      <c r="C408" s="92">
        <v>42029</v>
      </c>
      <c r="D408" s="46">
        <v>5</v>
      </c>
      <c r="E408" s="47">
        <v>15.68</v>
      </c>
      <c r="F408" t="s">
        <v>33</v>
      </c>
      <c r="J408" t="s">
        <v>720</v>
      </c>
      <c r="K408">
        <f>COUNTIF($A$1:A408,A408)</f>
        <v>1</v>
      </c>
      <c r="L408" t="str">
        <f>VLOOKUP(A408,'Cadastro de Produtos'!A:B,2,0)</f>
        <v>Gravador DVD-RW Samsung SATA (Preto/OEM)</v>
      </c>
      <c r="M408">
        <f t="shared" si="24"/>
        <v>5</v>
      </c>
      <c r="N408">
        <f t="shared" si="25"/>
        <v>0</v>
      </c>
      <c r="O408">
        <f t="shared" si="26"/>
        <v>0</v>
      </c>
      <c r="P408">
        <f t="shared" si="27"/>
        <v>5</v>
      </c>
    </row>
    <row r="409" spans="1:16" x14ac:dyDescent="0.3">
      <c r="A409" t="s">
        <v>140</v>
      </c>
      <c r="B409" t="s">
        <v>12</v>
      </c>
      <c r="C409" s="92">
        <v>42029</v>
      </c>
      <c r="D409" s="46">
        <v>1</v>
      </c>
      <c r="E409" s="47">
        <v>43.09</v>
      </c>
      <c r="F409" t="s">
        <v>33</v>
      </c>
      <c r="J409" t="s">
        <v>720</v>
      </c>
      <c r="K409">
        <f>COUNTIF($A$1:A409,A409)</f>
        <v>1</v>
      </c>
      <c r="L409" t="str">
        <f>VLOOKUP(A409,'Cadastro de Produtos'!A:B,2,0)</f>
        <v>Gravador DVD-RW SONY IDE (Preto/OEM)</v>
      </c>
      <c r="M409">
        <f t="shared" si="24"/>
        <v>1</v>
      </c>
      <c r="N409">
        <f t="shared" si="25"/>
        <v>0</v>
      </c>
      <c r="O409">
        <f t="shared" si="26"/>
        <v>0</v>
      </c>
      <c r="P409">
        <f t="shared" si="27"/>
        <v>1</v>
      </c>
    </row>
    <row r="410" spans="1:16" x14ac:dyDescent="0.3">
      <c r="A410" t="s">
        <v>142</v>
      </c>
      <c r="B410" t="s">
        <v>12</v>
      </c>
      <c r="C410" s="92">
        <v>42029</v>
      </c>
      <c r="D410" s="46">
        <v>3</v>
      </c>
      <c r="E410" s="47">
        <v>43.09</v>
      </c>
      <c r="F410" t="s">
        <v>33</v>
      </c>
      <c r="J410" t="s">
        <v>720</v>
      </c>
      <c r="K410">
        <f>COUNTIF($A$1:A410,A410)</f>
        <v>1</v>
      </c>
      <c r="L410" t="str">
        <f>VLOOKUP(A410,'Cadastro de Produtos'!A:B,2,0)</f>
        <v>Gravador Externo Slim LG GP08 lite USB Preto</v>
      </c>
      <c r="M410">
        <f t="shared" si="24"/>
        <v>3</v>
      </c>
      <c r="N410">
        <f t="shared" si="25"/>
        <v>0</v>
      </c>
      <c r="O410">
        <f t="shared" si="26"/>
        <v>0</v>
      </c>
      <c r="P410">
        <f t="shared" si="27"/>
        <v>3</v>
      </c>
    </row>
    <row r="411" spans="1:16" x14ac:dyDescent="0.3">
      <c r="A411" t="s">
        <v>141</v>
      </c>
      <c r="B411" t="s">
        <v>12</v>
      </c>
      <c r="C411" s="92">
        <v>42029</v>
      </c>
      <c r="D411" s="46">
        <v>1</v>
      </c>
      <c r="E411" s="47">
        <v>94.09</v>
      </c>
      <c r="F411" t="s">
        <v>33</v>
      </c>
      <c r="J411" t="s">
        <v>720</v>
      </c>
      <c r="K411">
        <f>COUNTIF($A$1:A411,A411)</f>
        <v>1</v>
      </c>
      <c r="L411" t="str">
        <f>VLOOKUP(A411,'Cadastro de Produtos'!A:B,2,0)</f>
        <v>Gravador DVD-RW SONY SATA (Preto/OEM)</v>
      </c>
      <c r="M411">
        <f t="shared" si="24"/>
        <v>1</v>
      </c>
      <c r="N411">
        <f t="shared" si="25"/>
        <v>0</v>
      </c>
      <c r="O411">
        <f t="shared" si="26"/>
        <v>0</v>
      </c>
      <c r="P411">
        <f t="shared" si="27"/>
        <v>1</v>
      </c>
    </row>
    <row r="412" spans="1:16" x14ac:dyDescent="0.3">
      <c r="A412" t="s">
        <v>143</v>
      </c>
      <c r="B412" t="s">
        <v>12</v>
      </c>
      <c r="C412" s="92">
        <v>42029</v>
      </c>
      <c r="D412" s="46">
        <v>1</v>
      </c>
      <c r="E412" s="47">
        <v>94.09</v>
      </c>
      <c r="F412" t="s">
        <v>33</v>
      </c>
      <c r="J412" t="s">
        <v>720</v>
      </c>
      <c r="K412">
        <f>COUNTIF($A$1:A412,A412)</f>
        <v>1</v>
      </c>
      <c r="L412" t="str">
        <f>VLOOKUP(A412,'Cadastro de Produtos'!A:B,2,0)</f>
        <v>Gravador Externo Slim Liteon ESAU208 USB Preto</v>
      </c>
      <c r="M412">
        <f t="shared" si="24"/>
        <v>1</v>
      </c>
      <c r="N412">
        <f t="shared" si="25"/>
        <v>0</v>
      </c>
      <c r="O412">
        <f t="shared" si="26"/>
        <v>0</v>
      </c>
      <c r="P412">
        <f t="shared" si="27"/>
        <v>1</v>
      </c>
    </row>
    <row r="413" spans="1:16" x14ac:dyDescent="0.3">
      <c r="A413" t="s">
        <v>144</v>
      </c>
      <c r="B413" t="s">
        <v>12</v>
      </c>
      <c r="C413" s="92">
        <v>42029</v>
      </c>
      <c r="D413" s="46">
        <v>2</v>
      </c>
      <c r="E413" s="47">
        <v>48.84</v>
      </c>
      <c r="F413" t="s">
        <v>33</v>
      </c>
      <c r="J413" t="s">
        <v>720</v>
      </c>
      <c r="K413">
        <f>COUNTIF($A$1:A413,A413)</f>
        <v>1</v>
      </c>
      <c r="L413" t="str">
        <f>VLOOKUP(A413,'Cadastro de Produtos'!A:B,2,0)</f>
        <v>HD Externo 1,5TB WD My Book Elite (Visor) WDBAAH0015HCH-NES USB 2.0</v>
      </c>
      <c r="M413">
        <f t="shared" si="24"/>
        <v>2</v>
      </c>
      <c r="N413">
        <f t="shared" si="25"/>
        <v>0</v>
      </c>
      <c r="O413">
        <f t="shared" si="26"/>
        <v>0</v>
      </c>
      <c r="P413">
        <f t="shared" si="27"/>
        <v>2</v>
      </c>
    </row>
    <row r="414" spans="1:16" x14ac:dyDescent="0.3">
      <c r="A414" t="s">
        <v>146</v>
      </c>
      <c r="B414" t="s">
        <v>12</v>
      </c>
      <c r="C414" s="92">
        <v>42029</v>
      </c>
      <c r="D414" s="46">
        <v>0</v>
      </c>
      <c r="E414" s="47">
        <v>22.09</v>
      </c>
      <c r="F414" t="s">
        <v>33</v>
      </c>
      <c r="J414" t="s">
        <v>720</v>
      </c>
      <c r="K414">
        <f>COUNTIF($A$1:A414,A414)</f>
        <v>1</v>
      </c>
      <c r="L414" t="str">
        <f>VLOOKUP(A414,'Cadastro de Produtos'!A:B,2,0)</f>
        <v>HD Externo 2TB Western Digital My Book Essential USB</v>
      </c>
      <c r="M414">
        <f t="shared" si="24"/>
        <v>0</v>
      </c>
      <c r="N414">
        <f t="shared" si="25"/>
        <v>0</v>
      </c>
      <c r="O414">
        <f t="shared" si="26"/>
        <v>0</v>
      </c>
      <c r="P414">
        <f t="shared" si="27"/>
        <v>0</v>
      </c>
    </row>
    <row r="415" spans="1:16" x14ac:dyDescent="0.3">
      <c r="A415" t="s">
        <v>147</v>
      </c>
      <c r="B415" t="s">
        <v>12</v>
      </c>
      <c r="C415" s="92">
        <v>42029</v>
      </c>
      <c r="D415" s="46">
        <v>1</v>
      </c>
      <c r="E415" s="47">
        <v>17.989999999999998</v>
      </c>
      <c r="F415" t="s">
        <v>33</v>
      </c>
      <c r="J415" t="s">
        <v>720</v>
      </c>
      <c r="K415">
        <f>COUNTIF($A$1:A415,A415)</f>
        <v>1</v>
      </c>
      <c r="L415" t="str">
        <f>VLOOKUP(A415,'Cadastro de Produtos'!A:B,2,0)</f>
        <v>HD Externo 320GB WD My Passport USB</v>
      </c>
      <c r="M415">
        <f t="shared" si="24"/>
        <v>1</v>
      </c>
      <c r="N415">
        <f t="shared" si="25"/>
        <v>0</v>
      </c>
      <c r="O415">
        <f t="shared" si="26"/>
        <v>0</v>
      </c>
      <c r="P415">
        <f t="shared" si="27"/>
        <v>1</v>
      </c>
    </row>
    <row r="416" spans="1:16" x14ac:dyDescent="0.3">
      <c r="A416" t="s">
        <v>145</v>
      </c>
      <c r="B416" t="s">
        <v>12</v>
      </c>
      <c r="C416" s="92">
        <v>42029</v>
      </c>
      <c r="D416" s="46">
        <v>13</v>
      </c>
      <c r="E416" s="47">
        <v>8.99</v>
      </c>
      <c r="F416" t="s">
        <v>33</v>
      </c>
      <c r="J416" t="s">
        <v>720</v>
      </c>
      <c r="K416">
        <f>COUNTIF($A$1:A416,A416)</f>
        <v>1</v>
      </c>
      <c r="L416" t="str">
        <f>VLOOKUP(A416,'Cadastro de Produtos'!A:B,2,0)</f>
        <v>HD Externo 1TB WD My Book Essential Preto WDBAAF0010HBK-NESN USB</v>
      </c>
      <c r="M416">
        <f t="shared" si="24"/>
        <v>13</v>
      </c>
      <c r="N416">
        <f t="shared" si="25"/>
        <v>0</v>
      </c>
      <c r="O416">
        <f t="shared" si="26"/>
        <v>0</v>
      </c>
      <c r="P416">
        <f t="shared" si="27"/>
        <v>13</v>
      </c>
    </row>
    <row r="417" spans="1:16" x14ac:dyDescent="0.3">
      <c r="A417" t="s">
        <v>148</v>
      </c>
      <c r="B417" t="s">
        <v>12</v>
      </c>
      <c r="C417" s="92">
        <v>42029</v>
      </c>
      <c r="D417" s="46">
        <v>1</v>
      </c>
      <c r="E417" s="47">
        <v>17.989999999999998</v>
      </c>
      <c r="F417" t="s">
        <v>33</v>
      </c>
      <c r="J417" t="s">
        <v>720</v>
      </c>
      <c r="K417">
        <f>COUNTIF($A$1:A417,A417)</f>
        <v>1</v>
      </c>
      <c r="L417" t="str">
        <f>VLOOKUP(A417,'Cadastro de Produtos'!A:B,2,0)</f>
        <v>HD Externo 500GB LG HXD5U50PLS 500GB USB 480MB/s 5400rpm</v>
      </c>
      <c r="M417">
        <f t="shared" si="24"/>
        <v>1</v>
      </c>
      <c r="N417">
        <f t="shared" si="25"/>
        <v>0</v>
      </c>
      <c r="O417">
        <f t="shared" si="26"/>
        <v>0</v>
      </c>
      <c r="P417">
        <f t="shared" si="27"/>
        <v>1</v>
      </c>
    </row>
    <row r="418" spans="1:16" x14ac:dyDescent="0.3">
      <c r="A418" t="s">
        <v>149</v>
      </c>
      <c r="B418" t="s">
        <v>12</v>
      </c>
      <c r="C418" s="92">
        <v>42029</v>
      </c>
      <c r="D418" s="46">
        <v>15</v>
      </c>
      <c r="E418" s="47">
        <v>14.68</v>
      </c>
      <c r="F418" t="s">
        <v>33</v>
      </c>
      <c r="J418" t="s">
        <v>720</v>
      </c>
      <c r="K418">
        <f>COUNTIF($A$1:A418,A418)</f>
        <v>1</v>
      </c>
      <c r="L418" t="str">
        <f>VLOOKUP(A418,'Cadastro de Produtos'!A:B,2,0)</f>
        <v>HD Externo 500GB Seagate ST305004EXA101-RK USB</v>
      </c>
      <c r="M418">
        <f t="shared" si="24"/>
        <v>15</v>
      </c>
      <c r="N418">
        <f t="shared" si="25"/>
        <v>0</v>
      </c>
      <c r="O418">
        <f t="shared" si="26"/>
        <v>0</v>
      </c>
      <c r="P418">
        <f t="shared" si="27"/>
        <v>15</v>
      </c>
    </row>
    <row r="419" spans="1:16" x14ac:dyDescent="0.3">
      <c r="A419" t="s">
        <v>150</v>
      </c>
      <c r="B419" t="s">
        <v>12</v>
      </c>
      <c r="C419" s="92">
        <v>42029</v>
      </c>
      <c r="D419" s="46">
        <v>4</v>
      </c>
      <c r="E419" s="47">
        <v>29.37</v>
      </c>
      <c r="F419" t="s">
        <v>33</v>
      </c>
      <c r="J419" t="s">
        <v>720</v>
      </c>
      <c r="K419">
        <f>COUNTIF($A$1:A419,A419)</f>
        <v>1</v>
      </c>
      <c r="L419" t="str">
        <f>VLOOKUP(A419,'Cadastro de Produtos'!A:B,2,0)</f>
        <v>HD Externo 500GB Seagate ST305004FDB2E1-RK USB 7200rpm 3.5</v>
      </c>
      <c r="M419">
        <f t="shared" si="24"/>
        <v>4</v>
      </c>
      <c r="N419">
        <f t="shared" si="25"/>
        <v>0</v>
      </c>
      <c r="O419">
        <f t="shared" si="26"/>
        <v>0</v>
      </c>
      <c r="P419">
        <f t="shared" si="27"/>
        <v>4</v>
      </c>
    </row>
    <row r="420" spans="1:16" x14ac:dyDescent="0.3">
      <c r="A420" t="s">
        <v>152</v>
      </c>
      <c r="B420" t="s">
        <v>12</v>
      </c>
      <c r="C420" s="92">
        <v>42029</v>
      </c>
      <c r="D420" s="46">
        <v>4</v>
      </c>
      <c r="E420" s="47">
        <v>11.39</v>
      </c>
      <c r="F420" t="s">
        <v>33</v>
      </c>
      <c r="J420" t="s">
        <v>720</v>
      </c>
      <c r="K420">
        <f>COUNTIF($A$1:A420,A420)</f>
        <v>1</v>
      </c>
      <c r="L420" t="str">
        <f>VLOOKUP(A420,'Cadastro de Produtos'!A:B,2,0)</f>
        <v>HD Externo 500GB Seagate ST905004BDB101-RK 500GB USB2.0 5400rpm 2.5</v>
      </c>
      <c r="M420">
        <f t="shared" si="24"/>
        <v>4</v>
      </c>
      <c r="N420">
        <f t="shared" si="25"/>
        <v>0</v>
      </c>
      <c r="O420">
        <f t="shared" si="26"/>
        <v>0</v>
      </c>
      <c r="P420">
        <f t="shared" si="27"/>
        <v>4</v>
      </c>
    </row>
    <row r="421" spans="1:16" x14ac:dyDescent="0.3">
      <c r="A421" t="s">
        <v>153</v>
      </c>
      <c r="B421" t="s">
        <v>12</v>
      </c>
      <c r="C421" s="92">
        <v>42029</v>
      </c>
      <c r="D421" s="46">
        <v>3</v>
      </c>
      <c r="E421" s="47">
        <v>194</v>
      </c>
      <c r="F421" t="s">
        <v>33</v>
      </c>
      <c r="J421" t="s">
        <v>720</v>
      </c>
      <c r="K421">
        <f>COUNTIF($A$1:A421,A421)</f>
        <v>1</v>
      </c>
      <c r="L421" t="str">
        <f>VLOOKUP(A421,'Cadastro de Produtos'!A:B,2,0)</f>
        <v>HD Externo 500GB WD My Book Essential Preto WDBAAF5000EBK-NESN</v>
      </c>
      <c r="M421">
        <f t="shared" si="24"/>
        <v>3</v>
      </c>
      <c r="N421">
        <f t="shared" si="25"/>
        <v>0</v>
      </c>
      <c r="O421">
        <f t="shared" si="26"/>
        <v>0</v>
      </c>
      <c r="P421">
        <f t="shared" si="27"/>
        <v>3</v>
      </c>
    </row>
    <row r="422" spans="1:16" x14ac:dyDescent="0.3">
      <c r="A422" t="s">
        <v>154</v>
      </c>
      <c r="B422" t="s">
        <v>12</v>
      </c>
      <c r="C422" s="92">
        <v>42029</v>
      </c>
      <c r="D422" s="46">
        <v>1</v>
      </c>
      <c r="E422" s="47">
        <v>51</v>
      </c>
      <c r="F422" t="s">
        <v>33</v>
      </c>
      <c r="J422" t="s">
        <v>720</v>
      </c>
      <c r="K422">
        <f>COUNTIF($A$1:A422,A422)</f>
        <v>1</v>
      </c>
      <c r="L422" t="str">
        <f>VLOOKUP(A422,'Cadastro de Produtos'!A:B,2,0)</f>
        <v>HD Externo 500GB WD My Passport USB</v>
      </c>
      <c r="M422">
        <f t="shared" si="24"/>
        <v>1</v>
      </c>
      <c r="N422">
        <f t="shared" si="25"/>
        <v>0</v>
      </c>
      <c r="O422">
        <f t="shared" si="26"/>
        <v>0</v>
      </c>
      <c r="P422">
        <f t="shared" si="27"/>
        <v>1</v>
      </c>
    </row>
    <row r="423" spans="1:16" x14ac:dyDescent="0.3">
      <c r="A423" t="s">
        <v>155</v>
      </c>
      <c r="B423" t="s">
        <v>12</v>
      </c>
      <c r="C423" s="92">
        <v>42029</v>
      </c>
      <c r="D423" s="46">
        <v>3</v>
      </c>
      <c r="E423" s="47">
        <v>8.3699999999999992</v>
      </c>
      <c r="F423" t="s">
        <v>33</v>
      </c>
      <c r="J423" t="s">
        <v>720</v>
      </c>
      <c r="K423">
        <f>COUNTIF($A$1:A423,A423)</f>
        <v>1</v>
      </c>
      <c r="L423" t="str">
        <f>VLOOKUP(A423,'Cadastro de Produtos'!A:B,2,0)</f>
        <v>HD Externo 500GB WD Passport Essential Prata WDBAAA5000ASL-NESN</v>
      </c>
      <c r="M423">
        <f t="shared" si="24"/>
        <v>3</v>
      </c>
      <c r="N423">
        <f t="shared" si="25"/>
        <v>0</v>
      </c>
      <c r="O423">
        <f t="shared" si="26"/>
        <v>0</v>
      </c>
      <c r="P423">
        <f t="shared" si="27"/>
        <v>3</v>
      </c>
    </row>
    <row r="424" spans="1:16" x14ac:dyDescent="0.3">
      <c r="A424" t="s">
        <v>156</v>
      </c>
      <c r="B424" t="s">
        <v>12</v>
      </c>
      <c r="C424" s="92">
        <v>42029</v>
      </c>
      <c r="D424" s="46">
        <v>0</v>
      </c>
      <c r="E424" s="47">
        <v>32.090000000000003</v>
      </c>
      <c r="F424" t="s">
        <v>33</v>
      </c>
      <c r="J424" t="s">
        <v>720</v>
      </c>
      <c r="K424">
        <f>COUNTIF($A$1:A424,A424)</f>
        <v>1</v>
      </c>
      <c r="L424" t="str">
        <f>VLOOKUP(A424,'Cadastro de Produtos'!A:B,2,0)</f>
        <v>HD IDE 400GB Seagate 7.200RPM</v>
      </c>
      <c r="M424">
        <f t="shared" si="24"/>
        <v>0</v>
      </c>
      <c r="N424">
        <f t="shared" si="25"/>
        <v>0</v>
      </c>
      <c r="O424">
        <f t="shared" si="26"/>
        <v>0</v>
      </c>
      <c r="P424">
        <f t="shared" si="27"/>
        <v>0</v>
      </c>
    </row>
    <row r="425" spans="1:16" x14ac:dyDescent="0.3">
      <c r="A425" t="s">
        <v>157</v>
      </c>
      <c r="B425" t="s">
        <v>12</v>
      </c>
      <c r="C425" s="92">
        <v>42029</v>
      </c>
      <c r="D425" s="46">
        <v>2</v>
      </c>
      <c r="E425" s="47">
        <v>31.09</v>
      </c>
      <c r="F425" t="s">
        <v>33</v>
      </c>
      <c r="J425" t="s">
        <v>720</v>
      </c>
      <c r="K425">
        <f>COUNTIF($A$1:A425,A425)</f>
        <v>1</v>
      </c>
      <c r="L425" t="str">
        <f>VLOOKUP(A425,'Cadastro de Produtos'!A:B,2,0)</f>
        <v>HD SATA II 1,5TB W.Digital 32MB 7.200RPM</v>
      </c>
      <c r="M425">
        <f t="shared" si="24"/>
        <v>2</v>
      </c>
      <c r="N425">
        <f t="shared" si="25"/>
        <v>0</v>
      </c>
      <c r="O425">
        <f t="shared" si="26"/>
        <v>0</v>
      </c>
      <c r="P425">
        <f t="shared" si="27"/>
        <v>2</v>
      </c>
    </row>
    <row r="426" spans="1:16" x14ac:dyDescent="0.3">
      <c r="A426" t="s">
        <v>158</v>
      </c>
      <c r="B426" t="s">
        <v>12</v>
      </c>
      <c r="C426" s="92">
        <v>42029</v>
      </c>
      <c r="D426" s="46">
        <v>1</v>
      </c>
      <c r="E426" s="47">
        <v>15.09</v>
      </c>
      <c r="F426" t="s">
        <v>33</v>
      </c>
      <c r="J426" t="s">
        <v>720</v>
      </c>
      <c r="K426">
        <f>COUNTIF($A$1:A426,A426)</f>
        <v>1</v>
      </c>
      <c r="L426" t="str">
        <f>VLOOKUP(A426,'Cadastro de Produtos'!A:B,2,0)</f>
        <v>HD SATA II 160GB Maxtor/Samsung 7.200RPM</v>
      </c>
      <c r="M426">
        <f t="shared" si="24"/>
        <v>1</v>
      </c>
      <c r="N426">
        <f t="shared" si="25"/>
        <v>0</v>
      </c>
      <c r="O426">
        <f t="shared" si="26"/>
        <v>0</v>
      </c>
      <c r="P426">
        <f t="shared" si="27"/>
        <v>1</v>
      </c>
    </row>
    <row r="427" spans="1:16" x14ac:dyDescent="0.3">
      <c r="A427" t="s">
        <v>151</v>
      </c>
      <c r="B427" t="s">
        <v>12</v>
      </c>
      <c r="C427" s="92">
        <v>42029</v>
      </c>
      <c r="D427" s="46">
        <v>1</v>
      </c>
      <c r="E427" s="47">
        <v>24.9</v>
      </c>
      <c r="F427" t="s">
        <v>33</v>
      </c>
      <c r="J427" t="s">
        <v>720</v>
      </c>
      <c r="K427">
        <f>COUNTIF($A$1:A427,A427)</f>
        <v>1</v>
      </c>
      <c r="L427" t="str">
        <f>VLOOKUP(A427,'Cadastro de Produtos'!A:B,2,0)</f>
        <v>HD Externo 500GB Seagate ST905003FAB2E1-RK USB 480MB/s 5400rpm</v>
      </c>
      <c r="M427">
        <f t="shared" si="24"/>
        <v>1</v>
      </c>
      <c r="N427">
        <f t="shared" si="25"/>
        <v>0</v>
      </c>
      <c r="O427">
        <f t="shared" si="26"/>
        <v>0</v>
      </c>
      <c r="P427">
        <f t="shared" si="27"/>
        <v>1</v>
      </c>
    </row>
    <row r="428" spans="1:16" x14ac:dyDescent="0.3">
      <c r="A428" t="s">
        <v>159</v>
      </c>
      <c r="B428" t="s">
        <v>12</v>
      </c>
      <c r="C428" s="92">
        <v>42029</v>
      </c>
      <c r="D428" s="46">
        <v>2</v>
      </c>
      <c r="E428" s="47">
        <v>149.9</v>
      </c>
      <c r="F428" t="s">
        <v>33</v>
      </c>
      <c r="J428" t="s">
        <v>720</v>
      </c>
      <c r="K428">
        <f>COUNTIF($A$1:A428,A428)</f>
        <v>1</v>
      </c>
      <c r="L428" t="str">
        <f>VLOOKUP(A428,'Cadastro de Produtos'!A:B,2,0)</f>
        <v>HD SATA II 160GB Seagate 7.200RPM</v>
      </c>
      <c r="M428">
        <f t="shared" si="24"/>
        <v>2</v>
      </c>
      <c r="N428">
        <f t="shared" si="25"/>
        <v>0</v>
      </c>
      <c r="O428">
        <f t="shared" si="26"/>
        <v>0</v>
      </c>
      <c r="P428">
        <f t="shared" si="27"/>
        <v>2</v>
      </c>
    </row>
    <row r="429" spans="1:16" x14ac:dyDescent="0.3">
      <c r="A429" t="s">
        <v>232</v>
      </c>
      <c r="B429" t="s">
        <v>12</v>
      </c>
      <c r="C429" s="92">
        <v>42029</v>
      </c>
      <c r="D429" s="46">
        <v>3</v>
      </c>
      <c r="E429" s="47">
        <v>3.29</v>
      </c>
      <c r="F429" t="s">
        <v>33</v>
      </c>
      <c r="J429" t="s">
        <v>720</v>
      </c>
      <c r="K429">
        <f>COUNTIF($A$1:A429,A429)</f>
        <v>1</v>
      </c>
      <c r="L429" t="str">
        <f>VLOOKUP(A429,'Cadastro de Produtos'!A:B,2,0)</f>
        <v>Memória ECC DDR3 4GB 1333MHz (PC3-10600) KVR1333D3D4R9S/4GI Kingston</v>
      </c>
      <c r="M429">
        <f t="shared" si="24"/>
        <v>3</v>
      </c>
      <c r="N429">
        <f t="shared" si="25"/>
        <v>0</v>
      </c>
      <c r="O429">
        <f t="shared" si="26"/>
        <v>0</v>
      </c>
      <c r="P429">
        <f t="shared" si="27"/>
        <v>3</v>
      </c>
    </row>
    <row r="430" spans="1:16" x14ac:dyDescent="0.3">
      <c r="A430" t="s">
        <v>233</v>
      </c>
      <c r="B430" t="s">
        <v>12</v>
      </c>
      <c r="C430" s="92">
        <v>42029</v>
      </c>
      <c r="D430" s="46">
        <v>2</v>
      </c>
      <c r="E430" s="47">
        <v>4.32</v>
      </c>
      <c r="F430" t="s">
        <v>33</v>
      </c>
      <c r="J430" t="s">
        <v>720</v>
      </c>
      <c r="K430">
        <f>COUNTIF($A$1:A430,A430)</f>
        <v>1</v>
      </c>
      <c r="L430" t="str">
        <f>VLOOKUP(A430,'Cadastro de Produtos'!A:B,2,0)</f>
        <v>Mini Bluetooth USB</v>
      </c>
      <c r="M430">
        <f t="shared" si="24"/>
        <v>2</v>
      </c>
      <c r="N430">
        <f t="shared" si="25"/>
        <v>0</v>
      </c>
      <c r="O430">
        <f t="shared" si="26"/>
        <v>0</v>
      </c>
      <c r="P430">
        <f t="shared" si="27"/>
        <v>2</v>
      </c>
    </row>
    <row r="431" spans="1:16" x14ac:dyDescent="0.3">
      <c r="A431" t="s">
        <v>234</v>
      </c>
      <c r="B431" t="s">
        <v>12</v>
      </c>
      <c r="C431" s="92">
        <v>42029</v>
      </c>
      <c r="D431" s="46">
        <v>1</v>
      </c>
      <c r="E431" s="47">
        <v>4.32</v>
      </c>
      <c r="F431" t="s">
        <v>33</v>
      </c>
      <c r="J431" t="s">
        <v>720</v>
      </c>
      <c r="K431">
        <f>COUNTIF($A$1:A431,A431)</f>
        <v>1</v>
      </c>
      <c r="L431" t="str">
        <f>VLOOKUP(A431,'Cadastro de Produtos'!A:B,2,0)</f>
        <v>Modem notebook Asus A8J A8 Z99 56k Laptop internal B93M1015-F</v>
      </c>
      <c r="M431">
        <f t="shared" si="24"/>
        <v>1</v>
      </c>
      <c r="N431">
        <f t="shared" si="25"/>
        <v>0</v>
      </c>
      <c r="O431">
        <f t="shared" si="26"/>
        <v>0</v>
      </c>
      <c r="P431">
        <f t="shared" si="27"/>
        <v>1</v>
      </c>
    </row>
    <row r="432" spans="1:16" x14ac:dyDescent="0.3">
      <c r="A432" t="s">
        <v>235</v>
      </c>
      <c r="B432" t="s">
        <v>12</v>
      </c>
      <c r="C432" s="92">
        <v>42029</v>
      </c>
      <c r="D432" s="46">
        <v>1</v>
      </c>
      <c r="E432" s="47">
        <v>3.06</v>
      </c>
      <c r="F432" t="s">
        <v>33</v>
      </c>
      <c r="J432" t="s">
        <v>720</v>
      </c>
      <c r="K432">
        <f>COUNTIF($A$1:A432,A432)</f>
        <v>1</v>
      </c>
      <c r="L432" t="str">
        <f>VLOOKUP(A432,'Cadastro de Produtos'!A:B,2,0)</f>
        <v>Moldura LCD ASUS f9s</v>
      </c>
      <c r="M432">
        <f t="shared" si="24"/>
        <v>1</v>
      </c>
      <c r="N432">
        <f t="shared" si="25"/>
        <v>0</v>
      </c>
      <c r="O432">
        <f t="shared" si="26"/>
        <v>0</v>
      </c>
      <c r="P432">
        <f t="shared" si="27"/>
        <v>1</v>
      </c>
    </row>
    <row r="433" spans="1:16" x14ac:dyDescent="0.3">
      <c r="A433" t="s">
        <v>236</v>
      </c>
      <c r="B433" t="s">
        <v>12</v>
      </c>
      <c r="C433" s="92">
        <v>42029</v>
      </c>
      <c r="D433" s="46">
        <v>1</v>
      </c>
      <c r="E433" s="47">
        <v>3.29</v>
      </c>
      <c r="F433" t="s">
        <v>33</v>
      </c>
      <c r="J433" t="s">
        <v>720</v>
      </c>
      <c r="K433">
        <f>COUNTIF($A$1:A433,A433)</f>
        <v>1</v>
      </c>
      <c r="L433" t="str">
        <f>VLOOKUP(A433,'Cadastro de Produtos'!A:B,2,0)</f>
        <v>Monitor AOC LCD 15 1619Swa Widescreen</v>
      </c>
      <c r="M433">
        <f t="shared" si="24"/>
        <v>1</v>
      </c>
      <c r="N433">
        <f t="shared" si="25"/>
        <v>0</v>
      </c>
      <c r="O433">
        <f t="shared" si="26"/>
        <v>0</v>
      </c>
      <c r="P433">
        <f t="shared" si="27"/>
        <v>1</v>
      </c>
    </row>
    <row r="434" spans="1:16" x14ac:dyDescent="0.3">
      <c r="A434" t="s">
        <v>220</v>
      </c>
      <c r="B434" t="s">
        <v>12</v>
      </c>
      <c r="C434" s="92">
        <v>42029</v>
      </c>
      <c r="D434" s="46">
        <v>1</v>
      </c>
      <c r="E434" s="47">
        <v>1.92</v>
      </c>
      <c r="F434" t="s">
        <v>33</v>
      </c>
      <c r="J434" t="s">
        <v>720</v>
      </c>
      <c r="K434">
        <f>COUNTIF($A$1:A434,A434)</f>
        <v>1</v>
      </c>
      <c r="L434" t="str">
        <f>VLOOKUP(A434,'Cadastro de Produtos'!A:B,2,0)</f>
        <v>Memória de Notebook DDR 1GB 266MHz (PC-2100) Kingston</v>
      </c>
      <c r="M434">
        <f t="shared" si="24"/>
        <v>1</v>
      </c>
      <c r="N434">
        <f t="shared" si="25"/>
        <v>0</v>
      </c>
      <c r="O434">
        <f t="shared" si="26"/>
        <v>0</v>
      </c>
      <c r="P434">
        <f t="shared" si="27"/>
        <v>1</v>
      </c>
    </row>
    <row r="435" spans="1:16" x14ac:dyDescent="0.3">
      <c r="A435" t="s">
        <v>221</v>
      </c>
      <c r="B435" t="s">
        <v>12</v>
      </c>
      <c r="C435" s="92">
        <v>42029</v>
      </c>
      <c r="D435" s="46">
        <v>1</v>
      </c>
      <c r="E435" s="47">
        <v>15.89</v>
      </c>
      <c r="F435" t="s">
        <v>33</v>
      </c>
      <c r="J435" t="s">
        <v>720</v>
      </c>
      <c r="K435">
        <f>COUNTIF($A$1:A435,A435)</f>
        <v>1</v>
      </c>
      <c r="L435" t="str">
        <f>VLOOKUP(A435,'Cadastro de Produtos'!A:B,2,0)</f>
        <v>Memória de Notebook DDR 1GB 333MHz (PC-2700) Kingston</v>
      </c>
      <c r="M435">
        <f t="shared" si="24"/>
        <v>1</v>
      </c>
      <c r="N435">
        <f t="shared" si="25"/>
        <v>0</v>
      </c>
      <c r="O435">
        <f t="shared" si="26"/>
        <v>0</v>
      </c>
      <c r="P435">
        <f t="shared" si="27"/>
        <v>1</v>
      </c>
    </row>
    <row r="436" spans="1:16" x14ac:dyDescent="0.3">
      <c r="A436" t="s">
        <v>222</v>
      </c>
      <c r="B436" t="s">
        <v>12</v>
      </c>
      <c r="C436" s="92">
        <v>42029</v>
      </c>
      <c r="D436" s="46">
        <v>2</v>
      </c>
      <c r="E436" s="47">
        <v>2.19</v>
      </c>
      <c r="F436" t="s">
        <v>33</v>
      </c>
      <c r="J436" t="s">
        <v>720</v>
      </c>
      <c r="K436">
        <f>COUNTIF($A$1:A436,A436)</f>
        <v>1</v>
      </c>
      <c r="L436" t="str">
        <f>VLOOKUP(A436,'Cadastro de Produtos'!A:B,2,0)</f>
        <v>Memória de Notebook DDR 1GB 400MHz (PC-3200) Kingston</v>
      </c>
      <c r="M436">
        <f t="shared" si="24"/>
        <v>2</v>
      </c>
      <c r="N436">
        <f t="shared" si="25"/>
        <v>0</v>
      </c>
      <c r="O436">
        <f t="shared" si="26"/>
        <v>0</v>
      </c>
      <c r="P436">
        <f t="shared" si="27"/>
        <v>2</v>
      </c>
    </row>
    <row r="437" spans="1:16" x14ac:dyDescent="0.3">
      <c r="A437" t="s">
        <v>223</v>
      </c>
      <c r="B437" t="s">
        <v>12</v>
      </c>
      <c r="C437" s="92">
        <v>42029</v>
      </c>
      <c r="D437" s="46">
        <v>2</v>
      </c>
      <c r="E437" s="47">
        <v>1.3</v>
      </c>
      <c r="F437" t="s">
        <v>33</v>
      </c>
      <c r="J437" t="s">
        <v>720</v>
      </c>
      <c r="K437">
        <f>COUNTIF($A$1:A437,A437)</f>
        <v>1</v>
      </c>
      <c r="L437" t="str">
        <f>VLOOKUP(A437,'Cadastro de Produtos'!A:B,2,0)</f>
        <v>Memória de Notebook DDR2 1GB 533MHz (PC2-4200) Kingston</v>
      </c>
      <c r="M437">
        <f t="shared" si="24"/>
        <v>2</v>
      </c>
      <c r="N437">
        <f t="shared" si="25"/>
        <v>0</v>
      </c>
      <c r="O437">
        <f t="shared" si="26"/>
        <v>0</v>
      </c>
      <c r="P437">
        <f t="shared" si="27"/>
        <v>2</v>
      </c>
    </row>
    <row r="438" spans="1:16" x14ac:dyDescent="0.3">
      <c r="A438" t="s">
        <v>219</v>
      </c>
      <c r="B438" t="s">
        <v>12</v>
      </c>
      <c r="C438" s="92">
        <v>42029</v>
      </c>
      <c r="D438" s="46">
        <v>2</v>
      </c>
      <c r="E438" s="47">
        <v>380</v>
      </c>
      <c r="F438" t="s">
        <v>33</v>
      </c>
      <c r="J438" t="s">
        <v>720</v>
      </c>
      <c r="K438">
        <f>COUNTIF($A$1:A438,A438)</f>
        <v>1</v>
      </c>
      <c r="L438" t="str">
        <f>VLOOKUP(A438,'Cadastro de Produtos'!A:B,2,0)</f>
        <v>Memória DDR3 4GB KIT (2x2GB) 1600MHz (PC3-12800) Kingston</v>
      </c>
      <c r="M438">
        <f t="shared" si="24"/>
        <v>2</v>
      </c>
      <c r="N438">
        <f t="shared" si="25"/>
        <v>0</v>
      </c>
      <c r="O438">
        <f t="shared" si="26"/>
        <v>0</v>
      </c>
      <c r="P438">
        <f t="shared" si="27"/>
        <v>2</v>
      </c>
    </row>
    <row r="439" spans="1:16" x14ac:dyDescent="0.3">
      <c r="A439" t="s">
        <v>201</v>
      </c>
      <c r="B439" t="s">
        <v>12</v>
      </c>
      <c r="C439" s="92">
        <v>42029</v>
      </c>
      <c r="D439" s="46">
        <v>2</v>
      </c>
      <c r="E439" s="47">
        <v>72.900000000000006</v>
      </c>
      <c r="F439" t="s">
        <v>33</v>
      </c>
      <c r="J439" t="s">
        <v>720</v>
      </c>
      <c r="K439">
        <f>COUNTIF($A$1:A439,A439)</f>
        <v>1</v>
      </c>
      <c r="L439" t="str">
        <f>VLOOKUP(A439,'Cadastro de Produtos'!A:B,2,0)</f>
        <v>Leitor de cartão de memória para baia 3 ½ (Preto)</v>
      </c>
      <c r="M439">
        <f t="shared" si="24"/>
        <v>2</v>
      </c>
      <c r="N439">
        <f t="shared" si="25"/>
        <v>0</v>
      </c>
      <c r="O439">
        <f t="shared" si="26"/>
        <v>0</v>
      </c>
      <c r="P439">
        <f t="shared" si="27"/>
        <v>2</v>
      </c>
    </row>
    <row r="440" spans="1:16" x14ac:dyDescent="0.3">
      <c r="A440" t="s">
        <v>202</v>
      </c>
      <c r="B440" t="s">
        <v>12</v>
      </c>
      <c r="C440" s="92">
        <v>42029</v>
      </c>
      <c r="D440" s="46">
        <v>1</v>
      </c>
      <c r="E440" s="47">
        <v>284.73</v>
      </c>
      <c r="F440" t="s">
        <v>33</v>
      </c>
      <c r="J440" t="s">
        <v>720</v>
      </c>
      <c r="K440">
        <f>COUNTIF($A$1:A440,A440)</f>
        <v>1</v>
      </c>
      <c r="L440" t="str">
        <f>VLOOKUP(A440,'Cadastro de Produtos'!A:B,2,0)</f>
        <v>Leitor de CD-ROM Notebook IDE 6T980-A01</v>
      </c>
      <c r="M440">
        <f t="shared" si="24"/>
        <v>1</v>
      </c>
      <c r="N440">
        <f t="shared" si="25"/>
        <v>0</v>
      </c>
      <c r="O440">
        <f t="shared" si="26"/>
        <v>0</v>
      </c>
      <c r="P440">
        <f t="shared" si="27"/>
        <v>1</v>
      </c>
    </row>
    <row r="441" spans="1:16" x14ac:dyDescent="0.3">
      <c r="A441" t="s">
        <v>203</v>
      </c>
      <c r="B441" t="s">
        <v>12</v>
      </c>
      <c r="C441" s="92">
        <v>42029</v>
      </c>
      <c r="D441" s="46">
        <v>2</v>
      </c>
      <c r="E441" s="47">
        <v>34.68</v>
      </c>
      <c r="F441" t="s">
        <v>33</v>
      </c>
      <c r="J441" t="s">
        <v>720</v>
      </c>
      <c r="K441">
        <f>COUNTIF($A$1:A441,A441)</f>
        <v>1</v>
      </c>
      <c r="L441" t="str">
        <f>VLOOKUP(A441,'Cadastro de Produtos'!A:B,2,0)</f>
        <v>Leitor de código de barras CPX10 Slim Compex USB</v>
      </c>
      <c r="M441">
        <f t="shared" si="24"/>
        <v>2</v>
      </c>
      <c r="N441">
        <f t="shared" si="25"/>
        <v>0</v>
      </c>
      <c r="O441">
        <f t="shared" si="26"/>
        <v>0</v>
      </c>
      <c r="P441">
        <f t="shared" si="27"/>
        <v>2</v>
      </c>
    </row>
    <row r="442" spans="1:16" x14ac:dyDescent="0.3">
      <c r="A442" t="s">
        <v>213</v>
      </c>
      <c r="B442" t="s">
        <v>12</v>
      </c>
      <c r="C442" s="92">
        <v>42029</v>
      </c>
      <c r="D442" s="46">
        <v>3</v>
      </c>
      <c r="E442" s="47">
        <v>32.049999999999997</v>
      </c>
      <c r="F442" t="s">
        <v>33</v>
      </c>
      <c r="J442" t="s">
        <v>720</v>
      </c>
      <c r="K442">
        <f>COUNTIF($A$1:A442,A442)</f>
        <v>1</v>
      </c>
      <c r="L442" t="str">
        <f>VLOOKUP(A442,'Cadastro de Produtos'!A:B,2,0)</f>
        <v>Memória DDR2 2GB 533MHz (PC2-4200) Kingston</v>
      </c>
      <c r="M442">
        <f t="shared" si="24"/>
        <v>3</v>
      </c>
      <c r="N442">
        <f t="shared" si="25"/>
        <v>0</v>
      </c>
      <c r="O442">
        <f t="shared" si="26"/>
        <v>0</v>
      </c>
      <c r="P442">
        <f t="shared" si="27"/>
        <v>3</v>
      </c>
    </row>
    <row r="443" spans="1:16" x14ac:dyDescent="0.3">
      <c r="A443" t="s">
        <v>214</v>
      </c>
      <c r="B443" t="s">
        <v>12</v>
      </c>
      <c r="C443" s="92">
        <v>42029</v>
      </c>
      <c r="D443" s="46">
        <v>1</v>
      </c>
      <c r="E443" s="47">
        <v>29.5</v>
      </c>
      <c r="F443" t="s">
        <v>33</v>
      </c>
      <c r="J443" t="s">
        <v>720</v>
      </c>
      <c r="K443">
        <f>COUNTIF($A$1:A443,A443)</f>
        <v>1</v>
      </c>
      <c r="L443" t="str">
        <f>VLOOKUP(A443,'Cadastro de Produtos'!A:B,2,0)</f>
        <v>Memória DDR2 2GB 667MHz (PC2-5300) Kingston</v>
      </c>
      <c r="M443">
        <f t="shared" si="24"/>
        <v>1</v>
      </c>
      <c r="N443">
        <f t="shared" si="25"/>
        <v>0</v>
      </c>
      <c r="O443">
        <f t="shared" si="26"/>
        <v>0</v>
      </c>
      <c r="P443">
        <f t="shared" si="27"/>
        <v>1</v>
      </c>
    </row>
    <row r="444" spans="1:16" x14ac:dyDescent="0.3">
      <c r="A444" t="s">
        <v>215</v>
      </c>
      <c r="B444" t="s">
        <v>12</v>
      </c>
      <c r="C444" s="92">
        <v>42029</v>
      </c>
      <c r="D444" s="46">
        <v>2</v>
      </c>
      <c r="E444" s="47">
        <v>26.5</v>
      </c>
      <c r="F444" t="s">
        <v>33</v>
      </c>
      <c r="J444" t="s">
        <v>720</v>
      </c>
      <c r="K444">
        <f>COUNTIF($A$1:A444,A444)</f>
        <v>1</v>
      </c>
      <c r="L444" t="str">
        <f>VLOOKUP(A444,'Cadastro de Produtos'!A:B,2,0)</f>
        <v>Memória DDR2 2GB 800MHz (PC2-6400) Kingston</v>
      </c>
      <c r="M444">
        <f t="shared" si="24"/>
        <v>2</v>
      </c>
      <c r="N444">
        <f t="shared" si="25"/>
        <v>0</v>
      </c>
      <c r="O444">
        <f t="shared" si="26"/>
        <v>0</v>
      </c>
      <c r="P444">
        <f t="shared" si="27"/>
        <v>2</v>
      </c>
    </row>
    <row r="445" spans="1:16" x14ac:dyDescent="0.3">
      <c r="A445" t="s">
        <v>216</v>
      </c>
      <c r="B445" t="s">
        <v>12</v>
      </c>
      <c r="C445" s="92">
        <v>42029</v>
      </c>
      <c r="D445" s="46">
        <v>6</v>
      </c>
      <c r="E445" s="47">
        <v>19.899999999999999</v>
      </c>
      <c r="F445" t="s">
        <v>33</v>
      </c>
      <c r="J445" t="s">
        <v>720</v>
      </c>
      <c r="K445">
        <f>COUNTIF($A$1:A445,A445)</f>
        <v>1</v>
      </c>
      <c r="L445" t="str">
        <f>VLOOKUP(A445,'Cadastro de Produtos'!A:B,2,0)</f>
        <v>Memória DDR2 4GB 667 ECC (Kit 2x2) KVR667D2E5K2/4G Kingston</v>
      </c>
      <c r="M445">
        <f t="shared" si="24"/>
        <v>6</v>
      </c>
      <c r="N445">
        <f t="shared" si="25"/>
        <v>0</v>
      </c>
      <c r="O445">
        <f t="shared" si="26"/>
        <v>0</v>
      </c>
      <c r="P445">
        <f t="shared" si="27"/>
        <v>6</v>
      </c>
    </row>
    <row r="446" spans="1:16" x14ac:dyDescent="0.3">
      <c r="A446" t="s">
        <v>217</v>
      </c>
      <c r="B446" t="s">
        <v>12</v>
      </c>
      <c r="C446" s="92">
        <v>42029</v>
      </c>
      <c r="D446" s="46">
        <v>1</v>
      </c>
      <c r="E446" s="47">
        <v>440</v>
      </c>
      <c r="F446" t="s">
        <v>33</v>
      </c>
      <c r="J446" t="s">
        <v>720</v>
      </c>
      <c r="K446">
        <f>COUNTIF($A$1:A446,A446)</f>
        <v>1</v>
      </c>
      <c r="L446" t="str">
        <f>VLOOKUP(A446,'Cadastro de Produtos'!A:B,2,0)</f>
        <v>Memória DDR3 2GB 1333MHz (PC3-10600) Kingston</v>
      </c>
      <c r="M446">
        <f t="shared" si="24"/>
        <v>1</v>
      </c>
      <c r="N446">
        <f t="shared" si="25"/>
        <v>0</v>
      </c>
      <c r="O446">
        <f t="shared" si="26"/>
        <v>0</v>
      </c>
      <c r="P446">
        <f t="shared" si="27"/>
        <v>1</v>
      </c>
    </row>
    <row r="447" spans="1:16" x14ac:dyDescent="0.3">
      <c r="A447" t="s">
        <v>204</v>
      </c>
      <c r="B447" t="s">
        <v>12</v>
      </c>
      <c r="C447" s="92">
        <v>42029</v>
      </c>
      <c r="D447" s="46">
        <v>11</v>
      </c>
      <c r="E447" s="47">
        <v>14.33</v>
      </c>
      <c r="F447" t="s">
        <v>33</v>
      </c>
      <c r="J447" t="s">
        <v>720</v>
      </c>
      <c r="K447">
        <f>COUNTIF($A$1:A447,A447)</f>
        <v>1</v>
      </c>
      <c r="L447" t="str">
        <f>VLOOKUP(A447,'Cadastro de Produtos'!A:B,2,0)</f>
        <v>Leitor de DVD-ROM Notebook IDE HL GDR-8082N</v>
      </c>
      <c r="M447">
        <f t="shared" si="24"/>
        <v>11</v>
      </c>
      <c r="N447">
        <f t="shared" si="25"/>
        <v>0</v>
      </c>
      <c r="O447">
        <f t="shared" si="26"/>
        <v>0</v>
      </c>
      <c r="P447">
        <f t="shared" si="27"/>
        <v>11</v>
      </c>
    </row>
    <row r="448" spans="1:16" x14ac:dyDescent="0.3">
      <c r="A448" t="s">
        <v>205</v>
      </c>
      <c r="B448" t="s">
        <v>12</v>
      </c>
      <c r="C448" s="92">
        <v>42029</v>
      </c>
      <c r="D448" s="46">
        <v>3</v>
      </c>
      <c r="E448" s="47">
        <v>14.33</v>
      </c>
      <c r="F448" t="s">
        <v>33</v>
      </c>
      <c r="J448" t="s">
        <v>720</v>
      </c>
      <c r="K448">
        <f>COUNTIF($A$1:A448,A448)</f>
        <v>1</v>
      </c>
      <c r="L448" t="str">
        <f>VLOOKUP(A448,'Cadastro de Produtos'!A:B,2,0)</f>
        <v>Leitor Linear Imager AS-8250</v>
      </c>
      <c r="M448">
        <f t="shared" si="24"/>
        <v>3</v>
      </c>
      <c r="N448">
        <f t="shared" si="25"/>
        <v>0</v>
      </c>
      <c r="O448">
        <f t="shared" si="26"/>
        <v>0</v>
      </c>
      <c r="P448">
        <f t="shared" si="27"/>
        <v>3</v>
      </c>
    </row>
    <row r="449" spans="1:16" x14ac:dyDescent="0.3">
      <c r="A449" t="s">
        <v>206</v>
      </c>
      <c r="B449" t="s">
        <v>12</v>
      </c>
      <c r="C449" s="92">
        <v>42029</v>
      </c>
      <c r="D449" s="46">
        <v>2</v>
      </c>
      <c r="E449" s="47">
        <v>14.33</v>
      </c>
      <c r="F449" t="s">
        <v>33</v>
      </c>
      <c r="J449" t="s">
        <v>720</v>
      </c>
      <c r="K449">
        <f>COUNTIF($A$1:A449,A449)</f>
        <v>1</v>
      </c>
      <c r="L449" t="str">
        <f>VLOOKUP(A449,'Cadastro de Produtos'!A:B,2,0)</f>
        <v>Memória DDR 1GB 266MHz (PC-2100) Kingston</v>
      </c>
      <c r="M449">
        <f t="shared" si="24"/>
        <v>2</v>
      </c>
      <c r="N449">
        <f t="shared" si="25"/>
        <v>0</v>
      </c>
      <c r="O449">
        <f t="shared" si="26"/>
        <v>0</v>
      </c>
      <c r="P449">
        <f t="shared" si="27"/>
        <v>2</v>
      </c>
    </row>
    <row r="450" spans="1:16" x14ac:dyDescent="0.3">
      <c r="A450" t="s">
        <v>207</v>
      </c>
      <c r="B450" t="s">
        <v>17</v>
      </c>
      <c r="C450" s="92">
        <v>42029</v>
      </c>
      <c r="D450" s="46">
        <v>18</v>
      </c>
      <c r="E450" s="47">
        <v>0</v>
      </c>
      <c r="F450" t="s">
        <v>56</v>
      </c>
      <c r="J450" t="s">
        <v>720</v>
      </c>
      <c r="K450">
        <f>COUNTIF($A$1:A450,A450)</f>
        <v>1</v>
      </c>
      <c r="L450" t="str">
        <f>VLOOKUP(A450,'Cadastro de Produtos'!A:B,2,0)</f>
        <v>Memória DDR 1GB 333MHz (PC-2700) Kingston</v>
      </c>
      <c r="M450">
        <f t="shared" ref="M450:M513" si="28">SUMIF(B450,"E",D450:D450)</f>
        <v>0</v>
      </c>
      <c r="N450">
        <f t="shared" ref="N450:N513" si="29">SUMIF(B450,"S",D450:D450)</f>
        <v>18</v>
      </c>
      <c r="O450">
        <f t="shared" ref="O450:O513" si="30">N450*-1</f>
        <v>-18</v>
      </c>
      <c r="P450">
        <f t="shared" ref="P450:P513" si="31">SUM(M450+O450)</f>
        <v>-18</v>
      </c>
    </row>
    <row r="451" spans="1:16" x14ac:dyDescent="0.3">
      <c r="A451" t="s">
        <v>207</v>
      </c>
      <c r="B451" t="s">
        <v>12</v>
      </c>
      <c r="C451" s="92">
        <v>42029</v>
      </c>
      <c r="D451" s="46">
        <v>18</v>
      </c>
      <c r="E451" s="47">
        <v>14.33</v>
      </c>
      <c r="F451" t="s">
        <v>33</v>
      </c>
      <c r="J451" t="s">
        <v>720</v>
      </c>
      <c r="K451">
        <f>COUNTIF($A$1:A451,A451)</f>
        <v>2</v>
      </c>
      <c r="L451" t="str">
        <f>VLOOKUP(A451,'Cadastro de Produtos'!A:B,2,0)</f>
        <v>Memória DDR 1GB 333MHz (PC-2700) Kingston</v>
      </c>
      <c r="M451">
        <f t="shared" si="28"/>
        <v>18</v>
      </c>
      <c r="N451">
        <f t="shared" si="29"/>
        <v>0</v>
      </c>
      <c r="O451">
        <f t="shared" si="30"/>
        <v>0</v>
      </c>
      <c r="P451">
        <f t="shared" si="31"/>
        <v>18</v>
      </c>
    </row>
    <row r="452" spans="1:16" x14ac:dyDescent="0.3">
      <c r="A452" t="s">
        <v>207</v>
      </c>
      <c r="B452" t="s">
        <v>12</v>
      </c>
      <c r="C452" s="92">
        <v>42029</v>
      </c>
      <c r="D452" s="46">
        <v>18</v>
      </c>
      <c r="E452" s="47">
        <v>14.33</v>
      </c>
      <c r="F452" t="s">
        <v>33</v>
      </c>
      <c r="J452" t="s">
        <v>720</v>
      </c>
      <c r="K452">
        <f>COUNTIF($A$1:A452,A452)</f>
        <v>3</v>
      </c>
      <c r="L452" t="str">
        <f>VLOOKUP(A452,'Cadastro de Produtos'!A:B,2,0)</f>
        <v>Memória DDR 1GB 333MHz (PC-2700) Kingston</v>
      </c>
      <c r="M452">
        <f t="shared" si="28"/>
        <v>18</v>
      </c>
      <c r="N452">
        <f t="shared" si="29"/>
        <v>0</v>
      </c>
      <c r="O452">
        <f t="shared" si="30"/>
        <v>0</v>
      </c>
      <c r="P452">
        <f t="shared" si="31"/>
        <v>18</v>
      </c>
    </row>
    <row r="453" spans="1:16" x14ac:dyDescent="0.3">
      <c r="A453" t="s">
        <v>208</v>
      </c>
      <c r="B453" t="s">
        <v>12</v>
      </c>
      <c r="C453" s="92">
        <v>42029</v>
      </c>
      <c r="D453" s="46">
        <v>2</v>
      </c>
      <c r="E453" s="47">
        <v>9.9700000000000006</v>
      </c>
      <c r="F453" t="s">
        <v>33</v>
      </c>
      <c r="J453" t="s">
        <v>720</v>
      </c>
      <c r="K453">
        <f>COUNTIF($A$1:A453,A453)</f>
        <v>1</v>
      </c>
      <c r="L453" t="str">
        <f>VLOOKUP(A453,'Cadastro de Produtos'!A:B,2,0)</f>
        <v>Memória DDR 1GB 400MHz (PC-3200) Kingston</v>
      </c>
      <c r="M453">
        <f t="shared" si="28"/>
        <v>2</v>
      </c>
      <c r="N453">
        <f t="shared" si="29"/>
        <v>0</v>
      </c>
      <c r="O453">
        <f t="shared" si="30"/>
        <v>0</v>
      </c>
      <c r="P453">
        <f t="shared" si="31"/>
        <v>2</v>
      </c>
    </row>
    <row r="454" spans="1:16" x14ac:dyDescent="0.3">
      <c r="A454" t="s">
        <v>209</v>
      </c>
      <c r="B454" t="s">
        <v>12</v>
      </c>
      <c r="C454" s="92">
        <v>42029</v>
      </c>
      <c r="D454" s="46">
        <v>8</v>
      </c>
      <c r="E454" s="47">
        <v>12.33</v>
      </c>
      <c r="F454" t="s">
        <v>33</v>
      </c>
      <c r="J454" t="s">
        <v>720</v>
      </c>
      <c r="K454">
        <f>COUNTIF($A$1:A454,A454)</f>
        <v>1</v>
      </c>
      <c r="L454" t="str">
        <f>VLOOKUP(A454,'Cadastro de Produtos'!A:B,2,0)</f>
        <v>Memória DDR2 1GB 533MHz (PC2-4200) Kingston</v>
      </c>
      <c r="M454">
        <f t="shared" si="28"/>
        <v>8</v>
      </c>
      <c r="N454">
        <f t="shared" si="29"/>
        <v>0</v>
      </c>
      <c r="O454">
        <f t="shared" si="30"/>
        <v>0</v>
      </c>
      <c r="P454">
        <f t="shared" si="31"/>
        <v>8</v>
      </c>
    </row>
    <row r="455" spans="1:16" x14ac:dyDescent="0.3">
      <c r="A455" t="s">
        <v>210</v>
      </c>
      <c r="B455" t="s">
        <v>12</v>
      </c>
      <c r="C455" s="92">
        <v>42029</v>
      </c>
      <c r="D455" s="46">
        <v>27</v>
      </c>
      <c r="E455" s="47">
        <v>12.33</v>
      </c>
      <c r="F455" t="s">
        <v>33</v>
      </c>
      <c r="J455" t="s">
        <v>720</v>
      </c>
      <c r="K455">
        <f>COUNTIF($A$1:A455,A455)</f>
        <v>1</v>
      </c>
      <c r="L455" t="str">
        <f>VLOOKUP(A455,'Cadastro de Produtos'!A:B,2,0)</f>
        <v>Memória DDR2 1GB 667MHz (PC2-5300) Kingston</v>
      </c>
      <c r="M455">
        <f t="shared" si="28"/>
        <v>27</v>
      </c>
      <c r="N455">
        <f t="shared" si="29"/>
        <v>0</v>
      </c>
      <c r="O455">
        <f t="shared" si="30"/>
        <v>0</v>
      </c>
      <c r="P455">
        <f t="shared" si="31"/>
        <v>27</v>
      </c>
    </row>
    <row r="456" spans="1:16" x14ac:dyDescent="0.3">
      <c r="A456" t="s">
        <v>211</v>
      </c>
      <c r="B456" t="s">
        <v>12</v>
      </c>
      <c r="C456" s="92">
        <v>42029</v>
      </c>
      <c r="D456" s="46">
        <v>14</v>
      </c>
      <c r="E456" s="47">
        <v>8</v>
      </c>
      <c r="F456" t="s">
        <v>33</v>
      </c>
      <c r="J456" t="s">
        <v>720</v>
      </c>
      <c r="K456">
        <f>COUNTIF($A$1:A456,A456)</f>
        <v>1</v>
      </c>
      <c r="L456" t="str">
        <f>VLOOKUP(A456,'Cadastro de Produtos'!A:B,2,0)</f>
        <v>Memória DDR2 1GB 800MHz (PC2-6400) Kingston</v>
      </c>
      <c r="M456">
        <f t="shared" si="28"/>
        <v>14</v>
      </c>
      <c r="N456">
        <f t="shared" si="29"/>
        <v>0</v>
      </c>
      <c r="O456">
        <f t="shared" si="30"/>
        <v>0</v>
      </c>
      <c r="P456">
        <f t="shared" si="31"/>
        <v>14</v>
      </c>
    </row>
    <row r="457" spans="1:16" x14ac:dyDescent="0.3">
      <c r="A457" t="s">
        <v>212</v>
      </c>
      <c r="B457" t="s">
        <v>12</v>
      </c>
      <c r="C457" s="92">
        <v>42029</v>
      </c>
      <c r="D457" s="46">
        <v>36</v>
      </c>
      <c r="E457" s="47">
        <v>2.36</v>
      </c>
      <c r="F457" t="s">
        <v>33</v>
      </c>
      <c r="J457" t="s">
        <v>720</v>
      </c>
      <c r="K457">
        <f>COUNTIF($A$1:A457,A457)</f>
        <v>1</v>
      </c>
      <c r="L457" t="str">
        <f>VLOOKUP(A457,'Cadastro de Produtos'!A:B,2,0)</f>
        <v>Memória DDR2 2GB 1066MHz (PC2-8500) Kingston</v>
      </c>
      <c r="M457">
        <f t="shared" si="28"/>
        <v>36</v>
      </c>
      <c r="N457">
        <f t="shared" si="29"/>
        <v>0</v>
      </c>
      <c r="O457">
        <f t="shared" si="30"/>
        <v>0</v>
      </c>
      <c r="P457">
        <f t="shared" si="31"/>
        <v>36</v>
      </c>
    </row>
    <row r="458" spans="1:16" x14ac:dyDescent="0.3">
      <c r="A458" t="s">
        <v>224</v>
      </c>
      <c r="B458" t="s">
        <v>12</v>
      </c>
      <c r="C458" s="92">
        <v>42029</v>
      </c>
      <c r="D458" s="46">
        <v>1</v>
      </c>
      <c r="E458" s="47">
        <v>233.9</v>
      </c>
      <c r="F458" t="s">
        <v>33</v>
      </c>
      <c r="J458" t="s">
        <v>720</v>
      </c>
      <c r="K458">
        <f>COUNTIF($A$1:A458,A458)</f>
        <v>1</v>
      </c>
      <c r="L458" t="str">
        <f>VLOOKUP(A458,'Cadastro de Produtos'!A:B,2,0)</f>
        <v>Memória de Notebook DDR2 1GB 667MHz (PC2-5300) Kingston</v>
      </c>
      <c r="M458">
        <f t="shared" si="28"/>
        <v>1</v>
      </c>
      <c r="N458">
        <f t="shared" si="29"/>
        <v>0</v>
      </c>
      <c r="O458">
        <f t="shared" si="30"/>
        <v>0</v>
      </c>
      <c r="P458">
        <f t="shared" si="31"/>
        <v>1</v>
      </c>
    </row>
    <row r="459" spans="1:16" x14ac:dyDescent="0.3">
      <c r="A459" t="s">
        <v>225</v>
      </c>
      <c r="B459" t="s">
        <v>12</v>
      </c>
      <c r="C459" s="92">
        <v>42029</v>
      </c>
      <c r="D459" s="46">
        <v>1</v>
      </c>
      <c r="E459" s="47">
        <v>63.95</v>
      </c>
      <c r="F459" t="s">
        <v>33</v>
      </c>
      <c r="J459" t="s">
        <v>720</v>
      </c>
      <c r="K459">
        <f>COUNTIF($A$1:A459,A459)</f>
        <v>1</v>
      </c>
      <c r="L459" t="str">
        <f>VLOOKUP(A459,'Cadastro de Produtos'!A:B,2,0)</f>
        <v>Memória de Notebook DDR2 2GB 667MHz (PC2-5300) Kingston</v>
      </c>
      <c r="M459">
        <f t="shared" si="28"/>
        <v>1</v>
      </c>
      <c r="N459">
        <f t="shared" si="29"/>
        <v>0</v>
      </c>
      <c r="O459">
        <f t="shared" si="30"/>
        <v>0</v>
      </c>
      <c r="P459">
        <f t="shared" si="31"/>
        <v>1</v>
      </c>
    </row>
    <row r="460" spans="1:16" x14ac:dyDescent="0.3">
      <c r="A460" t="s">
        <v>228</v>
      </c>
      <c r="B460" t="s">
        <v>12</v>
      </c>
      <c r="C460" s="92">
        <v>42029</v>
      </c>
      <c r="D460" s="46">
        <v>2</v>
      </c>
      <c r="E460" s="47">
        <v>321.89999999999998</v>
      </c>
      <c r="F460" t="s">
        <v>33</v>
      </c>
      <c r="J460" t="s">
        <v>720</v>
      </c>
      <c r="K460">
        <f>COUNTIF($A$1:A460,A460)</f>
        <v>1</v>
      </c>
      <c r="L460" t="str">
        <f>VLOOKUP(A460,'Cadastro de Produtos'!A:B,2,0)</f>
        <v>Memória ECC DDR 1GB 400MHz (PC-3200) Kingston</v>
      </c>
      <c r="M460">
        <f t="shared" si="28"/>
        <v>2</v>
      </c>
      <c r="N460">
        <f t="shared" si="29"/>
        <v>0</v>
      </c>
      <c r="O460">
        <f t="shared" si="30"/>
        <v>0</v>
      </c>
      <c r="P460">
        <f t="shared" si="31"/>
        <v>2</v>
      </c>
    </row>
    <row r="461" spans="1:16" x14ac:dyDescent="0.3">
      <c r="A461" t="s">
        <v>229</v>
      </c>
      <c r="B461" t="s">
        <v>12</v>
      </c>
      <c r="C461" s="92">
        <v>42029</v>
      </c>
      <c r="D461" s="46">
        <v>1</v>
      </c>
      <c r="E461" s="47">
        <v>389.9</v>
      </c>
      <c r="F461" t="s">
        <v>33</v>
      </c>
      <c r="J461" t="s">
        <v>720</v>
      </c>
      <c r="K461">
        <f>COUNTIF($A$1:A461,A461)</f>
        <v>1</v>
      </c>
      <c r="L461" t="str">
        <f>VLOOKUP(A461,'Cadastro de Produtos'!A:B,2,0)</f>
        <v>Memória ECC DDR2 2GB 667MHz PC2 5300 (KVR667D2S4F5/2G) Kingston</v>
      </c>
      <c r="M461">
        <f t="shared" si="28"/>
        <v>1</v>
      </c>
      <c r="N461">
        <f t="shared" si="29"/>
        <v>0</v>
      </c>
      <c r="O461">
        <f t="shared" si="30"/>
        <v>0</v>
      </c>
      <c r="P461">
        <f t="shared" si="31"/>
        <v>1</v>
      </c>
    </row>
    <row r="462" spans="1:16" x14ac:dyDescent="0.3">
      <c r="A462" t="s">
        <v>230</v>
      </c>
      <c r="B462" t="s">
        <v>12</v>
      </c>
      <c r="C462" s="92">
        <v>42029</v>
      </c>
      <c r="D462" s="46">
        <v>1</v>
      </c>
      <c r="E462" s="47">
        <v>236.9</v>
      </c>
      <c r="F462" t="s">
        <v>33</v>
      </c>
      <c r="J462" t="s">
        <v>720</v>
      </c>
      <c r="K462">
        <f>COUNTIF($A$1:A462,A462)</f>
        <v>1</v>
      </c>
      <c r="L462" t="str">
        <f>VLOOKUP(A462,'Cadastro de Produtos'!A:B,2,0)</f>
        <v>Memória ECC DDR2 4GB 667MHz PC2 5300 (KVR667D2D4F5/4G) Kingston</v>
      </c>
      <c r="M462">
        <f t="shared" si="28"/>
        <v>1</v>
      </c>
      <c r="N462">
        <f t="shared" si="29"/>
        <v>0</v>
      </c>
      <c r="O462">
        <f t="shared" si="30"/>
        <v>0</v>
      </c>
      <c r="P462">
        <f t="shared" si="31"/>
        <v>1</v>
      </c>
    </row>
    <row r="463" spans="1:16" x14ac:dyDescent="0.3">
      <c r="A463" t="s">
        <v>231</v>
      </c>
      <c r="B463" t="s">
        <v>12</v>
      </c>
      <c r="C463" s="92">
        <v>42029</v>
      </c>
      <c r="D463" s="46">
        <v>3</v>
      </c>
      <c r="E463" s="47">
        <v>182.9</v>
      </c>
      <c r="F463" t="s">
        <v>33</v>
      </c>
      <c r="J463" t="s">
        <v>720</v>
      </c>
      <c r="K463">
        <f>COUNTIF($A$1:A463,A463)</f>
        <v>1</v>
      </c>
      <c r="L463" t="str">
        <f>VLOOKUP(A463,'Cadastro de Produtos'!A:B,2,0)</f>
        <v>Memória ECC DDR3 2GB 1333MHz (PC3-10600) KVR1333D3E9S/2GI Kingston</v>
      </c>
      <c r="M463">
        <f t="shared" si="28"/>
        <v>3</v>
      </c>
      <c r="N463">
        <f t="shared" si="29"/>
        <v>0</v>
      </c>
      <c r="O463">
        <f t="shared" si="30"/>
        <v>0</v>
      </c>
      <c r="P463">
        <f t="shared" si="31"/>
        <v>3</v>
      </c>
    </row>
    <row r="464" spans="1:16" x14ac:dyDescent="0.3">
      <c r="A464" t="s">
        <v>237</v>
      </c>
      <c r="B464" t="s">
        <v>12</v>
      </c>
      <c r="C464" s="92">
        <v>42029</v>
      </c>
      <c r="D464" s="48">
        <v>1</v>
      </c>
      <c r="E464" s="49">
        <v>25.9</v>
      </c>
      <c r="F464" t="s">
        <v>33</v>
      </c>
      <c r="J464" t="s">
        <v>720</v>
      </c>
      <c r="K464">
        <f>COUNTIF($A$1:A464,A464)</f>
        <v>1</v>
      </c>
      <c r="L464" t="str">
        <f>VLOOKUP(A464,'Cadastro de Produtos'!A:B,2,0)</f>
        <v>Monitor AOC LCD 18.5 F19L Widescreen</v>
      </c>
      <c r="M464">
        <f t="shared" si="28"/>
        <v>1</v>
      </c>
      <c r="N464">
        <f t="shared" si="29"/>
        <v>0</v>
      </c>
      <c r="O464">
        <f t="shared" si="30"/>
        <v>0</v>
      </c>
      <c r="P464">
        <f t="shared" si="31"/>
        <v>1</v>
      </c>
    </row>
    <row r="465" spans="1:16" x14ac:dyDescent="0.3">
      <c r="A465" t="s">
        <v>218</v>
      </c>
      <c r="B465" t="s">
        <v>12</v>
      </c>
      <c r="C465" s="92">
        <v>42029</v>
      </c>
      <c r="D465" s="46">
        <v>4</v>
      </c>
      <c r="E465" s="47">
        <v>11.9</v>
      </c>
      <c r="F465" t="s">
        <v>33</v>
      </c>
      <c r="J465" t="s">
        <v>720</v>
      </c>
      <c r="K465">
        <f>COUNTIF($A$1:A465,A465)</f>
        <v>1</v>
      </c>
      <c r="L465" t="str">
        <f>VLOOKUP(A465,'Cadastro de Produtos'!A:B,2,0)</f>
        <v>Memória DDR3 4GB 1333MHz (PC3-10600) Kingston KVR1333D3N9/4G</v>
      </c>
      <c r="M465">
        <f t="shared" si="28"/>
        <v>4</v>
      </c>
      <c r="N465">
        <f t="shared" si="29"/>
        <v>0</v>
      </c>
      <c r="O465">
        <f t="shared" si="30"/>
        <v>0</v>
      </c>
      <c r="P465">
        <f t="shared" si="31"/>
        <v>4</v>
      </c>
    </row>
    <row r="466" spans="1:16" x14ac:dyDescent="0.3">
      <c r="A466" t="s">
        <v>238</v>
      </c>
      <c r="B466" t="s">
        <v>12</v>
      </c>
      <c r="C466" s="92">
        <v>42029</v>
      </c>
      <c r="D466" s="48">
        <v>11</v>
      </c>
      <c r="E466" s="49">
        <v>88.16</v>
      </c>
      <c r="F466" t="s">
        <v>33</v>
      </c>
      <c r="J466" t="s">
        <v>720</v>
      </c>
      <c r="K466">
        <f>COUNTIF($A$1:A466,A466)</f>
        <v>1</v>
      </c>
      <c r="L466" t="str">
        <f>VLOOKUP(A466,'Cadastro de Produtos'!A:B,2,0)</f>
        <v>Monitor AOC LCD AOC 2236VWA Widescreen</v>
      </c>
      <c r="M466">
        <f t="shared" si="28"/>
        <v>11</v>
      </c>
      <c r="N466">
        <f t="shared" si="29"/>
        <v>0</v>
      </c>
      <c r="O466">
        <f t="shared" si="30"/>
        <v>0</v>
      </c>
      <c r="P466">
        <f t="shared" si="31"/>
        <v>11</v>
      </c>
    </row>
    <row r="467" spans="1:16" x14ac:dyDescent="0.3">
      <c r="A467" t="s">
        <v>239</v>
      </c>
      <c r="B467" t="s">
        <v>12</v>
      </c>
      <c r="C467" s="92">
        <v>42029</v>
      </c>
      <c r="D467" s="48">
        <v>3</v>
      </c>
      <c r="E467" s="49">
        <v>56.3</v>
      </c>
      <c r="F467" t="s">
        <v>33</v>
      </c>
      <c r="J467" t="s">
        <v>720</v>
      </c>
      <c r="K467">
        <f>COUNTIF($A$1:A467,A467)</f>
        <v>1</v>
      </c>
      <c r="L467" t="str">
        <f>VLOOKUP(A467,'Cadastro de Produtos'!A:B,2,0)</f>
        <v>Monitor LG LCD 15.6 W1643C Widescreen</v>
      </c>
      <c r="M467">
        <f t="shared" si="28"/>
        <v>3</v>
      </c>
      <c r="N467">
        <f t="shared" si="29"/>
        <v>0</v>
      </c>
      <c r="O467">
        <f t="shared" si="30"/>
        <v>0</v>
      </c>
      <c r="P467">
        <f t="shared" si="31"/>
        <v>3</v>
      </c>
    </row>
    <row r="468" spans="1:16" x14ac:dyDescent="0.3">
      <c r="A468" t="s">
        <v>240</v>
      </c>
      <c r="B468" t="s">
        <v>12</v>
      </c>
      <c r="C468" s="92">
        <v>42029</v>
      </c>
      <c r="D468" s="48">
        <v>1</v>
      </c>
      <c r="E468" s="49">
        <v>0.01</v>
      </c>
      <c r="F468" t="s">
        <v>33</v>
      </c>
      <c r="J468" t="s">
        <v>720</v>
      </c>
      <c r="K468">
        <f>COUNTIF($A$1:A468,A468)</f>
        <v>1</v>
      </c>
      <c r="L468" t="str">
        <f>VLOOKUP(A468,'Cadastro de Produtos'!A:B,2,0)</f>
        <v>Monitor LG LCD 17 W1752T Widescreen Preto</v>
      </c>
      <c r="M468">
        <f t="shared" si="28"/>
        <v>1</v>
      </c>
      <c r="N468">
        <f t="shared" si="29"/>
        <v>0</v>
      </c>
      <c r="O468">
        <f t="shared" si="30"/>
        <v>0</v>
      </c>
      <c r="P468">
        <f t="shared" si="31"/>
        <v>1</v>
      </c>
    </row>
    <row r="469" spans="1:16" x14ac:dyDescent="0.3">
      <c r="A469" t="s">
        <v>242</v>
      </c>
      <c r="B469" t="s">
        <v>12</v>
      </c>
      <c r="C469" s="92">
        <v>42029</v>
      </c>
      <c r="D469" s="48">
        <v>5</v>
      </c>
      <c r="E469" s="49">
        <v>55.9</v>
      </c>
      <c r="F469" t="s">
        <v>33</v>
      </c>
      <c r="J469" t="s">
        <v>720</v>
      </c>
      <c r="K469">
        <f>COUNTIF($A$1:A469,A469)</f>
        <v>1</v>
      </c>
      <c r="L469" t="str">
        <f>VLOOKUP(A469,'Cadastro de Produtos'!A:B,2,0)</f>
        <v>Monitor LG LCD 19 W1953 Widescreen</v>
      </c>
      <c r="M469">
        <f t="shared" si="28"/>
        <v>5</v>
      </c>
      <c r="N469">
        <f t="shared" si="29"/>
        <v>0</v>
      </c>
      <c r="O469">
        <f t="shared" si="30"/>
        <v>0</v>
      </c>
      <c r="P469">
        <f t="shared" si="31"/>
        <v>5</v>
      </c>
    </row>
    <row r="470" spans="1:16" x14ac:dyDescent="0.3">
      <c r="A470" t="s">
        <v>243</v>
      </c>
      <c r="B470" t="s">
        <v>12</v>
      </c>
      <c r="C470" s="92">
        <v>42029</v>
      </c>
      <c r="D470" s="48">
        <v>3</v>
      </c>
      <c r="E470" s="49">
        <v>55.9</v>
      </c>
      <c r="F470" t="s">
        <v>33</v>
      </c>
      <c r="J470" t="s">
        <v>720</v>
      </c>
      <c r="K470">
        <f>COUNTIF($A$1:A470,A470)</f>
        <v>1</v>
      </c>
      <c r="L470" t="str">
        <f>VLOOKUP(A470,'Cadastro de Produtos'!A:B,2,0)</f>
        <v>Monitor LG LCD 20 W2043S Widescreen</v>
      </c>
      <c r="M470">
        <f t="shared" si="28"/>
        <v>3</v>
      </c>
      <c r="N470">
        <f t="shared" si="29"/>
        <v>0</v>
      </c>
      <c r="O470">
        <f t="shared" si="30"/>
        <v>0</v>
      </c>
      <c r="P470">
        <f t="shared" si="31"/>
        <v>3</v>
      </c>
    </row>
    <row r="471" spans="1:16" x14ac:dyDescent="0.3">
      <c r="A471" t="s">
        <v>244</v>
      </c>
      <c r="B471" t="s">
        <v>12</v>
      </c>
      <c r="C471" s="92">
        <v>42029</v>
      </c>
      <c r="D471" s="48">
        <v>5</v>
      </c>
      <c r="E471" s="49">
        <v>273.89999999999998</v>
      </c>
      <c r="F471" t="s">
        <v>33</v>
      </c>
      <c r="J471" t="s">
        <v>720</v>
      </c>
      <c r="K471">
        <f>COUNTIF($A$1:A471,A471)</f>
        <v>1</v>
      </c>
      <c r="L471" t="str">
        <f>VLOOKUP(A471,'Cadastro de Produtos'!A:B,2,0)</f>
        <v>Monitor LG LCD 20 W2053TQ Widescreen</v>
      </c>
      <c r="M471">
        <f t="shared" si="28"/>
        <v>5</v>
      </c>
      <c r="N471">
        <f t="shared" si="29"/>
        <v>0</v>
      </c>
      <c r="O471">
        <f t="shared" si="30"/>
        <v>0</v>
      </c>
      <c r="P471">
        <f t="shared" si="31"/>
        <v>5</v>
      </c>
    </row>
    <row r="472" spans="1:16" x14ac:dyDescent="0.3">
      <c r="A472" t="s">
        <v>245</v>
      </c>
      <c r="B472" t="s">
        <v>12</v>
      </c>
      <c r="C472" s="92">
        <v>42029</v>
      </c>
      <c r="D472" s="48">
        <v>1</v>
      </c>
      <c r="E472" s="49">
        <v>38.9</v>
      </c>
      <c r="F472" t="s">
        <v>33</v>
      </c>
      <c r="J472" t="s">
        <v>720</v>
      </c>
      <c r="K472">
        <f>COUNTIF($A$1:A472,A472)</f>
        <v>1</v>
      </c>
      <c r="L472" t="str">
        <f>VLOOKUP(A472,'Cadastro de Produtos'!A:B,2,0)</f>
        <v>Monitor LG LCD 21.5 W2243 BR WIDESCREEN</v>
      </c>
      <c r="M472">
        <f t="shared" si="28"/>
        <v>1</v>
      </c>
      <c r="N472">
        <f t="shared" si="29"/>
        <v>0</v>
      </c>
      <c r="O472">
        <f t="shared" si="30"/>
        <v>0</v>
      </c>
      <c r="P472">
        <f t="shared" si="31"/>
        <v>1</v>
      </c>
    </row>
    <row r="473" spans="1:16" x14ac:dyDescent="0.3">
      <c r="A473" t="s">
        <v>200</v>
      </c>
      <c r="B473" t="s">
        <v>12</v>
      </c>
      <c r="C473" s="92">
        <v>42029</v>
      </c>
      <c r="D473" s="46">
        <v>0</v>
      </c>
      <c r="E473" s="47">
        <v>129.9</v>
      </c>
      <c r="F473" t="s">
        <v>33</v>
      </c>
      <c r="J473" t="s">
        <v>720</v>
      </c>
      <c r="K473">
        <f>COUNTIF($A$1:A473,A473)</f>
        <v>1</v>
      </c>
      <c r="L473" t="str">
        <f>VLOOKUP(A473,'Cadastro de Produtos'!A:B,2,0)</f>
        <v>LCD notebook SAMSUNG LTN121W1-L03 12.1</v>
      </c>
      <c r="M473">
        <f t="shared" si="28"/>
        <v>0</v>
      </c>
      <c r="N473">
        <f t="shared" si="29"/>
        <v>0</v>
      </c>
      <c r="O473">
        <f t="shared" si="30"/>
        <v>0</v>
      </c>
      <c r="P473">
        <f t="shared" si="31"/>
        <v>0</v>
      </c>
    </row>
    <row r="474" spans="1:16" x14ac:dyDescent="0.3">
      <c r="A474" t="s">
        <v>241</v>
      </c>
      <c r="B474" t="s">
        <v>12</v>
      </c>
      <c r="C474" s="92">
        <v>42029</v>
      </c>
      <c r="D474" s="48">
        <v>3</v>
      </c>
      <c r="E474" s="49">
        <v>281.89999999999998</v>
      </c>
      <c r="F474" t="s">
        <v>33</v>
      </c>
      <c r="J474" t="s">
        <v>720</v>
      </c>
      <c r="K474">
        <f>COUNTIF($A$1:A474,A474)</f>
        <v>1</v>
      </c>
      <c r="L474" t="str">
        <f>VLOOKUP(A474,'Cadastro de Produtos'!A:B,2,0)</f>
        <v>Monitor LG LCD 18.5 W1943C BR WIDESCREEN</v>
      </c>
      <c r="M474">
        <f t="shared" si="28"/>
        <v>3</v>
      </c>
      <c r="N474">
        <f t="shared" si="29"/>
        <v>0</v>
      </c>
      <c r="O474">
        <f t="shared" si="30"/>
        <v>0</v>
      </c>
      <c r="P474">
        <f t="shared" si="31"/>
        <v>3</v>
      </c>
    </row>
    <row r="475" spans="1:16" x14ac:dyDescent="0.3">
      <c r="A475" t="s">
        <v>226</v>
      </c>
      <c r="B475" t="s">
        <v>12</v>
      </c>
      <c r="C475" s="92">
        <v>42029</v>
      </c>
      <c r="D475" s="46">
        <v>2</v>
      </c>
      <c r="E475" s="47">
        <v>13.49</v>
      </c>
      <c r="F475" t="s">
        <v>33</v>
      </c>
      <c r="J475" t="s">
        <v>720</v>
      </c>
      <c r="K475">
        <f>COUNTIF($A$1:A475,A475)</f>
        <v>1</v>
      </c>
      <c r="L475" t="str">
        <f>VLOOKUP(A475,'Cadastro de Produtos'!A:B,2,0)</f>
        <v>Memória de Notebook DDR2 512MB 667MHz (PC2-5300)</v>
      </c>
      <c r="M475">
        <f t="shared" si="28"/>
        <v>2</v>
      </c>
      <c r="N475">
        <f t="shared" si="29"/>
        <v>0</v>
      </c>
      <c r="O475">
        <f t="shared" si="30"/>
        <v>0</v>
      </c>
      <c r="P475">
        <f t="shared" si="31"/>
        <v>2</v>
      </c>
    </row>
    <row r="476" spans="1:16" x14ac:dyDescent="0.3">
      <c r="A476" t="s">
        <v>227</v>
      </c>
      <c r="B476" t="s">
        <v>12</v>
      </c>
      <c r="C476" s="92">
        <v>42029</v>
      </c>
      <c r="D476" s="46">
        <v>1</v>
      </c>
      <c r="E476" s="47">
        <v>10.89</v>
      </c>
      <c r="F476" t="s">
        <v>33</v>
      </c>
      <c r="J476" t="s">
        <v>720</v>
      </c>
      <c r="K476">
        <f>COUNTIF($A$1:A476,A476)</f>
        <v>1</v>
      </c>
      <c r="L476" t="str">
        <f>VLOOKUP(A476,'Cadastro de Produtos'!A:B,2,0)</f>
        <v>Memória ECC DDR 1GB 333MHz (PC-2700) Kingston</v>
      </c>
      <c r="M476">
        <f t="shared" si="28"/>
        <v>1</v>
      </c>
      <c r="N476">
        <f t="shared" si="29"/>
        <v>0</v>
      </c>
      <c r="O476">
        <f t="shared" si="30"/>
        <v>0</v>
      </c>
      <c r="P476">
        <f t="shared" si="31"/>
        <v>1</v>
      </c>
    </row>
    <row r="477" spans="1:16" x14ac:dyDescent="0.3">
      <c r="A477" t="s">
        <v>199</v>
      </c>
      <c r="B477" t="s">
        <v>12</v>
      </c>
      <c r="C477" s="92">
        <v>42029</v>
      </c>
      <c r="D477" s="46">
        <v>1</v>
      </c>
      <c r="E477" s="47">
        <v>79.5</v>
      </c>
      <c r="F477" t="s">
        <v>33</v>
      </c>
      <c r="J477" t="s">
        <v>720</v>
      </c>
      <c r="K477">
        <f>COUNTIF($A$1:A477,A477)</f>
        <v>1</v>
      </c>
      <c r="L477" t="str">
        <f>VLOOKUP(A477,'Cadastro de Produtos'!A:B,2,0)</f>
        <v>LCD Cable XR857 50.4W109.002 M1530 REV A02</v>
      </c>
      <c r="M477">
        <f t="shared" si="28"/>
        <v>1</v>
      </c>
      <c r="N477">
        <f t="shared" si="29"/>
        <v>0</v>
      </c>
      <c r="O477">
        <f t="shared" si="30"/>
        <v>0</v>
      </c>
      <c r="P477">
        <f t="shared" si="31"/>
        <v>1</v>
      </c>
    </row>
    <row r="478" spans="1:16" x14ac:dyDescent="0.3">
      <c r="A478" t="s">
        <v>246</v>
      </c>
      <c r="B478" t="s">
        <v>12</v>
      </c>
      <c r="C478" s="92">
        <v>42029</v>
      </c>
      <c r="D478" s="48">
        <v>6</v>
      </c>
      <c r="E478" s="49">
        <v>1.5</v>
      </c>
      <c r="F478" t="s">
        <v>33</v>
      </c>
      <c r="J478" t="s">
        <v>720</v>
      </c>
      <c r="K478">
        <f>COUNTIF($A$1:A478,A478)</f>
        <v>1</v>
      </c>
      <c r="L478" t="str">
        <f>VLOOKUP(A478,'Cadastro de Produtos'!A:B,2,0)</f>
        <v>Monitor LG LCD 23 W2353V Widescreen</v>
      </c>
      <c r="M478">
        <f t="shared" si="28"/>
        <v>6</v>
      </c>
      <c r="N478">
        <f t="shared" si="29"/>
        <v>0</v>
      </c>
      <c r="O478">
        <f t="shared" si="30"/>
        <v>0</v>
      </c>
      <c r="P478">
        <f t="shared" si="31"/>
        <v>6</v>
      </c>
    </row>
    <row r="479" spans="1:16" x14ac:dyDescent="0.3">
      <c r="A479" t="s">
        <v>247</v>
      </c>
      <c r="B479" t="s">
        <v>12</v>
      </c>
      <c r="C479" s="92">
        <v>42029</v>
      </c>
      <c r="D479" s="48">
        <v>1</v>
      </c>
      <c r="E479" s="49">
        <v>4.5</v>
      </c>
      <c r="F479" t="s">
        <v>33</v>
      </c>
      <c r="J479" t="s">
        <v>720</v>
      </c>
      <c r="K479">
        <f>COUNTIF($A$1:A479,A479)</f>
        <v>1</v>
      </c>
      <c r="L479" t="str">
        <f>VLOOKUP(A479,'Cadastro de Produtos'!A:B,2,0)</f>
        <v>Monitor LG LED 18,5" E1950T 1360x768 Wide</v>
      </c>
      <c r="M479">
        <f t="shared" si="28"/>
        <v>1</v>
      </c>
      <c r="N479">
        <f t="shared" si="29"/>
        <v>0</v>
      </c>
      <c r="O479">
        <f t="shared" si="30"/>
        <v>0</v>
      </c>
      <c r="P479">
        <f t="shared" si="31"/>
        <v>1</v>
      </c>
    </row>
    <row r="480" spans="1:16" x14ac:dyDescent="0.3">
      <c r="A480" t="s">
        <v>248</v>
      </c>
      <c r="B480" t="s">
        <v>12</v>
      </c>
      <c r="C480" s="92">
        <v>42029</v>
      </c>
      <c r="D480" s="48">
        <v>3</v>
      </c>
      <c r="E480" s="49">
        <v>6.5</v>
      </c>
      <c r="F480" t="s">
        <v>33</v>
      </c>
      <c r="J480" t="s">
        <v>720</v>
      </c>
      <c r="K480">
        <f>COUNTIF($A$1:A480,A480)</f>
        <v>1</v>
      </c>
      <c r="L480" t="str">
        <f>VLOOKUP(A480,'Cadastro de Produtos'!A:B,2,0)</f>
        <v>Monitor LG LED 20" E2050T 1600X900 Wide</v>
      </c>
      <c r="M480">
        <f t="shared" si="28"/>
        <v>3</v>
      </c>
      <c r="N480">
        <f t="shared" si="29"/>
        <v>0</v>
      </c>
      <c r="O480">
        <f t="shared" si="30"/>
        <v>0</v>
      </c>
      <c r="P480">
        <f t="shared" si="31"/>
        <v>3</v>
      </c>
    </row>
    <row r="481" spans="1:16" x14ac:dyDescent="0.3">
      <c r="A481" t="s">
        <v>249</v>
      </c>
      <c r="B481" t="s">
        <v>12</v>
      </c>
      <c r="C481" s="92">
        <v>42029</v>
      </c>
      <c r="D481" s="48">
        <v>1</v>
      </c>
      <c r="E481" s="49">
        <v>14.5</v>
      </c>
      <c r="F481" t="s">
        <v>33</v>
      </c>
      <c r="J481" t="s">
        <v>720</v>
      </c>
      <c r="K481">
        <f>COUNTIF($A$1:A481,A481)</f>
        <v>1</v>
      </c>
      <c r="L481" t="str">
        <f>VLOOKUP(A481,'Cadastro de Produtos'!A:B,2,0)</f>
        <v>Monitor LG LED 21,5 E2250 Full HD/HDMI Widescreen</v>
      </c>
      <c r="M481">
        <f t="shared" si="28"/>
        <v>1</v>
      </c>
      <c r="N481">
        <f t="shared" si="29"/>
        <v>0</v>
      </c>
      <c r="O481">
        <f t="shared" si="30"/>
        <v>0</v>
      </c>
      <c r="P481">
        <f t="shared" si="31"/>
        <v>1</v>
      </c>
    </row>
    <row r="482" spans="1:16" x14ac:dyDescent="0.3">
      <c r="A482" t="s">
        <v>250</v>
      </c>
      <c r="B482" t="s">
        <v>12</v>
      </c>
      <c r="C482" s="92">
        <v>42029</v>
      </c>
      <c r="D482" s="48">
        <v>1</v>
      </c>
      <c r="E482" s="49">
        <v>26.9</v>
      </c>
      <c r="F482" t="s">
        <v>33</v>
      </c>
      <c r="J482" t="s">
        <v>720</v>
      </c>
      <c r="K482">
        <f>COUNTIF($A$1:A482,A482)</f>
        <v>1</v>
      </c>
      <c r="L482" t="str">
        <f>VLOOKUP(A482,'Cadastro de Produtos'!A:B,2,0)</f>
        <v>Monitor LG LED 22" E2240S 1920x1080 5ms Wide</v>
      </c>
      <c r="M482">
        <f t="shared" si="28"/>
        <v>1</v>
      </c>
      <c r="N482">
        <f t="shared" si="29"/>
        <v>0</v>
      </c>
      <c r="O482">
        <f t="shared" si="30"/>
        <v>0</v>
      </c>
      <c r="P482">
        <f t="shared" si="31"/>
        <v>1</v>
      </c>
    </row>
    <row r="483" spans="1:16" x14ac:dyDescent="0.3">
      <c r="A483" t="s">
        <v>251</v>
      </c>
      <c r="B483" t="s">
        <v>12</v>
      </c>
      <c r="C483" s="92">
        <v>42029</v>
      </c>
      <c r="D483" s="48">
        <v>1</v>
      </c>
      <c r="E483" s="49">
        <v>52.9</v>
      </c>
      <c r="F483" t="s">
        <v>33</v>
      </c>
      <c r="J483" t="s">
        <v>720</v>
      </c>
      <c r="K483">
        <f>COUNTIF($A$1:A483,A483)</f>
        <v>1</v>
      </c>
      <c r="L483" t="str">
        <f>VLOOKUP(A483,'Cadastro de Produtos'!A:B,2,0)</f>
        <v>Monitor Philips LCD 15.6 161VW Widescreen</v>
      </c>
      <c r="M483">
        <f t="shared" si="28"/>
        <v>1</v>
      </c>
      <c r="N483">
        <f t="shared" si="29"/>
        <v>0</v>
      </c>
      <c r="O483">
        <f t="shared" si="30"/>
        <v>0</v>
      </c>
      <c r="P483">
        <f t="shared" si="31"/>
        <v>1</v>
      </c>
    </row>
    <row r="484" spans="1:16" x14ac:dyDescent="0.3">
      <c r="A484" t="s">
        <v>252</v>
      </c>
      <c r="B484" t="s">
        <v>12</v>
      </c>
      <c r="C484" s="92">
        <v>42029</v>
      </c>
      <c r="D484" s="48">
        <v>0</v>
      </c>
      <c r="E484" s="49">
        <v>10.9</v>
      </c>
      <c r="F484" t="s">
        <v>33</v>
      </c>
      <c r="J484" t="s">
        <v>720</v>
      </c>
      <c r="K484">
        <f>COUNTIF($A$1:A484,A484)</f>
        <v>1</v>
      </c>
      <c r="L484" t="str">
        <f>VLOOKUP(A484,'Cadastro de Produtos'!A:B,2,0)</f>
        <v>Monitor Philips LCD 18.5 185Vw9 Widescreen</v>
      </c>
      <c r="M484">
        <f t="shared" si="28"/>
        <v>0</v>
      </c>
      <c r="N484">
        <f t="shared" si="29"/>
        <v>0</v>
      </c>
      <c r="O484">
        <f t="shared" si="30"/>
        <v>0</v>
      </c>
      <c r="P484">
        <f t="shared" si="31"/>
        <v>0</v>
      </c>
    </row>
    <row r="485" spans="1:16" x14ac:dyDescent="0.3">
      <c r="A485" t="s">
        <v>253</v>
      </c>
      <c r="B485" t="s">
        <v>12</v>
      </c>
      <c r="C485" s="92">
        <v>42029</v>
      </c>
      <c r="D485" s="48">
        <v>0</v>
      </c>
      <c r="E485" s="49">
        <v>33.9</v>
      </c>
      <c r="F485" t="s">
        <v>33</v>
      </c>
      <c r="J485" t="s">
        <v>720</v>
      </c>
      <c r="K485">
        <f>COUNTIF($A$1:A485,A485)</f>
        <v>1</v>
      </c>
      <c r="L485" t="str">
        <f>VLOOKUP(A485,'Cadastro de Produtos'!A:B,2,0)</f>
        <v>Monitor Samsung LCD 15.6 B1630 Wide</v>
      </c>
      <c r="M485">
        <f t="shared" si="28"/>
        <v>0</v>
      </c>
      <c r="N485">
        <f t="shared" si="29"/>
        <v>0</v>
      </c>
      <c r="O485">
        <f t="shared" si="30"/>
        <v>0</v>
      </c>
      <c r="P485">
        <f t="shared" si="31"/>
        <v>0</v>
      </c>
    </row>
    <row r="486" spans="1:16" x14ac:dyDescent="0.3">
      <c r="A486" t="s">
        <v>254</v>
      </c>
      <c r="B486" t="s">
        <v>12</v>
      </c>
      <c r="C486" s="92">
        <v>42029</v>
      </c>
      <c r="D486" s="48">
        <v>4</v>
      </c>
      <c r="E486" s="49">
        <v>0.62</v>
      </c>
      <c r="F486" t="s">
        <v>33</v>
      </c>
      <c r="J486" t="s">
        <v>720</v>
      </c>
      <c r="K486">
        <f>COUNTIF($A$1:A486,A486)</f>
        <v>1</v>
      </c>
      <c r="L486" t="str">
        <f>VLOOKUP(A486,'Cadastro de Produtos'!A:B,2,0)</f>
        <v>Monitor Samsung LCD 18,5 B1930 1366x768 Wide</v>
      </c>
      <c r="M486">
        <f t="shared" si="28"/>
        <v>4</v>
      </c>
      <c r="N486">
        <f t="shared" si="29"/>
        <v>0</v>
      </c>
      <c r="O486">
        <f t="shared" si="30"/>
        <v>0</v>
      </c>
      <c r="P486">
        <f t="shared" si="31"/>
        <v>4</v>
      </c>
    </row>
    <row r="487" spans="1:16" x14ac:dyDescent="0.3">
      <c r="A487" t="s">
        <v>255</v>
      </c>
      <c r="B487" t="s">
        <v>12</v>
      </c>
      <c r="C487" s="92">
        <v>42029</v>
      </c>
      <c r="D487" s="46">
        <v>2</v>
      </c>
      <c r="E487" s="47">
        <v>0.99</v>
      </c>
      <c r="F487" t="s">
        <v>33</v>
      </c>
      <c r="J487" t="s">
        <v>720</v>
      </c>
      <c r="K487">
        <f>COUNTIF($A$1:A487,A487)</f>
        <v>1</v>
      </c>
      <c r="L487" t="str">
        <f>VLOOKUP(A487,'Cadastro de Produtos'!A:B,2,0)</f>
        <v>Monitor Samsung LCD 19 LD190G Widescreen</v>
      </c>
      <c r="M487">
        <f t="shared" si="28"/>
        <v>2</v>
      </c>
      <c r="N487">
        <f t="shared" si="29"/>
        <v>0</v>
      </c>
      <c r="O487">
        <f t="shared" si="30"/>
        <v>0</v>
      </c>
      <c r="P487">
        <f t="shared" si="31"/>
        <v>2</v>
      </c>
    </row>
    <row r="488" spans="1:16" x14ac:dyDescent="0.3">
      <c r="A488" t="s">
        <v>256</v>
      </c>
      <c r="B488" t="s">
        <v>12</v>
      </c>
      <c r="C488" s="92">
        <v>42029</v>
      </c>
      <c r="D488" s="46">
        <v>1</v>
      </c>
      <c r="E488" s="47">
        <v>4.09</v>
      </c>
      <c r="F488" t="s">
        <v>33</v>
      </c>
      <c r="J488" t="s">
        <v>720</v>
      </c>
      <c r="K488">
        <f>COUNTIF($A$1:A488,A488)</f>
        <v>1</v>
      </c>
      <c r="L488" t="str">
        <f>VLOOKUP(A488,'Cadastro de Produtos'!A:B,2,0)</f>
        <v>Monitor Samsung LCD 20 P2050 Wide</v>
      </c>
      <c r="M488">
        <f t="shared" si="28"/>
        <v>1</v>
      </c>
      <c r="N488">
        <f t="shared" si="29"/>
        <v>0</v>
      </c>
      <c r="O488">
        <f t="shared" si="30"/>
        <v>0</v>
      </c>
      <c r="P488">
        <f t="shared" si="31"/>
        <v>1</v>
      </c>
    </row>
    <row r="489" spans="1:16" x14ac:dyDescent="0.3">
      <c r="A489" t="s">
        <v>257</v>
      </c>
      <c r="B489" t="s">
        <v>12</v>
      </c>
      <c r="C489" s="92">
        <v>42029</v>
      </c>
      <c r="D489" s="46">
        <v>11</v>
      </c>
      <c r="E489" s="47">
        <v>8.09</v>
      </c>
      <c r="F489" t="s">
        <v>33</v>
      </c>
      <c r="J489" t="s">
        <v>720</v>
      </c>
      <c r="K489">
        <f>COUNTIF($A$1:A489,A489)</f>
        <v>1</v>
      </c>
      <c r="L489" t="str">
        <f>VLOOKUP(A489,'Cadastro de Produtos'!A:B,2,0)</f>
        <v>Monitor Samsung LCD 20" B2030N 1600x900 Wide</v>
      </c>
      <c r="M489">
        <f t="shared" si="28"/>
        <v>11</v>
      </c>
      <c r="N489">
        <f t="shared" si="29"/>
        <v>0</v>
      </c>
      <c r="O489">
        <f t="shared" si="30"/>
        <v>0</v>
      </c>
      <c r="P489">
        <f t="shared" si="31"/>
        <v>11</v>
      </c>
    </row>
    <row r="490" spans="1:16" x14ac:dyDescent="0.3">
      <c r="A490" t="s">
        <v>258</v>
      </c>
      <c r="B490" t="s">
        <v>12</v>
      </c>
      <c r="C490" s="92">
        <v>42029</v>
      </c>
      <c r="D490" s="46">
        <v>5</v>
      </c>
      <c r="E490" s="47">
        <v>2.89</v>
      </c>
      <c r="F490" t="s">
        <v>33</v>
      </c>
      <c r="J490" t="s">
        <v>720</v>
      </c>
      <c r="K490">
        <f>COUNTIF($A$1:A490,A490)</f>
        <v>1</v>
      </c>
      <c r="L490" t="str">
        <f>VLOOKUP(A490,'Cadastro de Produtos'!A:B,2,0)</f>
        <v>Monitor Samsung LCD 21,5 B2230N Wide</v>
      </c>
      <c r="M490">
        <f t="shared" si="28"/>
        <v>5</v>
      </c>
      <c r="N490">
        <f t="shared" si="29"/>
        <v>0</v>
      </c>
      <c r="O490">
        <f t="shared" si="30"/>
        <v>0</v>
      </c>
      <c r="P490">
        <f t="shared" si="31"/>
        <v>5</v>
      </c>
    </row>
    <row r="491" spans="1:16" x14ac:dyDescent="0.3">
      <c r="A491" t="s">
        <v>259</v>
      </c>
      <c r="B491" t="s">
        <v>12</v>
      </c>
      <c r="C491" s="92">
        <v>42029</v>
      </c>
      <c r="D491" s="46">
        <v>3</v>
      </c>
      <c r="E491" s="47">
        <v>5.79</v>
      </c>
      <c r="F491" t="s">
        <v>33</v>
      </c>
      <c r="J491" t="s">
        <v>720</v>
      </c>
      <c r="K491">
        <f>COUNTIF($A$1:A491,A491)</f>
        <v>1</v>
      </c>
      <c r="L491" t="str">
        <f>VLOOKUP(A491,'Cadastro de Produtos'!A:B,2,0)</f>
        <v>Monitor Samsung LCD 21,5" P2270H Full HD Widescreen</v>
      </c>
      <c r="M491">
        <f t="shared" si="28"/>
        <v>3</v>
      </c>
      <c r="N491">
        <f t="shared" si="29"/>
        <v>0</v>
      </c>
      <c r="O491">
        <f t="shared" si="30"/>
        <v>0</v>
      </c>
      <c r="P491">
        <f t="shared" si="31"/>
        <v>3</v>
      </c>
    </row>
    <row r="492" spans="1:16" x14ac:dyDescent="0.3">
      <c r="A492" t="s">
        <v>260</v>
      </c>
      <c r="B492" t="s">
        <v>12</v>
      </c>
      <c r="C492" s="92">
        <v>42029</v>
      </c>
      <c r="D492" s="46">
        <v>1</v>
      </c>
      <c r="E492" s="47">
        <v>9.7899999999999991</v>
      </c>
      <c r="F492" t="s">
        <v>33</v>
      </c>
      <c r="J492" t="s">
        <v>720</v>
      </c>
      <c r="K492">
        <f>COUNTIF($A$1:A492,A492)</f>
        <v>1</v>
      </c>
      <c r="L492" t="str">
        <f>VLOOKUP(A492,'Cadastro de Produtos'!A:B,2,0)</f>
        <v>Monitor Samsung LCD 23 P2370H Rose Black</v>
      </c>
      <c r="M492">
        <f t="shared" si="28"/>
        <v>1</v>
      </c>
      <c r="N492">
        <f t="shared" si="29"/>
        <v>0</v>
      </c>
      <c r="O492">
        <f t="shared" si="30"/>
        <v>0</v>
      </c>
      <c r="P492">
        <f t="shared" si="31"/>
        <v>1</v>
      </c>
    </row>
    <row r="493" spans="1:16" x14ac:dyDescent="0.3">
      <c r="A493" t="s">
        <v>261</v>
      </c>
      <c r="B493" t="s">
        <v>12</v>
      </c>
      <c r="C493" s="92">
        <v>42029</v>
      </c>
      <c r="D493" s="46">
        <v>2</v>
      </c>
      <c r="E493" s="47">
        <v>12.89</v>
      </c>
      <c r="F493" t="s">
        <v>33</v>
      </c>
      <c r="J493" t="s">
        <v>720</v>
      </c>
      <c r="K493">
        <f>COUNTIF($A$1:A493,A493)</f>
        <v>1</v>
      </c>
      <c r="L493" t="str">
        <f>VLOOKUP(A493,'Cadastro de Produtos'!A:B,2,0)</f>
        <v>Monitor TV Samsung LCD 20" 2033M 1600x900 Wide</v>
      </c>
      <c r="M493">
        <f t="shared" si="28"/>
        <v>2</v>
      </c>
      <c r="N493">
        <f t="shared" si="29"/>
        <v>0</v>
      </c>
      <c r="O493">
        <f t="shared" si="30"/>
        <v>0</v>
      </c>
      <c r="P493">
        <f t="shared" si="31"/>
        <v>2</v>
      </c>
    </row>
    <row r="494" spans="1:16" x14ac:dyDescent="0.3">
      <c r="A494" t="s">
        <v>262</v>
      </c>
      <c r="B494" t="s">
        <v>12</v>
      </c>
      <c r="C494" s="92">
        <v>42029</v>
      </c>
      <c r="D494" s="46">
        <v>1</v>
      </c>
      <c r="E494" s="47">
        <v>12.99</v>
      </c>
      <c r="F494" t="s">
        <v>33</v>
      </c>
      <c r="J494" t="s">
        <v>720</v>
      </c>
      <c r="K494">
        <f>COUNTIF($A$1:A494,A494)</f>
        <v>1</v>
      </c>
      <c r="L494" t="str">
        <f>VLOOKUP(A494,'Cadastro de Produtos'!A:B,2,0)</f>
        <v>Monitor TV Samsung LCD 24" P2470HN 1920x1080 Wide</v>
      </c>
      <c r="M494">
        <f t="shared" si="28"/>
        <v>1</v>
      </c>
      <c r="N494">
        <f t="shared" si="29"/>
        <v>0</v>
      </c>
      <c r="O494">
        <f t="shared" si="30"/>
        <v>0</v>
      </c>
      <c r="P494">
        <f t="shared" si="31"/>
        <v>1</v>
      </c>
    </row>
    <row r="495" spans="1:16" x14ac:dyDescent="0.3">
      <c r="A495" t="s">
        <v>263</v>
      </c>
      <c r="B495" t="s">
        <v>12</v>
      </c>
      <c r="C495" s="92">
        <v>42029</v>
      </c>
      <c r="D495" s="46">
        <v>2</v>
      </c>
      <c r="E495" s="47">
        <v>1.77</v>
      </c>
      <c r="F495" t="s">
        <v>33</v>
      </c>
      <c r="J495" t="s">
        <v>720</v>
      </c>
      <c r="K495">
        <f>COUNTIF($A$1:A495,A495)</f>
        <v>1</v>
      </c>
      <c r="L495" t="str">
        <f>VLOOKUP(A495,'Cadastro de Produtos'!A:B,2,0)</f>
        <v>Mouse Optico Microsoft 200 USB Preto NTD-00006</v>
      </c>
      <c r="M495">
        <f t="shared" si="28"/>
        <v>2</v>
      </c>
      <c r="N495">
        <f t="shared" si="29"/>
        <v>0</v>
      </c>
      <c r="O495">
        <f t="shared" si="30"/>
        <v>0</v>
      </c>
      <c r="P495">
        <f t="shared" si="31"/>
        <v>2</v>
      </c>
    </row>
    <row r="496" spans="1:16" x14ac:dyDescent="0.3">
      <c r="A496" t="s">
        <v>264</v>
      </c>
      <c r="B496" t="s">
        <v>12</v>
      </c>
      <c r="C496" s="92">
        <v>42029</v>
      </c>
      <c r="D496" s="46">
        <v>9</v>
      </c>
      <c r="E496" s="47">
        <v>4.9000000000000004</v>
      </c>
      <c r="F496" t="s">
        <v>33</v>
      </c>
      <c r="J496" t="s">
        <v>720</v>
      </c>
      <c r="K496">
        <f>COUNTIF($A$1:A496,A496)</f>
        <v>1</v>
      </c>
      <c r="L496" t="str">
        <f>VLOOKUP(A496,'Cadastro de Produtos'!A:B,2,0)</f>
        <v>Mouse Óptico Mtek B110 USB (s/ fio)</v>
      </c>
      <c r="M496">
        <f t="shared" si="28"/>
        <v>9</v>
      </c>
      <c r="N496">
        <f t="shared" si="29"/>
        <v>0</v>
      </c>
      <c r="O496">
        <f t="shared" si="30"/>
        <v>0</v>
      </c>
      <c r="P496">
        <f t="shared" si="31"/>
        <v>9</v>
      </c>
    </row>
    <row r="497" spans="1:16" x14ac:dyDescent="0.3">
      <c r="A497" t="s">
        <v>265</v>
      </c>
      <c r="B497" t="s">
        <v>12</v>
      </c>
      <c r="C497" s="92">
        <v>42029</v>
      </c>
      <c r="D497" s="46">
        <v>4</v>
      </c>
      <c r="E497" s="47">
        <v>12.79</v>
      </c>
      <c r="F497" t="s">
        <v>33</v>
      </c>
      <c r="J497" t="s">
        <v>720</v>
      </c>
      <c r="K497">
        <f>COUNTIF($A$1:A497,A497)</f>
        <v>1</v>
      </c>
      <c r="L497" t="str">
        <f>VLOOKUP(A497,'Cadastro de Produtos'!A:B,2,0)</f>
        <v>Mouse Óptico Mtek MS608 USB (Preto)</v>
      </c>
      <c r="M497">
        <f t="shared" si="28"/>
        <v>4</v>
      </c>
      <c r="N497">
        <f t="shared" si="29"/>
        <v>0</v>
      </c>
      <c r="O497">
        <f t="shared" si="30"/>
        <v>0</v>
      </c>
      <c r="P497">
        <f t="shared" si="31"/>
        <v>4</v>
      </c>
    </row>
    <row r="498" spans="1:16" x14ac:dyDescent="0.3">
      <c r="A498" t="s">
        <v>266</v>
      </c>
      <c r="B498" t="s">
        <v>12</v>
      </c>
      <c r="C498" s="92">
        <v>42029</v>
      </c>
      <c r="D498" s="46">
        <v>1</v>
      </c>
      <c r="E498" s="47">
        <v>16.89</v>
      </c>
      <c r="F498" t="s">
        <v>33</v>
      </c>
      <c r="J498" t="s">
        <v>720</v>
      </c>
      <c r="K498">
        <f>COUNTIF($A$1:A498,A498)</f>
        <v>1</v>
      </c>
      <c r="L498" t="str">
        <f>VLOOKUP(A498,'Cadastro de Produtos'!A:B,2,0)</f>
        <v>Mouse Óptico Mtek PM520P PS/2 (Preto)</v>
      </c>
      <c r="M498">
        <f t="shared" si="28"/>
        <v>1</v>
      </c>
      <c r="N498">
        <f t="shared" si="29"/>
        <v>0</v>
      </c>
      <c r="O498">
        <f t="shared" si="30"/>
        <v>0</v>
      </c>
      <c r="P498">
        <f t="shared" si="31"/>
        <v>1</v>
      </c>
    </row>
    <row r="499" spans="1:16" x14ac:dyDescent="0.3">
      <c r="A499" t="s">
        <v>267</v>
      </c>
      <c r="B499" t="s">
        <v>12</v>
      </c>
      <c r="C499" s="92">
        <v>42029</v>
      </c>
      <c r="D499" s="46">
        <v>0</v>
      </c>
      <c r="E499" s="47">
        <v>17.190000000000001</v>
      </c>
      <c r="F499" t="s">
        <v>33</v>
      </c>
      <c r="J499" t="s">
        <v>720</v>
      </c>
      <c r="K499">
        <f>COUNTIF($A$1:A499,A499)</f>
        <v>1</v>
      </c>
      <c r="L499" t="str">
        <f>VLOOKUP(A499,'Cadastro de Produtos'!A:B,2,0)</f>
        <v>Multifuncional HP LaserJet Pro M1132 MFP Imp/Scan/Cópia</v>
      </c>
      <c r="M499">
        <f t="shared" si="28"/>
        <v>0</v>
      </c>
      <c r="N499">
        <f t="shared" si="29"/>
        <v>0</v>
      </c>
      <c r="O499">
        <f t="shared" si="30"/>
        <v>0</v>
      </c>
      <c r="P499">
        <f t="shared" si="31"/>
        <v>0</v>
      </c>
    </row>
    <row r="500" spans="1:16" x14ac:dyDescent="0.3">
      <c r="A500" t="s">
        <v>268</v>
      </c>
      <c r="B500" t="s">
        <v>12</v>
      </c>
      <c r="C500" s="92">
        <v>42029</v>
      </c>
      <c r="D500" s="46">
        <v>0</v>
      </c>
      <c r="E500" s="47">
        <v>39.9</v>
      </c>
      <c r="F500" t="s">
        <v>33</v>
      </c>
      <c r="J500" t="s">
        <v>720</v>
      </c>
      <c r="K500">
        <f>COUNTIF($A$1:A500,A500)</f>
        <v>1</v>
      </c>
      <c r="L500" t="str">
        <f>VLOOKUP(A500,'Cadastro de Produtos'!A:B,2,0)</f>
        <v>Multifuncional HP Officejet J3680 Imp/Scan/Cópia/Fax</v>
      </c>
      <c r="M500">
        <f t="shared" si="28"/>
        <v>0</v>
      </c>
      <c r="N500">
        <f t="shared" si="29"/>
        <v>0</v>
      </c>
      <c r="O500">
        <f t="shared" si="30"/>
        <v>0</v>
      </c>
      <c r="P500">
        <f t="shared" si="31"/>
        <v>0</v>
      </c>
    </row>
    <row r="501" spans="1:16" x14ac:dyDescent="0.3">
      <c r="A501" t="s">
        <v>269</v>
      </c>
      <c r="B501" t="s">
        <v>12</v>
      </c>
      <c r="C501" s="92">
        <v>42029</v>
      </c>
      <c r="D501" s="46">
        <v>1</v>
      </c>
      <c r="E501" s="47">
        <v>5.49</v>
      </c>
      <c r="F501" t="s">
        <v>33</v>
      </c>
      <c r="J501" t="s">
        <v>720</v>
      </c>
      <c r="K501">
        <f>COUNTIF($A$1:A501,A501)</f>
        <v>1</v>
      </c>
      <c r="L501" t="str">
        <f>VLOOKUP(A501,'Cadastro de Produtos'!A:B,2,0)</f>
        <v>Multifuncional HP Officejet J4660 Imp/Scan/Cópia/Fax InkJet</v>
      </c>
      <c r="M501">
        <f t="shared" si="28"/>
        <v>1</v>
      </c>
      <c r="N501">
        <f t="shared" si="29"/>
        <v>0</v>
      </c>
      <c r="O501">
        <f t="shared" si="30"/>
        <v>0</v>
      </c>
      <c r="P501">
        <f t="shared" si="31"/>
        <v>1</v>
      </c>
    </row>
    <row r="502" spans="1:16" x14ac:dyDescent="0.3">
      <c r="A502" t="s">
        <v>271</v>
      </c>
      <c r="B502" t="s">
        <v>12</v>
      </c>
      <c r="C502" s="92">
        <v>42029</v>
      </c>
      <c r="D502" s="46">
        <v>1</v>
      </c>
      <c r="E502" s="47">
        <v>0.8</v>
      </c>
      <c r="F502" t="s">
        <v>33</v>
      </c>
      <c r="J502" t="s">
        <v>720</v>
      </c>
      <c r="K502">
        <f>COUNTIF($A$1:A502,A502)</f>
        <v>1</v>
      </c>
      <c r="L502" t="str">
        <f>VLOOKUP(A502,'Cadastro de Produtos'!A:B,2,0)</f>
        <v>Multifuncional Samsung SCX-4600L/XAZ Laser Mono 1200x1200dpi 22ppm 64MB</v>
      </c>
      <c r="M502">
        <f t="shared" si="28"/>
        <v>1</v>
      </c>
      <c r="N502">
        <f t="shared" si="29"/>
        <v>0</v>
      </c>
      <c r="O502">
        <f t="shared" si="30"/>
        <v>0</v>
      </c>
      <c r="P502">
        <f t="shared" si="31"/>
        <v>1</v>
      </c>
    </row>
    <row r="503" spans="1:16" x14ac:dyDescent="0.3">
      <c r="A503" t="s">
        <v>272</v>
      </c>
      <c r="B503" t="s">
        <v>12</v>
      </c>
      <c r="C503" s="92">
        <v>42029</v>
      </c>
      <c r="D503" s="46">
        <v>1</v>
      </c>
      <c r="E503" s="47">
        <v>7.79</v>
      </c>
      <c r="F503" t="s">
        <v>33</v>
      </c>
      <c r="J503" t="s">
        <v>720</v>
      </c>
      <c r="K503">
        <f>COUNTIF($A$1:A503,A503)</f>
        <v>1</v>
      </c>
      <c r="L503" t="str">
        <f>VLOOKUP(A503,'Cadastro de Produtos'!A:B,2,0)</f>
        <v>Nobreak APC Bivolt 1200va</v>
      </c>
      <c r="M503">
        <f t="shared" si="28"/>
        <v>1</v>
      </c>
      <c r="N503">
        <f t="shared" si="29"/>
        <v>0</v>
      </c>
      <c r="O503">
        <f t="shared" si="30"/>
        <v>0</v>
      </c>
      <c r="P503">
        <f t="shared" si="31"/>
        <v>1</v>
      </c>
    </row>
    <row r="504" spans="1:16" x14ac:dyDescent="0.3">
      <c r="A504" t="s">
        <v>274</v>
      </c>
      <c r="B504" t="s">
        <v>12</v>
      </c>
      <c r="C504" s="92">
        <v>42029</v>
      </c>
      <c r="D504" s="46">
        <v>3</v>
      </c>
      <c r="E504" s="47">
        <v>6.59</v>
      </c>
      <c r="F504" t="s">
        <v>33</v>
      </c>
      <c r="J504" t="s">
        <v>720</v>
      </c>
      <c r="K504">
        <f>COUNTIF($A$1:A504,A504)</f>
        <v>1</v>
      </c>
      <c r="L504" t="str">
        <f>VLOOKUP(A504,'Cadastro de Produtos'!A:B,2,0)</f>
        <v>Nobreak APC Bivolt 600VA</v>
      </c>
      <c r="M504">
        <f t="shared" si="28"/>
        <v>3</v>
      </c>
      <c r="N504">
        <f t="shared" si="29"/>
        <v>0</v>
      </c>
      <c r="O504">
        <f t="shared" si="30"/>
        <v>0</v>
      </c>
      <c r="P504">
        <f t="shared" si="31"/>
        <v>3</v>
      </c>
    </row>
    <row r="505" spans="1:16" x14ac:dyDescent="0.3">
      <c r="A505" t="s">
        <v>275</v>
      </c>
      <c r="B505" t="s">
        <v>12</v>
      </c>
      <c r="C505" s="92">
        <v>42029</v>
      </c>
      <c r="D505" s="46">
        <v>6</v>
      </c>
      <c r="E505" s="47">
        <v>7.99</v>
      </c>
      <c r="F505" t="s">
        <v>33</v>
      </c>
      <c r="J505" t="s">
        <v>720</v>
      </c>
      <c r="K505">
        <f>COUNTIF($A$1:A505,A505)</f>
        <v>1</v>
      </c>
      <c r="L505" t="str">
        <f>VLOOKUP(A505,'Cadastro de Produtos'!A:B,2,0)</f>
        <v>Nobreak APC Mono 1500VA</v>
      </c>
      <c r="M505">
        <f t="shared" si="28"/>
        <v>6</v>
      </c>
      <c r="N505">
        <f t="shared" si="29"/>
        <v>0</v>
      </c>
      <c r="O505">
        <f t="shared" si="30"/>
        <v>0</v>
      </c>
      <c r="P505">
        <f t="shared" si="31"/>
        <v>6</v>
      </c>
    </row>
    <row r="506" spans="1:16" x14ac:dyDescent="0.3">
      <c r="A506" t="s">
        <v>276</v>
      </c>
      <c r="B506" t="s">
        <v>12</v>
      </c>
      <c r="C506" s="92">
        <v>42029</v>
      </c>
      <c r="D506" s="46">
        <v>7</v>
      </c>
      <c r="E506" s="47">
        <v>31.9</v>
      </c>
      <c r="F506" t="s">
        <v>33</v>
      </c>
      <c r="J506" t="s">
        <v>720</v>
      </c>
      <c r="K506">
        <f>COUNTIF($A$1:A506,A506)</f>
        <v>1</v>
      </c>
      <c r="L506" t="str">
        <f>VLOOKUP(A506,'Cadastro de Produtos'!A:B,2,0)</f>
        <v>Nobreak APC Mono 350VA</v>
      </c>
      <c r="M506">
        <f t="shared" si="28"/>
        <v>7</v>
      </c>
      <c r="N506">
        <f t="shared" si="29"/>
        <v>0</v>
      </c>
      <c r="O506">
        <f t="shared" si="30"/>
        <v>0</v>
      </c>
      <c r="P506">
        <f t="shared" si="31"/>
        <v>7</v>
      </c>
    </row>
    <row r="507" spans="1:16" x14ac:dyDescent="0.3">
      <c r="A507" t="s">
        <v>277</v>
      </c>
      <c r="B507" t="s">
        <v>12</v>
      </c>
      <c r="C507" s="92">
        <v>42029</v>
      </c>
      <c r="D507" s="46">
        <v>0</v>
      </c>
      <c r="E507" s="47">
        <v>50.25</v>
      </c>
      <c r="F507" t="s">
        <v>33</v>
      </c>
      <c r="J507" t="s">
        <v>720</v>
      </c>
      <c r="K507">
        <f>COUNTIF($A$1:A507,A507)</f>
        <v>1</v>
      </c>
      <c r="L507" t="str">
        <f>VLOOKUP(A507,'Cadastro de Produtos'!A:B,2,0)</f>
        <v>Nobreak APC Mono 600VA</v>
      </c>
      <c r="M507">
        <f t="shared" si="28"/>
        <v>0</v>
      </c>
      <c r="N507">
        <f t="shared" si="29"/>
        <v>0</v>
      </c>
      <c r="O507">
        <f t="shared" si="30"/>
        <v>0</v>
      </c>
      <c r="P507">
        <f t="shared" si="31"/>
        <v>0</v>
      </c>
    </row>
    <row r="508" spans="1:16" x14ac:dyDescent="0.3">
      <c r="A508" t="s">
        <v>270</v>
      </c>
      <c r="B508" t="s">
        <v>12</v>
      </c>
      <c r="C508" s="92">
        <v>42029</v>
      </c>
      <c r="D508" s="46">
        <v>1</v>
      </c>
      <c r="E508" s="47">
        <v>120</v>
      </c>
      <c r="F508" t="s">
        <v>33</v>
      </c>
      <c r="J508" t="s">
        <v>720</v>
      </c>
      <c r="K508">
        <f>COUNTIF($A$1:A508,A508)</f>
        <v>1</v>
      </c>
      <c r="L508" t="str">
        <f>VLOOKUP(A508,'Cadastro de Produtos'!A:B,2,0)</f>
        <v>Multifuncional Lexmark X203N Imp/Scan/Copia Mono Laser</v>
      </c>
      <c r="M508">
        <f t="shared" si="28"/>
        <v>1</v>
      </c>
      <c r="N508">
        <f t="shared" si="29"/>
        <v>0</v>
      </c>
      <c r="O508">
        <f t="shared" si="30"/>
        <v>0</v>
      </c>
      <c r="P508">
        <f t="shared" si="31"/>
        <v>1</v>
      </c>
    </row>
    <row r="509" spans="1:16" x14ac:dyDescent="0.3">
      <c r="A509" t="s">
        <v>283</v>
      </c>
      <c r="B509" t="s">
        <v>12</v>
      </c>
      <c r="C509" s="92">
        <v>42029</v>
      </c>
      <c r="D509" s="46">
        <v>3</v>
      </c>
      <c r="E509" s="47">
        <v>0.52</v>
      </c>
      <c r="F509" t="s">
        <v>33</v>
      </c>
      <c r="J509" t="s">
        <v>720</v>
      </c>
      <c r="K509">
        <f>COUNTIF($A$1:A509,A509)</f>
        <v>1</v>
      </c>
      <c r="L509" t="str">
        <f>VLOOKUP(A509,'Cadastro de Produtos'!A:B,2,0)</f>
        <v>Office 2007 OEM Basic S55-02249</v>
      </c>
      <c r="M509">
        <f t="shared" si="28"/>
        <v>3</v>
      </c>
      <c r="N509">
        <f t="shared" si="29"/>
        <v>0</v>
      </c>
      <c r="O509">
        <f t="shared" si="30"/>
        <v>0</v>
      </c>
      <c r="P509">
        <f t="shared" si="31"/>
        <v>3</v>
      </c>
    </row>
    <row r="510" spans="1:16" x14ac:dyDescent="0.3">
      <c r="A510" t="s">
        <v>284</v>
      </c>
      <c r="B510" t="s">
        <v>12</v>
      </c>
      <c r="C510" s="92">
        <v>42029</v>
      </c>
      <c r="D510" s="46">
        <v>0</v>
      </c>
      <c r="E510" s="47">
        <v>0.63</v>
      </c>
      <c r="F510" t="s">
        <v>33</v>
      </c>
      <c r="J510" t="s">
        <v>720</v>
      </c>
      <c r="K510">
        <f>COUNTIF($A$1:A510,A510)</f>
        <v>1</v>
      </c>
      <c r="L510" t="str">
        <f>VLOOKUP(A510,'Cadastro de Produtos'!A:B,2,0)</f>
        <v>Office 2007 OEM Home &amp; Student 79G-01390</v>
      </c>
      <c r="M510">
        <f t="shared" si="28"/>
        <v>0</v>
      </c>
      <c r="N510">
        <f t="shared" si="29"/>
        <v>0</v>
      </c>
      <c r="O510">
        <f t="shared" si="30"/>
        <v>0</v>
      </c>
      <c r="P510">
        <f t="shared" si="31"/>
        <v>0</v>
      </c>
    </row>
    <row r="511" spans="1:16" x14ac:dyDescent="0.3">
      <c r="A511" t="s">
        <v>285</v>
      </c>
      <c r="B511" t="s">
        <v>12</v>
      </c>
      <c r="C511" s="92">
        <v>42029</v>
      </c>
      <c r="D511" s="46">
        <v>1</v>
      </c>
      <c r="E511" s="47">
        <v>2.59</v>
      </c>
      <c r="F511" t="s">
        <v>33</v>
      </c>
      <c r="J511" t="s">
        <v>720</v>
      </c>
      <c r="K511">
        <f>COUNTIF($A$1:A511,A511)</f>
        <v>1</v>
      </c>
      <c r="L511" t="str">
        <f>VLOOKUP(A511,'Cadastro de Produtos'!A:B,2,0)</f>
        <v>Office 2007 OEM Professional 269-13742</v>
      </c>
      <c r="M511">
        <f t="shared" si="28"/>
        <v>1</v>
      </c>
      <c r="N511">
        <f t="shared" si="29"/>
        <v>0</v>
      </c>
      <c r="O511">
        <f t="shared" si="30"/>
        <v>0</v>
      </c>
      <c r="P511">
        <f t="shared" si="31"/>
        <v>1</v>
      </c>
    </row>
    <row r="512" spans="1:16" x14ac:dyDescent="0.3">
      <c r="A512" t="s">
        <v>286</v>
      </c>
      <c r="B512" t="s">
        <v>12</v>
      </c>
      <c r="C512" s="92">
        <v>42029</v>
      </c>
      <c r="D512" s="46">
        <v>0</v>
      </c>
      <c r="E512" s="47">
        <v>6.09</v>
      </c>
      <c r="F512" t="s">
        <v>33</v>
      </c>
      <c r="J512" t="s">
        <v>720</v>
      </c>
      <c r="K512">
        <f>COUNTIF($A$1:A512,A512)</f>
        <v>1</v>
      </c>
      <c r="L512" t="str">
        <f>VLOOKUP(A512,'Cadastro de Produtos'!A:B,2,0)</f>
        <v>Office 2007 Open License Standard 021-07856</v>
      </c>
      <c r="M512">
        <f t="shared" si="28"/>
        <v>0</v>
      </c>
      <c r="N512">
        <f t="shared" si="29"/>
        <v>0</v>
      </c>
      <c r="O512">
        <f t="shared" si="30"/>
        <v>0</v>
      </c>
      <c r="P512">
        <f t="shared" si="31"/>
        <v>0</v>
      </c>
    </row>
    <row r="513" spans="1:16" x14ac:dyDescent="0.3">
      <c r="A513" t="s">
        <v>287</v>
      </c>
      <c r="B513" t="s">
        <v>12</v>
      </c>
      <c r="C513" s="92">
        <v>42029</v>
      </c>
      <c r="D513" s="46">
        <v>0</v>
      </c>
      <c r="E513" s="47">
        <v>6.79</v>
      </c>
      <c r="F513" t="s">
        <v>33</v>
      </c>
      <c r="J513" t="s">
        <v>720</v>
      </c>
      <c r="K513">
        <f>COUNTIF($A$1:A513,A513)</f>
        <v>1</v>
      </c>
      <c r="L513" t="str">
        <f>VLOOKUP(A513,'Cadastro de Produtos'!A:B,2,0)</f>
        <v>Pen drive Kingston 16GB USB 2.0</v>
      </c>
      <c r="M513">
        <f t="shared" si="28"/>
        <v>0</v>
      </c>
      <c r="N513">
        <f t="shared" si="29"/>
        <v>0</v>
      </c>
      <c r="O513">
        <f t="shared" si="30"/>
        <v>0</v>
      </c>
      <c r="P513">
        <f t="shared" si="31"/>
        <v>0</v>
      </c>
    </row>
    <row r="514" spans="1:16" x14ac:dyDescent="0.3">
      <c r="A514" t="s">
        <v>288</v>
      </c>
      <c r="B514" t="s">
        <v>12</v>
      </c>
      <c r="C514" s="92">
        <v>42029</v>
      </c>
      <c r="D514" s="46">
        <v>4</v>
      </c>
      <c r="E514" s="47">
        <v>31.9</v>
      </c>
      <c r="F514" t="s">
        <v>33</v>
      </c>
      <c r="J514" t="s">
        <v>720</v>
      </c>
      <c r="K514">
        <f>COUNTIF($A$1:A514,A514)</f>
        <v>1</v>
      </c>
      <c r="L514" t="str">
        <f>VLOOKUP(A514,'Cadastro de Produtos'!A:B,2,0)</f>
        <v>Pen drive Kingston 2GB USB 2.0</v>
      </c>
      <c r="M514">
        <f t="shared" ref="M514:M577" si="32">SUMIF(B514,"E",D514:D514)</f>
        <v>4</v>
      </c>
      <c r="N514">
        <f t="shared" ref="N514:N577" si="33">SUMIF(B514,"S",D514:D514)</f>
        <v>0</v>
      </c>
      <c r="O514">
        <f t="shared" ref="O514:O577" si="34">N514*-1</f>
        <v>0</v>
      </c>
      <c r="P514">
        <f t="shared" ref="P514:P577" si="35">SUM(M514+O514)</f>
        <v>4</v>
      </c>
    </row>
    <row r="515" spans="1:16" x14ac:dyDescent="0.3">
      <c r="A515" t="s">
        <v>281</v>
      </c>
      <c r="B515" t="s">
        <v>12</v>
      </c>
      <c r="C515" s="92">
        <v>42029</v>
      </c>
      <c r="D515" s="46">
        <v>2</v>
      </c>
      <c r="E515" s="47">
        <v>78.650000000000006</v>
      </c>
      <c r="F515" t="s">
        <v>33</v>
      </c>
      <c r="J515" t="s">
        <v>720</v>
      </c>
      <c r="K515">
        <f>COUNTIF($A$1:A515,A515)</f>
        <v>1</v>
      </c>
      <c r="L515" t="str">
        <f>VLOOKUP(A515,'Cadastro de Produtos'!A:B,2,0)</f>
        <v>Notebook Lenovo G550 Intel Dual Core T4300, 2GB, 320GB, DVD, Tela 15.6, Win7</v>
      </c>
      <c r="M515">
        <f t="shared" si="32"/>
        <v>2</v>
      </c>
      <c r="N515">
        <f t="shared" si="33"/>
        <v>0</v>
      </c>
      <c r="O515">
        <f t="shared" si="34"/>
        <v>0</v>
      </c>
      <c r="P515">
        <f t="shared" si="35"/>
        <v>2</v>
      </c>
    </row>
    <row r="516" spans="1:16" x14ac:dyDescent="0.3">
      <c r="A516" t="s">
        <v>282</v>
      </c>
      <c r="B516" t="s">
        <v>12</v>
      </c>
      <c r="C516" s="92">
        <v>42029</v>
      </c>
      <c r="D516" s="46">
        <v>0</v>
      </c>
      <c r="E516" s="47">
        <v>148.19999999999999</v>
      </c>
      <c r="F516" t="s">
        <v>33</v>
      </c>
      <c r="J516" t="s">
        <v>720</v>
      </c>
      <c r="K516">
        <f>COUNTIF($A$1:A516,A516)</f>
        <v>1</v>
      </c>
      <c r="L516" t="str">
        <f>VLOOKUP(A516,'Cadastro de Produtos'!A:B,2,0)</f>
        <v>Notebook LG 3510 Intel Pentium Dual Core T4300 2.2GHz BRANCO</v>
      </c>
      <c r="M516">
        <f t="shared" si="32"/>
        <v>0</v>
      </c>
      <c r="N516">
        <f t="shared" si="33"/>
        <v>0</v>
      </c>
      <c r="O516">
        <f t="shared" si="34"/>
        <v>0</v>
      </c>
      <c r="P516">
        <f t="shared" si="35"/>
        <v>0</v>
      </c>
    </row>
    <row r="517" spans="1:16" x14ac:dyDescent="0.3">
      <c r="A517" t="s">
        <v>280</v>
      </c>
      <c r="B517" t="s">
        <v>12</v>
      </c>
      <c r="C517" s="92">
        <v>42029</v>
      </c>
      <c r="D517" s="46">
        <v>0</v>
      </c>
      <c r="E517" s="47">
        <v>6.55</v>
      </c>
      <c r="F517" t="s">
        <v>33</v>
      </c>
      <c r="J517" t="s">
        <v>720</v>
      </c>
      <c r="K517">
        <f>COUNTIF($A$1:A517,A517)</f>
        <v>1</v>
      </c>
      <c r="L517" t="str">
        <f>VLOOKUP(A517,'Cadastro de Produtos'!A:B,2,0)</f>
        <v>Notebook HP DV4T-1600 Intel Dual Core 2.1GHz, 3GB, 250GB, DVD, CAM, Tela 14</v>
      </c>
      <c r="M517">
        <f t="shared" si="32"/>
        <v>0</v>
      </c>
      <c r="N517">
        <f t="shared" si="33"/>
        <v>0</v>
      </c>
      <c r="O517">
        <f t="shared" si="34"/>
        <v>0</v>
      </c>
      <c r="P517">
        <f t="shared" si="35"/>
        <v>0</v>
      </c>
    </row>
    <row r="518" spans="1:16" x14ac:dyDescent="0.3">
      <c r="A518" t="s">
        <v>279</v>
      </c>
      <c r="B518" t="s">
        <v>12</v>
      </c>
      <c r="C518" s="92">
        <v>42029</v>
      </c>
      <c r="D518" s="46">
        <v>1</v>
      </c>
      <c r="E518" s="47">
        <v>2.29</v>
      </c>
      <c r="F518" t="s">
        <v>33</v>
      </c>
      <c r="J518" t="s">
        <v>720</v>
      </c>
      <c r="K518">
        <f>COUNTIF($A$1:A518,A518)</f>
        <v>1</v>
      </c>
      <c r="L518" t="str">
        <f>VLOOKUP(A518,'Cadastro de Produtos'!A:B,2,0)</f>
        <v>Notebook HP Compaq 510-WL706 Core 2 Duo T5870 2.0GHz, 2GB, 250GB, 14, Win 7</v>
      </c>
      <c r="M518">
        <f t="shared" si="32"/>
        <v>1</v>
      </c>
      <c r="N518">
        <f t="shared" si="33"/>
        <v>0</v>
      </c>
      <c r="O518">
        <f t="shared" si="34"/>
        <v>0</v>
      </c>
      <c r="P518">
        <f t="shared" si="35"/>
        <v>1</v>
      </c>
    </row>
    <row r="519" spans="1:16" x14ac:dyDescent="0.3">
      <c r="A519" t="s">
        <v>289</v>
      </c>
      <c r="B519" t="s">
        <v>12</v>
      </c>
      <c r="C519" s="92">
        <v>42029</v>
      </c>
      <c r="D519" s="46">
        <v>1</v>
      </c>
      <c r="E519" s="47">
        <v>5.99</v>
      </c>
      <c r="F519" t="s">
        <v>33</v>
      </c>
      <c r="J519" t="s">
        <v>720</v>
      </c>
      <c r="K519">
        <f>COUNTIF($A$1:A519,A519)</f>
        <v>1</v>
      </c>
      <c r="L519" t="str">
        <f>VLOOKUP(A519,'Cadastro de Produtos'!A:B,2,0)</f>
        <v>Pen drive Kingston 4GB USB 2.0</v>
      </c>
      <c r="M519">
        <f t="shared" si="32"/>
        <v>1</v>
      </c>
      <c r="N519">
        <f t="shared" si="33"/>
        <v>0</v>
      </c>
      <c r="O519">
        <f t="shared" si="34"/>
        <v>0</v>
      </c>
      <c r="P519">
        <f t="shared" si="35"/>
        <v>1</v>
      </c>
    </row>
    <row r="520" spans="1:16" x14ac:dyDescent="0.3">
      <c r="A520" t="s">
        <v>301</v>
      </c>
      <c r="B520" t="s">
        <v>12</v>
      </c>
      <c r="C520" s="92">
        <v>42029</v>
      </c>
      <c r="D520" s="46">
        <v>0</v>
      </c>
      <c r="E520" s="47">
        <v>0.76</v>
      </c>
      <c r="F520" t="s">
        <v>33</v>
      </c>
      <c r="J520" t="s">
        <v>720</v>
      </c>
      <c r="K520">
        <f>COUNTIF($A$1:A520,A520)</f>
        <v>1</v>
      </c>
      <c r="L520" t="str">
        <f>VLOOKUP(A520,'Cadastro de Produtos'!A:B,2,0)</f>
        <v>Placa de video PCI-E 1GB ATI Radeon™ HD 5450 DDR2/HDMI/64BIT</v>
      </c>
      <c r="M520">
        <f t="shared" si="32"/>
        <v>0</v>
      </c>
      <c r="N520">
        <f t="shared" si="33"/>
        <v>0</v>
      </c>
      <c r="O520">
        <f t="shared" si="34"/>
        <v>0</v>
      </c>
      <c r="P520">
        <f t="shared" si="35"/>
        <v>0</v>
      </c>
    </row>
    <row r="521" spans="1:16" x14ac:dyDescent="0.3">
      <c r="A521" t="s">
        <v>302</v>
      </c>
      <c r="B521" t="s">
        <v>12</v>
      </c>
      <c r="C521" s="92">
        <v>42029</v>
      </c>
      <c r="D521" s="46">
        <v>3</v>
      </c>
      <c r="E521" s="47">
        <v>1.75</v>
      </c>
      <c r="F521" t="s">
        <v>33</v>
      </c>
      <c r="J521" t="s">
        <v>720</v>
      </c>
      <c r="K521">
        <f>COUNTIF($A$1:A521,A521)</f>
        <v>1</v>
      </c>
      <c r="L521" t="str">
        <f>VLOOKUP(A521,'Cadastro de Produtos'!A:B,2,0)</f>
        <v>Placa de video PCI-E 1GB ATI Radeon™ HD 5550 DDR2/HDMI/128BIT</v>
      </c>
      <c r="M521">
        <f t="shared" si="32"/>
        <v>3</v>
      </c>
      <c r="N521">
        <f t="shared" si="33"/>
        <v>0</v>
      </c>
      <c r="O521">
        <f t="shared" si="34"/>
        <v>0</v>
      </c>
      <c r="P521">
        <f t="shared" si="35"/>
        <v>3</v>
      </c>
    </row>
    <row r="522" spans="1:16" x14ac:dyDescent="0.3">
      <c r="A522" t="s">
        <v>303</v>
      </c>
      <c r="B522" t="s">
        <v>12</v>
      </c>
      <c r="C522" s="92">
        <v>42029</v>
      </c>
      <c r="D522" s="46">
        <v>1</v>
      </c>
      <c r="E522" s="47">
        <v>4.09</v>
      </c>
      <c r="F522" t="s">
        <v>33</v>
      </c>
      <c r="J522" t="s">
        <v>720</v>
      </c>
      <c r="K522">
        <f>COUNTIF($A$1:A522,A522)</f>
        <v>1</v>
      </c>
      <c r="L522" t="str">
        <f>VLOOKUP(A522,'Cadastro de Produtos'!A:B,2,0)</f>
        <v>Placa de video PCI-E 1GB ATI Radeon™ HD 5670 DDR5/HDMI/128BIT</v>
      </c>
      <c r="M522">
        <f t="shared" si="32"/>
        <v>1</v>
      </c>
      <c r="N522">
        <f t="shared" si="33"/>
        <v>0</v>
      </c>
      <c r="O522">
        <f t="shared" si="34"/>
        <v>0</v>
      </c>
      <c r="P522">
        <f t="shared" si="35"/>
        <v>1</v>
      </c>
    </row>
    <row r="523" spans="1:16" x14ac:dyDescent="0.3">
      <c r="A523" t="s">
        <v>304</v>
      </c>
      <c r="B523" t="s">
        <v>12</v>
      </c>
      <c r="C523" s="92">
        <v>42029</v>
      </c>
      <c r="D523" s="46">
        <v>6</v>
      </c>
      <c r="E523" s="47">
        <v>4.6900000000000004</v>
      </c>
      <c r="F523" t="s">
        <v>33</v>
      </c>
      <c r="J523" t="s">
        <v>720</v>
      </c>
      <c r="K523">
        <f>COUNTIF($A$1:A523,A523)</f>
        <v>1</v>
      </c>
      <c r="L523" t="str">
        <f>VLOOKUP(A523,'Cadastro de Produtos'!A:B,2,0)</f>
        <v>Placa de video PCI-E 1GB ATI Radeon™ HD 5770 DDR5/HDMI/128BIT</v>
      </c>
      <c r="M523">
        <f t="shared" si="32"/>
        <v>6</v>
      </c>
      <c r="N523">
        <f t="shared" si="33"/>
        <v>0</v>
      </c>
      <c r="O523">
        <f t="shared" si="34"/>
        <v>0</v>
      </c>
      <c r="P523">
        <f t="shared" si="35"/>
        <v>6</v>
      </c>
    </row>
    <row r="524" spans="1:16" x14ac:dyDescent="0.3">
      <c r="A524" t="s">
        <v>305</v>
      </c>
      <c r="B524" t="s">
        <v>12</v>
      </c>
      <c r="C524" s="92">
        <v>42029</v>
      </c>
      <c r="D524" s="46">
        <v>7</v>
      </c>
      <c r="E524" s="47">
        <v>15.39</v>
      </c>
      <c r="F524" t="s">
        <v>33</v>
      </c>
      <c r="J524" t="s">
        <v>720</v>
      </c>
      <c r="K524">
        <f>COUNTIF($A$1:A524,A524)</f>
        <v>1</v>
      </c>
      <c r="L524" t="str">
        <f>VLOOKUP(A524,'Cadastro de Produtos'!A:B,2,0)</f>
        <v>Placa de video PCI-E 1GB ATI Radeon™ HD 5830 DDR5/HDMI/256BIT</v>
      </c>
      <c r="M524">
        <f t="shared" si="32"/>
        <v>7</v>
      </c>
      <c r="N524">
        <f t="shared" si="33"/>
        <v>0</v>
      </c>
      <c r="O524">
        <f t="shared" si="34"/>
        <v>0</v>
      </c>
      <c r="P524">
        <f t="shared" si="35"/>
        <v>7</v>
      </c>
    </row>
    <row r="525" spans="1:16" x14ac:dyDescent="0.3">
      <c r="A525" t="s">
        <v>300</v>
      </c>
      <c r="B525" t="s">
        <v>12</v>
      </c>
      <c r="C525" s="92">
        <v>42029</v>
      </c>
      <c r="D525" s="46">
        <v>3</v>
      </c>
      <c r="E525" s="47">
        <v>34.049999999999997</v>
      </c>
      <c r="F525" t="s">
        <v>33</v>
      </c>
      <c r="J525" t="s">
        <v>720</v>
      </c>
      <c r="K525">
        <f>COUNTIF($A$1:A525,A525)</f>
        <v>1</v>
      </c>
      <c r="L525" t="str">
        <f>VLOOKUP(A525,'Cadastro de Produtos'!A:B,2,0)</f>
        <v>Placa de video PCI-E 1.2GB Nvidia GeForce GTX 470 DDR5/HDMI/320BIT</v>
      </c>
      <c r="M525">
        <f t="shared" si="32"/>
        <v>3</v>
      </c>
      <c r="N525">
        <f t="shared" si="33"/>
        <v>0</v>
      </c>
      <c r="O525">
        <f t="shared" si="34"/>
        <v>0</v>
      </c>
      <c r="P525">
        <f t="shared" si="35"/>
        <v>3</v>
      </c>
    </row>
    <row r="526" spans="1:16" x14ac:dyDescent="0.3">
      <c r="A526" t="s">
        <v>290</v>
      </c>
      <c r="B526" t="s">
        <v>12</v>
      </c>
      <c r="C526" s="92">
        <v>42029</v>
      </c>
      <c r="D526" s="46">
        <v>2</v>
      </c>
      <c r="E526" s="47">
        <v>35.9</v>
      </c>
      <c r="F526" t="s">
        <v>33</v>
      </c>
      <c r="J526" t="s">
        <v>720</v>
      </c>
      <c r="K526">
        <f>COUNTIF($A$1:A526,A526)</f>
        <v>1</v>
      </c>
      <c r="L526" t="str">
        <f>VLOOKUP(A526,'Cadastro de Produtos'!A:B,2,0)</f>
        <v>Pen drive Kingston 8GB USB 2.0</v>
      </c>
      <c r="M526">
        <f t="shared" si="32"/>
        <v>2</v>
      </c>
      <c r="N526">
        <f t="shared" si="33"/>
        <v>0</v>
      </c>
      <c r="O526">
        <f t="shared" si="34"/>
        <v>0</v>
      </c>
      <c r="P526">
        <f t="shared" si="35"/>
        <v>2</v>
      </c>
    </row>
    <row r="527" spans="1:16" x14ac:dyDescent="0.3">
      <c r="A527" t="s">
        <v>291</v>
      </c>
      <c r="B527" t="s">
        <v>12</v>
      </c>
      <c r="C527" s="92">
        <v>42029</v>
      </c>
      <c r="D527" s="46">
        <v>2</v>
      </c>
      <c r="E527" s="47">
        <v>0.01</v>
      </c>
      <c r="F527" t="s">
        <v>33</v>
      </c>
      <c r="J527" t="s">
        <v>720</v>
      </c>
      <c r="K527">
        <f>COUNTIF($A$1:A527,A527)</f>
        <v>1</v>
      </c>
      <c r="L527" t="str">
        <f>VLOOKUP(A527,'Cadastro de Produtos'!A:B,2,0)</f>
        <v>Placa de Captura GV800 120 FPS 16 CANAIS DE VÍDEO 04 ÁUDIOS VERSÃO 7.0</v>
      </c>
      <c r="M527">
        <f t="shared" si="32"/>
        <v>2</v>
      </c>
      <c r="N527">
        <f t="shared" si="33"/>
        <v>0</v>
      </c>
      <c r="O527">
        <f t="shared" si="34"/>
        <v>0</v>
      </c>
      <c r="P527">
        <f t="shared" si="35"/>
        <v>2</v>
      </c>
    </row>
    <row r="528" spans="1:16" x14ac:dyDescent="0.3">
      <c r="A528" t="s">
        <v>292</v>
      </c>
      <c r="B528" t="s">
        <v>12</v>
      </c>
      <c r="C528" s="92">
        <v>42029</v>
      </c>
      <c r="D528" s="46">
        <v>1</v>
      </c>
      <c r="E528" s="47">
        <v>3.29</v>
      </c>
      <c r="F528" t="s">
        <v>33</v>
      </c>
      <c r="J528" t="s">
        <v>720</v>
      </c>
      <c r="K528">
        <f>COUNTIF($A$1:A528,A528)</f>
        <v>1</v>
      </c>
      <c r="L528" t="str">
        <f>VLOOKUP(A528,'Cadastro de Produtos'!A:B,2,0)</f>
        <v>Placa de Captura PCI Tuner Analogica</v>
      </c>
      <c r="M528">
        <f t="shared" si="32"/>
        <v>1</v>
      </c>
      <c r="N528">
        <f t="shared" si="33"/>
        <v>0</v>
      </c>
      <c r="O528">
        <f t="shared" si="34"/>
        <v>0</v>
      </c>
      <c r="P528">
        <f t="shared" si="35"/>
        <v>1</v>
      </c>
    </row>
    <row r="529" spans="1:16" x14ac:dyDescent="0.3">
      <c r="A529" t="s">
        <v>293</v>
      </c>
      <c r="B529" t="s">
        <v>12</v>
      </c>
      <c r="C529" s="92">
        <v>42029</v>
      </c>
      <c r="D529" s="46">
        <v>11</v>
      </c>
      <c r="E529" s="47">
        <v>2.2999999999999998</v>
      </c>
      <c r="F529" t="s">
        <v>33</v>
      </c>
      <c r="J529" t="s">
        <v>720</v>
      </c>
      <c r="K529">
        <f>COUNTIF($A$1:A529,A529)</f>
        <v>1</v>
      </c>
      <c r="L529" t="str">
        <f>VLOOKUP(A529,'Cadastro de Produtos'!A:B,2,0)</f>
        <v>Placa de Captura Pinnacle Studio MovieBoard PCI</v>
      </c>
      <c r="M529">
        <f t="shared" si="32"/>
        <v>11</v>
      </c>
      <c r="N529">
        <f t="shared" si="33"/>
        <v>0</v>
      </c>
      <c r="O529">
        <f t="shared" si="34"/>
        <v>0</v>
      </c>
      <c r="P529">
        <f t="shared" si="35"/>
        <v>11</v>
      </c>
    </row>
    <row r="530" spans="1:16" x14ac:dyDescent="0.3">
      <c r="A530" t="s">
        <v>294</v>
      </c>
      <c r="B530" t="s">
        <v>12</v>
      </c>
      <c r="C530" s="92">
        <v>42029</v>
      </c>
      <c r="D530" s="46">
        <v>1</v>
      </c>
      <c r="E530" s="47">
        <v>4.29</v>
      </c>
      <c r="F530" t="s">
        <v>33</v>
      </c>
      <c r="J530" t="s">
        <v>720</v>
      </c>
      <c r="K530">
        <f>COUNTIF($A$1:A530,A530)</f>
        <v>1</v>
      </c>
      <c r="L530" t="str">
        <f>VLOOKUP(A530,'Cadastro de Produtos'!A:B,2,0)</f>
        <v>Placa de Rede D-Link DFE-520TX PCI 10/100Mbps Fast Ethernet</v>
      </c>
      <c r="M530">
        <f t="shared" si="32"/>
        <v>1</v>
      </c>
      <c r="N530">
        <f t="shared" si="33"/>
        <v>0</v>
      </c>
      <c r="O530">
        <f t="shared" si="34"/>
        <v>0</v>
      </c>
      <c r="P530">
        <f t="shared" si="35"/>
        <v>1</v>
      </c>
    </row>
    <row r="531" spans="1:16" x14ac:dyDescent="0.3">
      <c r="A531" t="s">
        <v>295</v>
      </c>
      <c r="B531" t="s">
        <v>12</v>
      </c>
      <c r="C531" s="92">
        <v>42029</v>
      </c>
      <c r="D531" s="46">
        <v>1</v>
      </c>
      <c r="E531" s="47">
        <v>4</v>
      </c>
      <c r="F531" t="s">
        <v>33</v>
      </c>
      <c r="J531" t="s">
        <v>720</v>
      </c>
      <c r="K531">
        <f>COUNTIF($A$1:A531,A531)</f>
        <v>1</v>
      </c>
      <c r="L531" t="str">
        <f>VLOOKUP(A531,'Cadastro de Produtos'!A:B,2,0)</f>
        <v>Placa de Rede D-Link DGE-530T PCI Gigabit 32bits</v>
      </c>
      <c r="M531">
        <f t="shared" si="32"/>
        <v>1</v>
      </c>
      <c r="N531">
        <f t="shared" si="33"/>
        <v>0</v>
      </c>
      <c r="O531">
        <f t="shared" si="34"/>
        <v>0</v>
      </c>
      <c r="P531">
        <f t="shared" si="35"/>
        <v>1</v>
      </c>
    </row>
    <row r="532" spans="1:16" x14ac:dyDescent="0.3">
      <c r="A532" t="s">
        <v>296</v>
      </c>
      <c r="B532" t="s">
        <v>12</v>
      </c>
      <c r="C532" s="92">
        <v>42029</v>
      </c>
      <c r="D532" s="46">
        <v>1</v>
      </c>
      <c r="E532" s="47">
        <v>14.89</v>
      </c>
      <c r="F532" t="s">
        <v>33</v>
      </c>
      <c r="J532" t="s">
        <v>720</v>
      </c>
      <c r="K532">
        <f>COUNTIF($A$1:A532,A532)</f>
        <v>1</v>
      </c>
      <c r="L532" t="str">
        <f>VLOOKUP(A532,'Cadastro de Produtos'!A:B,2,0)</f>
        <v>Placa de Rede PCI 10/100</v>
      </c>
      <c r="M532">
        <f t="shared" si="32"/>
        <v>1</v>
      </c>
      <c r="N532">
        <f t="shared" si="33"/>
        <v>0</v>
      </c>
      <c r="O532">
        <f t="shared" si="34"/>
        <v>0</v>
      </c>
      <c r="P532">
        <f t="shared" si="35"/>
        <v>1</v>
      </c>
    </row>
    <row r="533" spans="1:16" x14ac:dyDescent="0.3">
      <c r="A533" t="s">
        <v>297</v>
      </c>
      <c r="B533" t="s">
        <v>12</v>
      </c>
      <c r="C533" s="92">
        <v>42029</v>
      </c>
      <c r="D533" s="46">
        <v>5</v>
      </c>
      <c r="E533" s="47">
        <v>5.09</v>
      </c>
      <c r="F533" t="s">
        <v>33</v>
      </c>
      <c r="J533" t="s">
        <v>720</v>
      </c>
      <c r="K533">
        <f>COUNTIF($A$1:A533,A533)</f>
        <v>1</v>
      </c>
      <c r="L533" t="str">
        <f>VLOOKUP(A533,'Cadastro de Produtos'!A:B,2,0)</f>
        <v>Placa de Rede PCI 10/100/1000 Encore</v>
      </c>
      <c r="M533">
        <f t="shared" si="32"/>
        <v>5</v>
      </c>
      <c r="N533">
        <f t="shared" si="33"/>
        <v>0</v>
      </c>
      <c r="O533">
        <f t="shared" si="34"/>
        <v>0</v>
      </c>
      <c r="P533">
        <f t="shared" si="35"/>
        <v>5</v>
      </c>
    </row>
    <row r="534" spans="1:16" x14ac:dyDescent="0.3">
      <c r="A534" t="s">
        <v>298</v>
      </c>
      <c r="B534" t="s">
        <v>12</v>
      </c>
      <c r="C534" s="92">
        <v>42029</v>
      </c>
      <c r="D534" s="46">
        <v>2</v>
      </c>
      <c r="E534" s="47">
        <v>6.09</v>
      </c>
      <c r="F534" t="s">
        <v>33</v>
      </c>
      <c r="J534" t="s">
        <v>720</v>
      </c>
      <c r="K534">
        <f>COUNTIF($A$1:A534,A534)</f>
        <v>1</v>
      </c>
      <c r="L534" t="str">
        <f>VLOOKUP(A534,'Cadastro de Produtos'!A:B,2,0)</f>
        <v>Placa de Rede wireless PCI TP-LINK TL-WN651G 108Mbps</v>
      </c>
      <c r="M534">
        <f t="shared" si="32"/>
        <v>2</v>
      </c>
      <c r="N534">
        <f t="shared" si="33"/>
        <v>0</v>
      </c>
      <c r="O534">
        <f t="shared" si="34"/>
        <v>0</v>
      </c>
      <c r="P534">
        <f t="shared" si="35"/>
        <v>2</v>
      </c>
    </row>
    <row r="535" spans="1:16" x14ac:dyDescent="0.3">
      <c r="A535" t="s">
        <v>299</v>
      </c>
      <c r="B535" t="s">
        <v>12</v>
      </c>
      <c r="C535" s="92">
        <v>42029</v>
      </c>
      <c r="D535" s="46">
        <v>1</v>
      </c>
      <c r="E535" s="47">
        <v>5.99</v>
      </c>
      <c r="F535" t="s">
        <v>33</v>
      </c>
      <c r="J535" t="s">
        <v>720</v>
      </c>
      <c r="K535">
        <f>COUNTIF($A$1:A535,A535)</f>
        <v>1</v>
      </c>
      <c r="L535" t="str">
        <f>VLOOKUP(A535,'Cadastro de Produtos'!A:B,2,0)</f>
        <v>Placa de vídeo AGP 256MB Nvidia GeForce FX 5500 TV/DVI</v>
      </c>
      <c r="M535">
        <f t="shared" si="32"/>
        <v>1</v>
      </c>
      <c r="N535">
        <f t="shared" si="33"/>
        <v>0</v>
      </c>
      <c r="O535">
        <f t="shared" si="34"/>
        <v>0</v>
      </c>
      <c r="P535">
        <f t="shared" si="35"/>
        <v>1</v>
      </c>
    </row>
    <row r="536" spans="1:16" x14ac:dyDescent="0.3">
      <c r="A536" t="s">
        <v>307</v>
      </c>
      <c r="B536" t="s">
        <v>12</v>
      </c>
      <c r="C536" s="92">
        <v>42029</v>
      </c>
      <c r="D536" s="46">
        <v>4</v>
      </c>
      <c r="E536" s="47">
        <v>1.3</v>
      </c>
      <c r="F536" t="s">
        <v>33</v>
      </c>
      <c r="J536" t="s">
        <v>720</v>
      </c>
      <c r="K536">
        <f>COUNTIF($A$1:A536,A536)</f>
        <v>1</v>
      </c>
      <c r="L536" t="str">
        <f>VLOOKUP(A536,'Cadastro de Produtos'!A:B,2,0)</f>
        <v>Placa de vídeo PCI-E 1GB Nvidia GeForce 9400GT DDR2/DVI/128BIT</v>
      </c>
      <c r="M536">
        <f t="shared" si="32"/>
        <v>4</v>
      </c>
      <c r="N536">
        <f t="shared" si="33"/>
        <v>0</v>
      </c>
      <c r="O536">
        <f t="shared" si="34"/>
        <v>0</v>
      </c>
      <c r="P536">
        <f t="shared" si="35"/>
        <v>4</v>
      </c>
    </row>
    <row r="537" spans="1:16" x14ac:dyDescent="0.3">
      <c r="A537" t="s">
        <v>306</v>
      </c>
      <c r="B537" t="s">
        <v>12</v>
      </c>
      <c r="C537" s="92">
        <v>42029</v>
      </c>
      <c r="D537" s="46">
        <v>3</v>
      </c>
      <c r="E537" s="47">
        <v>1.3</v>
      </c>
      <c r="F537" t="s">
        <v>33</v>
      </c>
      <c r="J537" t="s">
        <v>720</v>
      </c>
      <c r="K537">
        <f>COUNTIF($A$1:A537,A537)</f>
        <v>1</v>
      </c>
      <c r="L537" t="str">
        <f>VLOOKUP(A537,'Cadastro de Produtos'!A:B,2,0)</f>
        <v>Placa de video PCI-E 1GB ATI Radeon™ HD 5870 DDR5/HDMI/256BIT</v>
      </c>
      <c r="M537">
        <f t="shared" si="32"/>
        <v>3</v>
      </c>
      <c r="N537">
        <f t="shared" si="33"/>
        <v>0</v>
      </c>
      <c r="O537">
        <f t="shared" si="34"/>
        <v>0</v>
      </c>
      <c r="P537">
        <f t="shared" si="35"/>
        <v>3</v>
      </c>
    </row>
    <row r="538" spans="1:16" x14ac:dyDescent="0.3">
      <c r="A538" t="s">
        <v>308</v>
      </c>
      <c r="B538" t="s">
        <v>12</v>
      </c>
      <c r="C538" s="92">
        <v>42029</v>
      </c>
      <c r="D538" s="46">
        <v>5</v>
      </c>
      <c r="E538" s="47">
        <v>0.78</v>
      </c>
      <c r="F538" t="s">
        <v>33</v>
      </c>
      <c r="J538" t="s">
        <v>720</v>
      </c>
      <c r="K538">
        <f>COUNTIF($A$1:A538,A538)</f>
        <v>1</v>
      </c>
      <c r="L538" t="str">
        <f>VLOOKUP(A538,'Cadastro de Produtos'!A:B,2,0)</f>
        <v>Placa de vídeo PCI-E 1GB Nvidia GeForce 9500GT DVI/HDTV/SLI/128BIT</v>
      </c>
      <c r="M538">
        <f t="shared" si="32"/>
        <v>5</v>
      </c>
      <c r="N538">
        <f t="shared" si="33"/>
        <v>0</v>
      </c>
      <c r="O538">
        <f t="shared" si="34"/>
        <v>0</v>
      </c>
      <c r="P538">
        <f t="shared" si="35"/>
        <v>5</v>
      </c>
    </row>
    <row r="539" spans="1:16" x14ac:dyDescent="0.3">
      <c r="A539" t="s">
        <v>309</v>
      </c>
      <c r="B539" t="s">
        <v>12</v>
      </c>
      <c r="C539" s="92">
        <v>42029</v>
      </c>
      <c r="D539" s="46">
        <v>1</v>
      </c>
      <c r="E539" s="47">
        <v>4.6900000000000004</v>
      </c>
      <c r="F539" t="s">
        <v>33</v>
      </c>
      <c r="J539" t="s">
        <v>720</v>
      </c>
      <c r="K539">
        <f>COUNTIF($A$1:A539,A539)</f>
        <v>1</v>
      </c>
      <c r="L539" t="str">
        <f>VLOOKUP(A539,'Cadastro de Produtos'!A:B,2,0)</f>
        <v>Placa de vídeo PCI-E 1GB Nvidia GeForce GT 220 DDR2/DVI/HDMI/128BIT</v>
      </c>
      <c r="M539">
        <f t="shared" si="32"/>
        <v>1</v>
      </c>
      <c r="N539">
        <f t="shared" si="33"/>
        <v>0</v>
      </c>
      <c r="O539">
        <f t="shared" si="34"/>
        <v>0</v>
      </c>
      <c r="P539">
        <f t="shared" si="35"/>
        <v>1</v>
      </c>
    </row>
    <row r="540" spans="1:16" x14ac:dyDescent="0.3">
      <c r="A540" t="s">
        <v>310</v>
      </c>
      <c r="B540" t="s">
        <v>12</v>
      </c>
      <c r="C540" s="92">
        <v>42029</v>
      </c>
      <c r="D540" s="46">
        <v>11</v>
      </c>
      <c r="E540" s="47">
        <v>2.9</v>
      </c>
      <c r="F540" t="s">
        <v>33</v>
      </c>
      <c r="J540" t="s">
        <v>720</v>
      </c>
      <c r="K540">
        <f>COUNTIF($A$1:A540,A540)</f>
        <v>1</v>
      </c>
      <c r="L540" t="str">
        <f>VLOOKUP(A540,'Cadastro de Produtos'!A:B,2,0)</f>
        <v>Placa de vídeo PCI-E 1GB Nvidia GeForce GT 240 DDR3/DVI/HDMI/128BIT</v>
      </c>
      <c r="M540">
        <f t="shared" si="32"/>
        <v>11</v>
      </c>
      <c r="N540">
        <f t="shared" si="33"/>
        <v>0</v>
      </c>
      <c r="O540">
        <f t="shared" si="34"/>
        <v>0</v>
      </c>
      <c r="P540">
        <f t="shared" si="35"/>
        <v>11</v>
      </c>
    </row>
    <row r="541" spans="1:16" x14ac:dyDescent="0.3">
      <c r="A541" t="s">
        <v>311</v>
      </c>
      <c r="B541" t="s">
        <v>12</v>
      </c>
      <c r="C541" s="92">
        <v>42029</v>
      </c>
      <c r="D541" s="46">
        <v>4</v>
      </c>
      <c r="E541" s="47">
        <v>2.95</v>
      </c>
      <c r="F541" t="s">
        <v>33</v>
      </c>
      <c r="J541" t="s">
        <v>720</v>
      </c>
      <c r="K541">
        <f>COUNTIF($A$1:A541,A541)</f>
        <v>1</v>
      </c>
      <c r="L541" t="str">
        <f>VLOOKUP(A541,'Cadastro de Produtos'!A:B,2,0)</f>
        <v>Placa de video PCI-E 1GB Nvidia GeForce GTS 250 DDR3/DVI/256BIT</v>
      </c>
      <c r="M541">
        <f t="shared" si="32"/>
        <v>4</v>
      </c>
      <c r="N541">
        <f t="shared" si="33"/>
        <v>0</v>
      </c>
      <c r="O541">
        <f t="shared" si="34"/>
        <v>0</v>
      </c>
      <c r="P541">
        <f t="shared" si="35"/>
        <v>4</v>
      </c>
    </row>
    <row r="542" spans="1:16" x14ac:dyDescent="0.3">
      <c r="A542" t="s">
        <v>312</v>
      </c>
      <c r="B542" t="s">
        <v>12</v>
      </c>
      <c r="C542" s="92">
        <v>42029</v>
      </c>
      <c r="D542" s="46">
        <v>2</v>
      </c>
      <c r="E542" s="47">
        <v>2.79</v>
      </c>
      <c r="F542" t="s">
        <v>33</v>
      </c>
      <c r="J542" t="s">
        <v>720</v>
      </c>
      <c r="K542">
        <f>COUNTIF($A$1:A542,A542)</f>
        <v>1</v>
      </c>
      <c r="L542" t="str">
        <f>VLOOKUP(A542,'Cadastro de Produtos'!A:B,2,0)</f>
        <v>Placa de vídeo PCI-E 1GB Nvidia GeForce GTX 285 DDR3/DVI/512BIT</v>
      </c>
      <c r="M542">
        <f t="shared" si="32"/>
        <v>2</v>
      </c>
      <c r="N542">
        <f t="shared" si="33"/>
        <v>0</v>
      </c>
      <c r="O542">
        <f t="shared" si="34"/>
        <v>0</v>
      </c>
      <c r="P542">
        <f t="shared" si="35"/>
        <v>2</v>
      </c>
    </row>
    <row r="543" spans="1:16" x14ac:dyDescent="0.3">
      <c r="A543" t="s">
        <v>313</v>
      </c>
      <c r="B543" t="s">
        <v>12</v>
      </c>
      <c r="C543" s="92">
        <v>42029</v>
      </c>
      <c r="D543" s="46">
        <v>2</v>
      </c>
      <c r="E543" s="47">
        <v>98.09</v>
      </c>
      <c r="F543" t="s">
        <v>33</v>
      </c>
      <c r="J543" t="s">
        <v>720</v>
      </c>
      <c r="K543">
        <f>COUNTIF($A$1:A543,A543)</f>
        <v>1</v>
      </c>
      <c r="L543" t="str">
        <f>VLOOKUP(A543,'Cadastro de Produtos'!A:B,2,0)</f>
        <v>Placa de vídeo PCI-E 1GB XFX ATI Radeon HD 4650 DDR2/DVI/128BIT</v>
      </c>
      <c r="M543">
        <f t="shared" si="32"/>
        <v>2</v>
      </c>
      <c r="N543">
        <f t="shared" si="33"/>
        <v>0</v>
      </c>
      <c r="O543">
        <f t="shared" si="34"/>
        <v>0</v>
      </c>
      <c r="P543">
        <f t="shared" si="35"/>
        <v>2</v>
      </c>
    </row>
    <row r="544" spans="1:16" x14ac:dyDescent="0.3">
      <c r="A544" t="s">
        <v>314</v>
      </c>
      <c r="B544" t="s">
        <v>12</v>
      </c>
      <c r="C544" s="92">
        <v>42029</v>
      </c>
      <c r="D544" s="46">
        <v>1</v>
      </c>
      <c r="E544" s="47">
        <v>27.9</v>
      </c>
      <c r="F544" t="s">
        <v>33</v>
      </c>
      <c r="J544" t="s">
        <v>720</v>
      </c>
      <c r="K544">
        <f>COUNTIF($A$1:A544,A544)</f>
        <v>1</v>
      </c>
      <c r="L544" t="str">
        <f>VLOOKUP(A544,'Cadastro de Produtos'!A:B,2,0)</f>
        <v>Placa de vídeo PCI-E 1GB XFX ATI Radeon HD 5450 DDR2/HDMI/64BIT</v>
      </c>
      <c r="M544">
        <f t="shared" si="32"/>
        <v>1</v>
      </c>
      <c r="N544">
        <f t="shared" si="33"/>
        <v>0</v>
      </c>
      <c r="O544">
        <f t="shared" si="34"/>
        <v>0</v>
      </c>
      <c r="P544">
        <f t="shared" si="35"/>
        <v>1</v>
      </c>
    </row>
    <row r="545" spans="1:16" x14ac:dyDescent="0.3">
      <c r="A545" t="s">
        <v>315</v>
      </c>
      <c r="B545" t="s">
        <v>12</v>
      </c>
      <c r="C545" s="92">
        <v>42029</v>
      </c>
      <c r="D545" s="46">
        <v>1</v>
      </c>
      <c r="E545" s="47">
        <v>31</v>
      </c>
      <c r="F545" t="s">
        <v>33</v>
      </c>
      <c r="J545" t="s">
        <v>720</v>
      </c>
      <c r="K545">
        <f>COUNTIF($A$1:A545,A545)</f>
        <v>1</v>
      </c>
      <c r="L545" t="str">
        <f>VLOOKUP(A545,'Cadastro de Produtos'!A:B,2,0)</f>
        <v>Placa de vídeo PCI-E 2GB XFX ATI Radeon HD 5970 DDR5/HDMI/DVI/512BIT</v>
      </c>
      <c r="M545">
        <f t="shared" si="32"/>
        <v>1</v>
      </c>
      <c r="N545">
        <f t="shared" si="33"/>
        <v>0</v>
      </c>
      <c r="O545">
        <f t="shared" si="34"/>
        <v>0</v>
      </c>
      <c r="P545">
        <f t="shared" si="35"/>
        <v>1</v>
      </c>
    </row>
    <row r="546" spans="1:16" x14ac:dyDescent="0.3">
      <c r="A546" t="s">
        <v>318</v>
      </c>
      <c r="B546" t="s">
        <v>12</v>
      </c>
      <c r="C546" s="92">
        <v>42029</v>
      </c>
      <c r="D546" s="46">
        <v>0</v>
      </c>
      <c r="E546" s="47">
        <v>0.97</v>
      </c>
      <c r="F546" t="s">
        <v>33</v>
      </c>
      <c r="J546" t="s">
        <v>720</v>
      </c>
      <c r="K546">
        <f>COUNTIF($A$1:A546,A546)</f>
        <v>1</v>
      </c>
      <c r="L546" t="str">
        <f>VLOOKUP(A546,'Cadastro de Produtos'!A:B,2,0)</f>
        <v>Placa de video PCI-E 512MB Nvidia GeForce 9400GT DDR2/DVI/128BIT</v>
      </c>
      <c r="M546">
        <f t="shared" si="32"/>
        <v>0</v>
      </c>
      <c r="N546">
        <f t="shared" si="33"/>
        <v>0</v>
      </c>
      <c r="O546">
        <f t="shared" si="34"/>
        <v>0</v>
      </c>
      <c r="P546">
        <f t="shared" si="35"/>
        <v>0</v>
      </c>
    </row>
    <row r="547" spans="1:16" x14ac:dyDescent="0.3">
      <c r="A547" t="s">
        <v>319</v>
      </c>
      <c r="B547" t="s">
        <v>12</v>
      </c>
      <c r="C547" s="92">
        <v>42029</v>
      </c>
      <c r="D547" s="46">
        <v>0</v>
      </c>
      <c r="E547" s="47">
        <v>4.1900000000000004</v>
      </c>
      <c r="F547" t="s">
        <v>33</v>
      </c>
      <c r="J547" t="s">
        <v>720</v>
      </c>
      <c r="K547">
        <f>COUNTIF($A$1:A547,A547)</f>
        <v>1</v>
      </c>
      <c r="L547" t="str">
        <f>VLOOKUP(A547,'Cadastro de Produtos'!A:B,2,0)</f>
        <v>Placa de vídeo PCI-E 512MB Nvidia Geforce 9500GT DVI/HDTV/128BIT</v>
      </c>
      <c r="M547">
        <f t="shared" si="32"/>
        <v>0</v>
      </c>
      <c r="N547">
        <f t="shared" si="33"/>
        <v>0</v>
      </c>
      <c r="O547">
        <f t="shared" si="34"/>
        <v>0</v>
      </c>
      <c r="P547">
        <f t="shared" si="35"/>
        <v>0</v>
      </c>
    </row>
    <row r="548" spans="1:16" x14ac:dyDescent="0.3">
      <c r="A548" t="s">
        <v>320</v>
      </c>
      <c r="B548" t="s">
        <v>12</v>
      </c>
      <c r="C548" s="92">
        <v>42029</v>
      </c>
      <c r="D548" s="46">
        <v>1</v>
      </c>
      <c r="E548" s="47">
        <v>8.39</v>
      </c>
      <c r="F548" t="s">
        <v>33</v>
      </c>
      <c r="J548" t="s">
        <v>720</v>
      </c>
      <c r="K548">
        <f>COUNTIF($A$1:A548,A548)</f>
        <v>1</v>
      </c>
      <c r="L548" t="str">
        <f>VLOOKUP(A548,'Cadastro de Produtos'!A:B,2,0)</f>
        <v>Placa de vídeo PCI-E 512MB Nvidia GeForce 9800GT GDDR3/HDTV/SLI/256BIT</v>
      </c>
      <c r="M548">
        <f t="shared" si="32"/>
        <v>1</v>
      </c>
      <c r="N548">
        <f t="shared" si="33"/>
        <v>0</v>
      </c>
      <c r="O548">
        <f t="shared" si="34"/>
        <v>0</v>
      </c>
      <c r="P548">
        <f t="shared" si="35"/>
        <v>1</v>
      </c>
    </row>
    <row r="549" spans="1:16" x14ac:dyDescent="0.3">
      <c r="A549" t="s">
        <v>321</v>
      </c>
      <c r="B549" t="s">
        <v>12</v>
      </c>
      <c r="C549" s="92">
        <v>42029</v>
      </c>
      <c r="D549" s="46">
        <v>0</v>
      </c>
      <c r="E549" s="47">
        <v>12.9</v>
      </c>
      <c r="F549" t="s">
        <v>33</v>
      </c>
      <c r="J549" t="s">
        <v>720</v>
      </c>
      <c r="K549">
        <f>COUNTIF($A$1:A549,A549)</f>
        <v>1</v>
      </c>
      <c r="L549" t="str">
        <f>VLOOKUP(A549,'Cadastro de Produtos'!A:B,2,0)</f>
        <v>Placa de video PCI-E 512MB Nvidia GeForce GTS 250 DDR3/DVI/256BIT</v>
      </c>
      <c r="M549">
        <f t="shared" si="32"/>
        <v>0</v>
      </c>
      <c r="N549">
        <f t="shared" si="33"/>
        <v>0</v>
      </c>
      <c r="O549">
        <f t="shared" si="34"/>
        <v>0</v>
      </c>
      <c r="P549">
        <f t="shared" si="35"/>
        <v>0</v>
      </c>
    </row>
    <row r="550" spans="1:16" x14ac:dyDescent="0.3">
      <c r="A550" t="s">
        <v>322</v>
      </c>
      <c r="B550" t="s">
        <v>12</v>
      </c>
      <c r="C550" s="92">
        <v>42029</v>
      </c>
      <c r="D550" s="46">
        <v>0</v>
      </c>
      <c r="E550" s="47">
        <v>8.7899999999999991</v>
      </c>
      <c r="F550" t="s">
        <v>33</v>
      </c>
      <c r="J550" t="s">
        <v>720</v>
      </c>
      <c r="K550">
        <f>COUNTIF($A$1:A550,A550)</f>
        <v>1</v>
      </c>
      <c r="L550" t="str">
        <f>VLOOKUP(A550,'Cadastro de Produtos'!A:B,2,0)</f>
        <v>Placa de vídeo PCI-E 512MB NVidia Quadro FX580 GDDR3/2DVI/128BIT</v>
      </c>
      <c r="M550">
        <f t="shared" si="32"/>
        <v>0</v>
      </c>
      <c r="N550">
        <f t="shared" si="33"/>
        <v>0</v>
      </c>
      <c r="O550">
        <f t="shared" si="34"/>
        <v>0</v>
      </c>
      <c r="P550">
        <f t="shared" si="35"/>
        <v>0</v>
      </c>
    </row>
    <row r="551" spans="1:16" x14ac:dyDescent="0.3">
      <c r="A551" t="s">
        <v>323</v>
      </c>
      <c r="B551" t="s">
        <v>12</v>
      </c>
      <c r="C551" s="92">
        <v>42029</v>
      </c>
      <c r="D551" s="46">
        <v>2</v>
      </c>
      <c r="E551" s="47">
        <v>33.9</v>
      </c>
      <c r="F551" t="s">
        <v>33</v>
      </c>
      <c r="J551" t="s">
        <v>720</v>
      </c>
      <c r="K551">
        <f>COUNTIF($A$1:A551,A551)</f>
        <v>1</v>
      </c>
      <c r="L551" t="str">
        <f>VLOOKUP(A551,'Cadastro de Produtos'!A:B,2,0)</f>
        <v>Placa de vídeo PCI-E 512MB XFX ATI Radeon HD 5450 DDR2/ HDMI/64BIT</v>
      </c>
      <c r="M551">
        <f t="shared" si="32"/>
        <v>2</v>
      </c>
      <c r="N551">
        <f t="shared" si="33"/>
        <v>0</v>
      </c>
      <c r="O551">
        <f t="shared" si="34"/>
        <v>0</v>
      </c>
      <c r="P551">
        <f t="shared" si="35"/>
        <v>2</v>
      </c>
    </row>
    <row r="552" spans="1:16" x14ac:dyDescent="0.3">
      <c r="A552" t="s">
        <v>324</v>
      </c>
      <c r="B552" t="s">
        <v>12</v>
      </c>
      <c r="C552" s="92">
        <v>42029</v>
      </c>
      <c r="D552" s="46">
        <v>0</v>
      </c>
      <c r="E552" s="47">
        <v>69.900000000000006</v>
      </c>
      <c r="F552" t="s">
        <v>33</v>
      </c>
      <c r="J552" t="s">
        <v>720</v>
      </c>
      <c r="K552">
        <f>COUNTIF($A$1:A552,A552)</f>
        <v>1</v>
      </c>
      <c r="L552" t="str">
        <f>VLOOKUP(A552,'Cadastro de Produtos'!A:B,2,0)</f>
        <v>Placa de vídeo PCI-E 512MB XFX Nvidia GeForce 210 DDR2/HDMI/64BIT</v>
      </c>
      <c r="M552">
        <f t="shared" si="32"/>
        <v>0</v>
      </c>
      <c r="N552">
        <f t="shared" si="33"/>
        <v>0</v>
      </c>
      <c r="O552">
        <f t="shared" si="34"/>
        <v>0</v>
      </c>
      <c r="P552">
        <f t="shared" si="35"/>
        <v>0</v>
      </c>
    </row>
    <row r="553" spans="1:16" x14ac:dyDescent="0.3">
      <c r="A553" t="s">
        <v>316</v>
      </c>
      <c r="B553" t="s">
        <v>12</v>
      </c>
      <c r="C553" s="92">
        <v>42029</v>
      </c>
      <c r="D553" s="46">
        <v>24</v>
      </c>
      <c r="E553" s="47">
        <v>12.39</v>
      </c>
      <c r="F553" t="s">
        <v>33</v>
      </c>
      <c r="J553" t="s">
        <v>720</v>
      </c>
      <c r="K553">
        <f>COUNTIF($A$1:A553,A553)</f>
        <v>1</v>
      </c>
      <c r="L553" t="str">
        <f>VLOOKUP(A553,'Cadastro de Produtos'!A:B,2,0)</f>
        <v>Placa de video PCI-E 512MB ATI Radeon™ HD 4350 DDR2/HDMI/64BIT</v>
      </c>
      <c r="M553">
        <f t="shared" si="32"/>
        <v>24</v>
      </c>
      <c r="N553">
        <f t="shared" si="33"/>
        <v>0</v>
      </c>
      <c r="O553">
        <f t="shared" si="34"/>
        <v>0</v>
      </c>
      <c r="P553">
        <f t="shared" si="35"/>
        <v>24</v>
      </c>
    </row>
    <row r="554" spans="1:16" x14ac:dyDescent="0.3">
      <c r="A554" t="s">
        <v>317</v>
      </c>
      <c r="B554" t="s">
        <v>12</v>
      </c>
      <c r="C554" s="92">
        <v>42029</v>
      </c>
      <c r="D554" s="46">
        <v>2</v>
      </c>
      <c r="E554" s="47">
        <v>6.99</v>
      </c>
      <c r="F554" t="s">
        <v>33</v>
      </c>
      <c r="J554" t="s">
        <v>720</v>
      </c>
      <c r="K554">
        <f>COUNTIF($A$1:A554,A554)</f>
        <v>1</v>
      </c>
      <c r="L554" t="str">
        <f>VLOOKUP(A554,'Cadastro de Produtos'!A:B,2,0)</f>
        <v>Placa de video PCI-E 512MB Nvidia GeForce 8400GS DVI/HDTV/64BIT</v>
      </c>
      <c r="M554">
        <f t="shared" si="32"/>
        <v>2</v>
      </c>
      <c r="N554">
        <f t="shared" si="33"/>
        <v>0</v>
      </c>
      <c r="O554">
        <f t="shared" si="34"/>
        <v>0</v>
      </c>
      <c r="P554">
        <f t="shared" si="35"/>
        <v>2</v>
      </c>
    </row>
    <row r="555" spans="1:16" x14ac:dyDescent="0.3">
      <c r="A555" t="s">
        <v>325</v>
      </c>
      <c r="B555" t="s">
        <v>12</v>
      </c>
      <c r="C555" s="92">
        <v>42029</v>
      </c>
      <c r="D555" s="46">
        <v>1</v>
      </c>
      <c r="E555" s="47">
        <v>0.01</v>
      </c>
      <c r="F555" t="s">
        <v>33</v>
      </c>
      <c r="J555" t="s">
        <v>720</v>
      </c>
      <c r="K555">
        <f>COUNTIF($A$1:A555,A555)</f>
        <v>1</v>
      </c>
      <c r="L555" t="str">
        <f>VLOOKUP(A555,'Cadastro de Produtos'!A:B,2,0)</f>
        <v>Placa de vídeo PCI-E 512MB XFX Nvidia GeForce GT 240 DDR3/HDMI/128BIT</v>
      </c>
      <c r="M555">
        <f t="shared" si="32"/>
        <v>1</v>
      </c>
      <c r="N555">
        <f t="shared" si="33"/>
        <v>0</v>
      </c>
      <c r="O555">
        <f t="shared" si="34"/>
        <v>0</v>
      </c>
      <c r="P555">
        <f t="shared" si="35"/>
        <v>1</v>
      </c>
    </row>
    <row r="556" spans="1:16" x14ac:dyDescent="0.3">
      <c r="A556" t="s">
        <v>326</v>
      </c>
      <c r="B556" t="s">
        <v>12</v>
      </c>
      <c r="C556" s="92">
        <v>42029</v>
      </c>
      <c r="D556" s="46">
        <v>9.4</v>
      </c>
      <c r="E556" s="47">
        <v>2.96</v>
      </c>
      <c r="F556" t="s">
        <v>33</v>
      </c>
      <c r="J556" t="s">
        <v>720</v>
      </c>
      <c r="K556">
        <f>COUNTIF($A$1:A556,A556)</f>
        <v>1</v>
      </c>
      <c r="L556" t="str">
        <f>VLOOKUP(A556,'Cadastro de Produtos'!A:B,2,0)</f>
        <v>Placa de video PCI-E 896MB Nvidia GeForce GTX 260 DDR3/Dual DVI/448BIT</v>
      </c>
      <c r="M556">
        <f t="shared" si="32"/>
        <v>9.4</v>
      </c>
      <c r="N556">
        <f t="shared" si="33"/>
        <v>0</v>
      </c>
      <c r="O556">
        <f t="shared" si="34"/>
        <v>0</v>
      </c>
      <c r="P556">
        <f t="shared" si="35"/>
        <v>9.4</v>
      </c>
    </row>
    <row r="557" spans="1:16" x14ac:dyDescent="0.3">
      <c r="A557" t="s">
        <v>327</v>
      </c>
      <c r="B557" t="s">
        <v>12</v>
      </c>
      <c r="C557" s="92">
        <v>42029</v>
      </c>
      <c r="D557" s="46">
        <v>6</v>
      </c>
      <c r="E557" s="47">
        <v>2.5</v>
      </c>
      <c r="F557" t="s">
        <v>33</v>
      </c>
      <c r="J557" t="s">
        <v>720</v>
      </c>
      <c r="K557">
        <f>COUNTIF($A$1:A557,A557)</f>
        <v>1</v>
      </c>
      <c r="L557" t="str">
        <f>VLOOKUP(A557,'Cadastro de Produtos'!A:B,2,0)</f>
        <v>Placa mãe ASUS P5G41T-M LX2 DDR3 S/V/R Socket 775</v>
      </c>
      <c r="M557">
        <f t="shared" si="32"/>
        <v>6</v>
      </c>
      <c r="N557">
        <f t="shared" si="33"/>
        <v>0</v>
      </c>
      <c r="O557">
        <f t="shared" si="34"/>
        <v>0</v>
      </c>
      <c r="P557">
        <f t="shared" si="35"/>
        <v>6</v>
      </c>
    </row>
    <row r="558" spans="1:16" x14ac:dyDescent="0.3">
      <c r="A558" t="s">
        <v>328</v>
      </c>
      <c r="B558" t="s">
        <v>12</v>
      </c>
      <c r="C558" s="92">
        <v>42029</v>
      </c>
      <c r="D558" s="46">
        <v>17</v>
      </c>
      <c r="E558" s="47">
        <v>8.3000000000000007</v>
      </c>
      <c r="F558" t="s">
        <v>33</v>
      </c>
      <c r="J558" t="s">
        <v>720</v>
      </c>
      <c r="K558">
        <f>COUNTIF($A$1:A558,A558)</f>
        <v>1</v>
      </c>
      <c r="L558" t="str">
        <f>VLOOKUP(A558,'Cadastro de Produtos'!A:B,2,0)</f>
        <v>Placa mãe ASUS P5KPL-AM SE S/V/R Socket 775</v>
      </c>
      <c r="M558">
        <f t="shared" si="32"/>
        <v>17</v>
      </c>
      <c r="N558">
        <f t="shared" si="33"/>
        <v>0</v>
      </c>
      <c r="O558">
        <f t="shared" si="34"/>
        <v>0</v>
      </c>
      <c r="P558">
        <f t="shared" si="35"/>
        <v>17</v>
      </c>
    </row>
    <row r="559" spans="1:16" x14ac:dyDescent="0.3">
      <c r="A559" t="s">
        <v>329</v>
      </c>
      <c r="B559" t="s">
        <v>12</v>
      </c>
      <c r="C559" s="92">
        <v>42029</v>
      </c>
      <c r="D559" s="46">
        <v>1.5</v>
      </c>
      <c r="E559" s="47">
        <v>13.97</v>
      </c>
      <c r="F559" t="s">
        <v>33</v>
      </c>
      <c r="J559" t="s">
        <v>720</v>
      </c>
      <c r="K559">
        <f>COUNTIF($A$1:A559,A559)</f>
        <v>1</v>
      </c>
      <c r="L559" t="str">
        <f>VLOOKUP(A559,'Cadastro de Produtos'!A:B,2,0)</f>
        <v>Placa mãe ASUS P6T SE Core i7 S/R Socket 1366</v>
      </c>
      <c r="M559">
        <f t="shared" si="32"/>
        <v>1.5</v>
      </c>
      <c r="N559">
        <f t="shared" si="33"/>
        <v>0</v>
      </c>
      <c r="O559">
        <f t="shared" si="34"/>
        <v>0</v>
      </c>
      <c r="P559">
        <f t="shared" si="35"/>
        <v>1.5</v>
      </c>
    </row>
    <row r="560" spans="1:16" x14ac:dyDescent="0.3">
      <c r="A560" t="s">
        <v>330</v>
      </c>
      <c r="B560" t="s">
        <v>12</v>
      </c>
      <c r="C560" s="92">
        <v>42029</v>
      </c>
      <c r="D560" s="46">
        <v>33.5</v>
      </c>
      <c r="E560" s="47">
        <v>11.63</v>
      </c>
      <c r="F560" t="s">
        <v>33</v>
      </c>
      <c r="J560" t="s">
        <v>720</v>
      </c>
      <c r="K560">
        <f>COUNTIF($A$1:A560,A560)</f>
        <v>1</v>
      </c>
      <c r="L560" t="str">
        <f>VLOOKUP(A560,'Cadastro de Produtos'!A:B,2,0)</f>
        <v>Placa mãe ASUS P6TD Deluxe S/R Socket 1366</v>
      </c>
      <c r="M560">
        <f t="shared" si="32"/>
        <v>33.5</v>
      </c>
      <c r="N560">
        <f t="shared" si="33"/>
        <v>0</v>
      </c>
      <c r="O560">
        <f t="shared" si="34"/>
        <v>0</v>
      </c>
      <c r="P560">
        <f t="shared" si="35"/>
        <v>33.5</v>
      </c>
    </row>
    <row r="561" spans="1:16" x14ac:dyDescent="0.3">
      <c r="A561" t="s">
        <v>331</v>
      </c>
      <c r="B561" t="s">
        <v>12</v>
      </c>
      <c r="C561" s="92">
        <v>42029</v>
      </c>
      <c r="D561" s="46">
        <v>30.5</v>
      </c>
      <c r="E561" s="47">
        <v>26.63</v>
      </c>
      <c r="F561" t="s">
        <v>33</v>
      </c>
      <c r="J561" t="s">
        <v>720</v>
      </c>
      <c r="K561">
        <f>COUNTIF($A$1:A561,A561)</f>
        <v>1</v>
      </c>
      <c r="L561" t="str">
        <f>VLOOKUP(A561,'Cadastro de Produtos'!A:B,2,0)</f>
        <v>Placa mãe ASUS P6X58D-E Core i7 S/R Socket 1366</v>
      </c>
      <c r="M561">
        <f t="shared" si="32"/>
        <v>30.5</v>
      </c>
      <c r="N561">
        <f t="shared" si="33"/>
        <v>0</v>
      </c>
      <c r="O561">
        <f t="shared" si="34"/>
        <v>0</v>
      </c>
      <c r="P561">
        <f t="shared" si="35"/>
        <v>30.5</v>
      </c>
    </row>
    <row r="562" spans="1:16" x14ac:dyDescent="0.3">
      <c r="A562" t="s">
        <v>332</v>
      </c>
      <c r="B562" t="s">
        <v>12</v>
      </c>
      <c r="C562" s="92">
        <v>42029</v>
      </c>
      <c r="D562" s="46">
        <v>10</v>
      </c>
      <c r="E562" s="47">
        <v>24.99</v>
      </c>
      <c r="F562" t="s">
        <v>33</v>
      </c>
      <c r="J562" t="s">
        <v>720</v>
      </c>
      <c r="K562">
        <f>COUNTIF($A$1:A562,A562)</f>
        <v>1</v>
      </c>
      <c r="L562" t="str">
        <f>VLOOKUP(A562,'Cadastro de Produtos'!A:B,2,0)</f>
        <v>Placa mãe ASUS P7H55-M Core i7/i5/i3 DDR3 S/R Socket 1156</v>
      </c>
      <c r="M562">
        <f t="shared" si="32"/>
        <v>10</v>
      </c>
      <c r="N562">
        <f t="shared" si="33"/>
        <v>0</v>
      </c>
      <c r="O562">
        <f t="shared" si="34"/>
        <v>0</v>
      </c>
      <c r="P562">
        <f t="shared" si="35"/>
        <v>10</v>
      </c>
    </row>
    <row r="563" spans="1:16" x14ac:dyDescent="0.3">
      <c r="A563" t="s">
        <v>333</v>
      </c>
      <c r="B563" t="s">
        <v>12</v>
      </c>
      <c r="C563" s="92">
        <v>42029</v>
      </c>
      <c r="D563" s="46">
        <v>3.5</v>
      </c>
      <c r="E563" s="47">
        <v>25.43</v>
      </c>
      <c r="F563" t="s">
        <v>33</v>
      </c>
      <c r="J563" t="s">
        <v>720</v>
      </c>
      <c r="K563">
        <f>COUNTIF($A$1:A563,A563)</f>
        <v>1</v>
      </c>
      <c r="L563" t="str">
        <f>VLOOKUP(A563,'Cadastro de Produtos'!A:B,2,0)</f>
        <v>Placa mãe ASUS P7H57D-V EVO S/HDMI/R Socket 1156</v>
      </c>
      <c r="M563">
        <f t="shared" si="32"/>
        <v>3.5</v>
      </c>
      <c r="N563">
        <f t="shared" si="33"/>
        <v>0</v>
      </c>
      <c r="O563">
        <f t="shared" si="34"/>
        <v>0</v>
      </c>
      <c r="P563">
        <f t="shared" si="35"/>
        <v>3.5</v>
      </c>
    </row>
    <row r="564" spans="1:16" x14ac:dyDescent="0.3">
      <c r="A564" t="s">
        <v>278</v>
      </c>
      <c r="B564" t="s">
        <v>12</v>
      </c>
      <c r="C564" s="92">
        <v>42029</v>
      </c>
      <c r="D564" s="46">
        <v>1</v>
      </c>
      <c r="E564" s="47">
        <v>1.99</v>
      </c>
      <c r="F564" t="s">
        <v>33</v>
      </c>
      <c r="J564" t="s">
        <v>720</v>
      </c>
      <c r="K564">
        <f>COUNTIF($A$1:A564,A564)</f>
        <v>1</v>
      </c>
      <c r="L564" t="str">
        <f>VLOOKUP(A564,'Cadastro de Produtos'!A:B,2,0)</f>
        <v>Notebook ACER 5732Z-4737 Intel Dual Core 2.1GHz, 3GB, 320GB, DVD, CAM, Tela 15.6</v>
      </c>
      <c r="M564">
        <f t="shared" si="32"/>
        <v>1</v>
      </c>
      <c r="N564">
        <f t="shared" si="33"/>
        <v>0</v>
      </c>
      <c r="O564">
        <f t="shared" si="34"/>
        <v>0</v>
      </c>
      <c r="P564">
        <f t="shared" si="35"/>
        <v>1</v>
      </c>
    </row>
    <row r="565" spans="1:16" x14ac:dyDescent="0.3">
      <c r="A565" t="s">
        <v>334</v>
      </c>
      <c r="B565" t="s">
        <v>12</v>
      </c>
      <c r="C565" s="92">
        <v>42029</v>
      </c>
      <c r="D565" s="46">
        <v>6</v>
      </c>
      <c r="E565" s="47">
        <v>1.84</v>
      </c>
      <c r="F565" t="s">
        <v>33</v>
      </c>
      <c r="J565" t="s">
        <v>720</v>
      </c>
      <c r="K565">
        <f>COUNTIF($A$1:A565,A565)</f>
        <v>1</v>
      </c>
      <c r="L565" t="str">
        <f>VLOOKUP(A565,'Cadastro de Produtos'!A:B,2,0)</f>
        <v>Placa mãe ASUS P7P55-M S/R Socket 1156</v>
      </c>
      <c r="M565">
        <f t="shared" si="32"/>
        <v>6</v>
      </c>
      <c r="N565">
        <f t="shared" si="33"/>
        <v>0</v>
      </c>
      <c r="O565">
        <f t="shared" si="34"/>
        <v>0</v>
      </c>
      <c r="P565">
        <f t="shared" si="35"/>
        <v>6</v>
      </c>
    </row>
    <row r="566" spans="1:16" x14ac:dyDescent="0.3">
      <c r="A566" t="s">
        <v>335</v>
      </c>
      <c r="B566" t="s">
        <v>12</v>
      </c>
      <c r="C566" s="92">
        <v>42029</v>
      </c>
      <c r="D566" s="46">
        <v>5</v>
      </c>
      <c r="E566" s="47">
        <v>7.39</v>
      </c>
      <c r="F566" t="s">
        <v>33</v>
      </c>
      <c r="J566" t="s">
        <v>720</v>
      </c>
      <c r="K566">
        <f>COUNTIF($A$1:A566,A566)</f>
        <v>1</v>
      </c>
      <c r="L566" t="str">
        <f>VLOOKUP(A566,'Cadastro de Produtos'!A:B,2,0)</f>
        <v>Placa mãe ASUS P7P55D LE S/R Socket 1156</v>
      </c>
      <c r="M566">
        <f t="shared" si="32"/>
        <v>5</v>
      </c>
      <c r="N566">
        <f t="shared" si="33"/>
        <v>0</v>
      </c>
      <c r="O566">
        <f t="shared" si="34"/>
        <v>0</v>
      </c>
      <c r="P566">
        <f t="shared" si="35"/>
        <v>5</v>
      </c>
    </row>
    <row r="567" spans="1:16" x14ac:dyDescent="0.3">
      <c r="A567" t="s">
        <v>336</v>
      </c>
      <c r="B567" t="s">
        <v>12</v>
      </c>
      <c r="C567" s="92">
        <v>42029</v>
      </c>
      <c r="D567" s="46">
        <v>3</v>
      </c>
      <c r="E567" s="47">
        <v>8.89</v>
      </c>
      <c r="F567" t="s">
        <v>33</v>
      </c>
      <c r="J567" t="s">
        <v>720</v>
      </c>
      <c r="K567">
        <f>COUNTIF($A$1:A567,A567)</f>
        <v>1</v>
      </c>
      <c r="L567" t="str">
        <f>VLOOKUP(A567,'Cadastro de Produtos'!A:B,2,0)</f>
        <v>Placa mãe ECS H55H-M Core i7/i5/i3 S/V/R Socket 1156</v>
      </c>
      <c r="M567">
        <f t="shared" si="32"/>
        <v>3</v>
      </c>
      <c r="N567">
        <f t="shared" si="33"/>
        <v>0</v>
      </c>
      <c r="O567">
        <f t="shared" si="34"/>
        <v>0</v>
      </c>
      <c r="P567">
        <f t="shared" si="35"/>
        <v>3</v>
      </c>
    </row>
    <row r="568" spans="1:16" x14ac:dyDescent="0.3">
      <c r="A568" t="s">
        <v>337</v>
      </c>
      <c r="B568" t="s">
        <v>12</v>
      </c>
      <c r="C568" s="92">
        <v>42029</v>
      </c>
      <c r="D568" s="46">
        <v>4</v>
      </c>
      <c r="E568" s="47">
        <v>4.6900000000000004</v>
      </c>
      <c r="F568" t="s">
        <v>33</v>
      </c>
      <c r="J568" t="s">
        <v>720</v>
      </c>
      <c r="K568">
        <f>COUNTIF($A$1:A568,A568)</f>
        <v>1</v>
      </c>
      <c r="L568" t="str">
        <f>VLOOKUP(A568,'Cadastro de Produtos'!A:B,2,0)</f>
        <v>Placa mãe Intel VS-AD330 + Processador Atom 330 Dual Core</v>
      </c>
      <c r="M568">
        <f t="shared" si="32"/>
        <v>4</v>
      </c>
      <c r="N568">
        <f t="shared" si="33"/>
        <v>0</v>
      </c>
      <c r="O568">
        <f t="shared" si="34"/>
        <v>0</v>
      </c>
      <c r="P568">
        <f t="shared" si="35"/>
        <v>4</v>
      </c>
    </row>
    <row r="569" spans="1:16" x14ac:dyDescent="0.3">
      <c r="A569" t="s">
        <v>338</v>
      </c>
      <c r="B569" t="s">
        <v>12</v>
      </c>
      <c r="C569" s="92">
        <v>42029</v>
      </c>
      <c r="D569" s="46">
        <v>2</v>
      </c>
      <c r="E569" s="47">
        <v>13.29</v>
      </c>
      <c r="F569" t="s">
        <v>33</v>
      </c>
      <c r="J569" t="s">
        <v>720</v>
      </c>
      <c r="K569">
        <f>COUNTIF($A$1:A569,A569)</f>
        <v>1</v>
      </c>
      <c r="L569" t="str">
        <f>VLOOKUP(A569,'Cadastro de Produtos'!A:B,2,0)</f>
        <v>Placa mãe Intel® Desktop Board DG31PR Core™2 Duo S/V/R Socket 775</v>
      </c>
      <c r="M569">
        <f t="shared" si="32"/>
        <v>2</v>
      </c>
      <c r="N569">
        <f t="shared" si="33"/>
        <v>0</v>
      </c>
      <c r="O569">
        <f t="shared" si="34"/>
        <v>0</v>
      </c>
      <c r="P569">
        <f t="shared" si="35"/>
        <v>2</v>
      </c>
    </row>
    <row r="570" spans="1:16" x14ac:dyDescent="0.3">
      <c r="A570" t="s">
        <v>339</v>
      </c>
      <c r="B570" t="s">
        <v>12</v>
      </c>
      <c r="C570" s="92">
        <v>42029</v>
      </c>
      <c r="D570" s="46">
        <v>1</v>
      </c>
      <c r="E570" s="47">
        <v>12.69</v>
      </c>
      <c r="F570" t="s">
        <v>33</v>
      </c>
      <c r="J570" t="s">
        <v>720</v>
      </c>
      <c r="K570">
        <f>COUNTIF($A$1:A570,A570)</f>
        <v>1</v>
      </c>
      <c r="L570" t="str">
        <f>VLOOKUP(A570,'Cadastro de Produtos'!A:B,2,0)</f>
        <v>Placa mãe Intel® Desktop Board DG41RQ S/V/R Socket</v>
      </c>
      <c r="M570">
        <f t="shared" si="32"/>
        <v>1</v>
      </c>
      <c r="N570">
        <f t="shared" si="33"/>
        <v>0</v>
      </c>
      <c r="O570">
        <f t="shared" si="34"/>
        <v>0</v>
      </c>
      <c r="P570">
        <f t="shared" si="35"/>
        <v>1</v>
      </c>
    </row>
    <row r="571" spans="1:16" x14ac:dyDescent="0.3">
      <c r="A571" t="s">
        <v>340</v>
      </c>
      <c r="B571" t="s">
        <v>12</v>
      </c>
      <c r="C571" s="92">
        <v>42029</v>
      </c>
      <c r="D571" s="46">
        <v>1</v>
      </c>
      <c r="E571" s="47">
        <v>19.59</v>
      </c>
      <c r="F571" t="s">
        <v>33</v>
      </c>
      <c r="J571" t="s">
        <v>720</v>
      </c>
      <c r="K571">
        <f>COUNTIF($A$1:A571,A571)</f>
        <v>1</v>
      </c>
      <c r="L571" t="str">
        <f>VLOOKUP(A571,'Cadastro de Produtos'!A:B,2,0)</f>
        <v>Placa mãe Intel® Desktop Board DG41TY S/V/R Socket 775</v>
      </c>
      <c r="M571">
        <f t="shared" si="32"/>
        <v>1</v>
      </c>
      <c r="N571">
        <f t="shared" si="33"/>
        <v>0</v>
      </c>
      <c r="O571">
        <f t="shared" si="34"/>
        <v>0</v>
      </c>
      <c r="P571">
        <f t="shared" si="35"/>
        <v>1</v>
      </c>
    </row>
    <row r="572" spans="1:16" x14ac:dyDescent="0.3">
      <c r="A572" t="s">
        <v>341</v>
      </c>
      <c r="B572" t="s">
        <v>12</v>
      </c>
      <c r="C572" s="92">
        <v>42029</v>
      </c>
      <c r="D572" s="46">
        <v>11</v>
      </c>
      <c r="E572" s="47">
        <v>2.69</v>
      </c>
      <c r="F572" t="s">
        <v>33</v>
      </c>
      <c r="J572" t="s">
        <v>720</v>
      </c>
      <c r="K572">
        <f>COUNTIF($A$1:A572,A572)</f>
        <v>1</v>
      </c>
      <c r="L572" t="str">
        <f>VLOOKUP(A572,'Cadastro de Produtos'!A:B,2,0)</f>
        <v>Placa mãe Intel® Desktop Board DG43GT S/HDMI/R Socket 775</v>
      </c>
      <c r="M572">
        <f t="shared" si="32"/>
        <v>11</v>
      </c>
      <c r="N572">
        <f t="shared" si="33"/>
        <v>0</v>
      </c>
      <c r="O572">
        <f t="shared" si="34"/>
        <v>0</v>
      </c>
      <c r="P572">
        <f t="shared" si="35"/>
        <v>11</v>
      </c>
    </row>
    <row r="573" spans="1:16" x14ac:dyDescent="0.3">
      <c r="A573" t="s">
        <v>342</v>
      </c>
      <c r="B573" t="s">
        <v>12</v>
      </c>
      <c r="C573" s="92">
        <v>42029</v>
      </c>
      <c r="D573" s="46">
        <v>5</v>
      </c>
      <c r="E573" s="47">
        <v>8.19</v>
      </c>
      <c r="F573" t="s">
        <v>33</v>
      </c>
      <c r="J573" t="s">
        <v>720</v>
      </c>
      <c r="K573">
        <f>COUNTIF($A$1:A573,A573)</f>
        <v>1</v>
      </c>
      <c r="L573" t="str">
        <f>VLOOKUP(A573,'Cadastro de Produtos'!A:B,2,0)</f>
        <v>Placa mãe Intel® Desktop Board DG45ID S/V/R (RAID) Socket 775</v>
      </c>
      <c r="M573">
        <f t="shared" si="32"/>
        <v>5</v>
      </c>
      <c r="N573">
        <f t="shared" si="33"/>
        <v>0</v>
      </c>
      <c r="O573">
        <f t="shared" si="34"/>
        <v>0</v>
      </c>
      <c r="P573">
        <f t="shared" si="35"/>
        <v>5</v>
      </c>
    </row>
    <row r="574" spans="1:16" x14ac:dyDescent="0.3">
      <c r="A574" t="s">
        <v>343</v>
      </c>
      <c r="B574" t="s">
        <v>12</v>
      </c>
      <c r="C574" s="92">
        <v>42029</v>
      </c>
      <c r="D574" s="46">
        <v>2</v>
      </c>
      <c r="E574" s="47">
        <v>10.25</v>
      </c>
      <c r="F574" t="s">
        <v>33</v>
      </c>
      <c r="J574" t="s">
        <v>720</v>
      </c>
      <c r="K574">
        <f>COUNTIF($A$1:A574,A574)</f>
        <v>1</v>
      </c>
      <c r="L574" t="str">
        <f>VLOOKUP(A574,'Cadastro de Produtos'!A:B,2,0)</f>
        <v>Placa mãe Intel® Desktop Board DH55HC (Core i3 i5 e i7) HDMI V/S/R Skt 1156</v>
      </c>
      <c r="M574">
        <f t="shared" si="32"/>
        <v>2</v>
      </c>
      <c r="N574">
        <f t="shared" si="33"/>
        <v>0</v>
      </c>
      <c r="O574">
        <f t="shared" si="34"/>
        <v>0</v>
      </c>
      <c r="P574">
        <f t="shared" si="35"/>
        <v>2</v>
      </c>
    </row>
    <row r="575" spans="1:16" x14ac:dyDescent="0.3">
      <c r="A575" t="s">
        <v>344</v>
      </c>
      <c r="B575" t="s">
        <v>12</v>
      </c>
      <c r="C575" s="92">
        <v>42029</v>
      </c>
      <c r="D575" s="46">
        <v>2</v>
      </c>
      <c r="E575" s="47">
        <v>5.19</v>
      </c>
      <c r="F575" t="s">
        <v>33</v>
      </c>
      <c r="J575" t="s">
        <v>720</v>
      </c>
      <c r="K575">
        <f>COUNTIF($A$1:A575,A575)</f>
        <v>1</v>
      </c>
      <c r="L575" t="str">
        <f>VLOOKUP(A575,'Cadastro de Produtos'!A:B,2,0)</f>
        <v>Placa mãe Intel® Desktop Board DH55TC S/V(HDMI)/R Socket 1156</v>
      </c>
      <c r="M575">
        <f t="shared" si="32"/>
        <v>2</v>
      </c>
      <c r="N575">
        <f t="shared" si="33"/>
        <v>0</v>
      </c>
      <c r="O575">
        <f t="shared" si="34"/>
        <v>0</v>
      </c>
      <c r="P575">
        <f t="shared" si="35"/>
        <v>2</v>
      </c>
    </row>
    <row r="576" spans="1:16" x14ac:dyDescent="0.3">
      <c r="A576" t="s">
        <v>345</v>
      </c>
      <c r="B576" t="s">
        <v>12</v>
      </c>
      <c r="C576" s="92">
        <v>42029</v>
      </c>
      <c r="D576" s="46">
        <v>10</v>
      </c>
      <c r="E576" s="47">
        <v>12.79</v>
      </c>
      <c r="F576" t="s">
        <v>33</v>
      </c>
      <c r="J576" t="s">
        <v>720</v>
      </c>
      <c r="K576">
        <f>COUNTIF($A$1:A576,A576)</f>
        <v>1</v>
      </c>
      <c r="L576" t="str">
        <f>VLOOKUP(A576,'Cadastro de Produtos'!A:B,2,0)</f>
        <v>Placa mãe Intel® Desktop Board DP43TF DDR2 S/R Socket 775</v>
      </c>
      <c r="M576">
        <f t="shared" si="32"/>
        <v>10</v>
      </c>
      <c r="N576">
        <f t="shared" si="33"/>
        <v>0</v>
      </c>
      <c r="O576">
        <f t="shared" si="34"/>
        <v>0</v>
      </c>
      <c r="P576">
        <f t="shared" si="35"/>
        <v>10</v>
      </c>
    </row>
    <row r="577" spans="1:16" x14ac:dyDescent="0.3">
      <c r="A577" t="s">
        <v>346</v>
      </c>
      <c r="B577" t="s">
        <v>12</v>
      </c>
      <c r="C577" s="92">
        <v>42029</v>
      </c>
      <c r="D577" s="46">
        <v>5.5</v>
      </c>
      <c r="E577" s="47">
        <v>11.97</v>
      </c>
      <c r="F577" t="s">
        <v>33</v>
      </c>
      <c r="J577" t="s">
        <v>720</v>
      </c>
      <c r="K577">
        <f>COUNTIF($A$1:A577,A577)</f>
        <v>1</v>
      </c>
      <c r="L577" t="str">
        <f>VLOOKUP(A577,'Cadastro de Produtos'!A:B,2,0)</f>
        <v>Placa mãe Intel® Desktop Board DP55KG S/R Gigabit Socket 1156</v>
      </c>
      <c r="M577">
        <f t="shared" si="32"/>
        <v>5.5</v>
      </c>
      <c r="N577">
        <f t="shared" si="33"/>
        <v>0</v>
      </c>
      <c r="O577">
        <f t="shared" si="34"/>
        <v>0</v>
      </c>
      <c r="P577">
        <f t="shared" si="35"/>
        <v>5.5</v>
      </c>
    </row>
    <row r="578" spans="1:16" x14ac:dyDescent="0.3">
      <c r="A578" t="s">
        <v>347</v>
      </c>
      <c r="B578" t="s">
        <v>12</v>
      </c>
      <c r="C578" s="92">
        <v>42029</v>
      </c>
      <c r="D578" s="46">
        <v>6</v>
      </c>
      <c r="E578" s="47">
        <v>28.63</v>
      </c>
      <c r="F578" t="s">
        <v>33</v>
      </c>
      <c r="J578" t="s">
        <v>720</v>
      </c>
      <c r="K578">
        <f>COUNTIF($A$1:A578,A578)</f>
        <v>1</v>
      </c>
      <c r="L578" t="str">
        <f>VLOOKUP(A578,'Cadastro de Produtos'!A:B,2,0)</f>
        <v>Placa mãe Intel® Desktop Board DP55SB S(7.1)/R(Gigabit) Socket 1156</v>
      </c>
      <c r="M578">
        <f t="shared" ref="M578:M641" si="36">SUMIF(B578,"E",D578:D578)</f>
        <v>6</v>
      </c>
      <c r="N578">
        <f t="shared" ref="N578:N641" si="37">SUMIF(B578,"S",D578:D578)</f>
        <v>0</v>
      </c>
      <c r="O578">
        <f t="shared" ref="O578:O641" si="38">N578*-1</f>
        <v>0</v>
      </c>
      <c r="P578">
        <f t="shared" ref="P578:P641" si="39">SUM(M578+O578)</f>
        <v>6</v>
      </c>
    </row>
    <row r="579" spans="1:16" x14ac:dyDescent="0.3">
      <c r="A579" t="s">
        <v>349</v>
      </c>
      <c r="B579" t="s">
        <v>12</v>
      </c>
      <c r="C579" s="92">
        <v>42029</v>
      </c>
      <c r="D579" s="46">
        <v>4</v>
      </c>
      <c r="E579" s="47">
        <v>2.79</v>
      </c>
      <c r="F579" t="s">
        <v>33</v>
      </c>
      <c r="J579" t="s">
        <v>720</v>
      </c>
      <c r="K579">
        <f>COUNTIF($A$1:A579,A579)</f>
        <v>1</v>
      </c>
      <c r="L579" t="str">
        <f>VLOOKUP(A579,'Cadastro de Produtos'!A:B,2,0)</f>
        <v>Placa mãe Intel® Desktop Board DQ45CB S/V/R Socket 775</v>
      </c>
      <c r="M579">
        <f t="shared" si="36"/>
        <v>4</v>
      </c>
      <c r="N579">
        <f t="shared" si="37"/>
        <v>0</v>
      </c>
      <c r="O579">
        <f t="shared" si="38"/>
        <v>0</v>
      </c>
      <c r="P579">
        <f t="shared" si="39"/>
        <v>4</v>
      </c>
    </row>
    <row r="580" spans="1:16" x14ac:dyDescent="0.3">
      <c r="A580" t="s">
        <v>353</v>
      </c>
      <c r="B580" t="s">
        <v>12</v>
      </c>
      <c r="C580" s="92">
        <v>42029</v>
      </c>
      <c r="D580" s="46">
        <v>0</v>
      </c>
      <c r="E580" s="47">
        <v>2.79</v>
      </c>
      <c r="F580" t="s">
        <v>33</v>
      </c>
      <c r="J580" t="s">
        <v>720</v>
      </c>
      <c r="K580">
        <f>COUNTIF($A$1:A580,A580)</f>
        <v>1</v>
      </c>
      <c r="L580" t="str">
        <f>VLOOKUP(A580,'Cadastro de Produtos'!A:B,2,0)</f>
        <v>Placa mãe MSI G31M3-L V2 S/V/R Socket 775</v>
      </c>
      <c r="M580">
        <f t="shared" si="36"/>
        <v>0</v>
      </c>
      <c r="N580">
        <f t="shared" si="37"/>
        <v>0</v>
      </c>
      <c r="O580">
        <f t="shared" si="38"/>
        <v>0</v>
      </c>
      <c r="P580">
        <f t="shared" si="39"/>
        <v>0</v>
      </c>
    </row>
    <row r="581" spans="1:16" x14ac:dyDescent="0.3">
      <c r="A581" t="s">
        <v>354</v>
      </c>
      <c r="B581" t="s">
        <v>12</v>
      </c>
      <c r="C581" s="92">
        <v>42029</v>
      </c>
      <c r="D581" s="46">
        <v>2</v>
      </c>
      <c r="E581" s="47">
        <v>5.59</v>
      </c>
      <c r="F581" t="s">
        <v>33</v>
      </c>
      <c r="J581" t="s">
        <v>720</v>
      </c>
      <c r="K581">
        <f>COUNTIF($A$1:A581,A581)</f>
        <v>1</v>
      </c>
      <c r="L581" t="str">
        <f>VLOOKUP(A581,'Cadastro de Produtos'!A:B,2,0)</f>
        <v>Placa mãe MSI X58 Pro-E (Core i3/i5/i7) DDR3 S/R Socket 1366</v>
      </c>
      <c r="M581">
        <f t="shared" si="36"/>
        <v>2</v>
      </c>
      <c r="N581">
        <f t="shared" si="37"/>
        <v>0</v>
      </c>
      <c r="O581">
        <f t="shared" si="38"/>
        <v>0</v>
      </c>
      <c r="P581">
        <f t="shared" si="39"/>
        <v>2</v>
      </c>
    </row>
    <row r="582" spans="1:16" x14ac:dyDescent="0.3">
      <c r="A582" t="s">
        <v>355</v>
      </c>
      <c r="B582" t="s">
        <v>12</v>
      </c>
      <c r="C582" s="92">
        <v>42029</v>
      </c>
      <c r="D582" s="46">
        <v>0</v>
      </c>
      <c r="E582" s="47">
        <v>8.09</v>
      </c>
      <c r="F582" t="s">
        <v>33</v>
      </c>
      <c r="J582" t="s">
        <v>720</v>
      </c>
      <c r="K582">
        <f>COUNTIF($A$1:A582,A582)</f>
        <v>1</v>
      </c>
      <c r="L582" t="str">
        <f>VLOOKUP(A582,'Cadastro de Produtos'!A:B,2,0)</f>
        <v>Placa notebook Intel 4965 4965AGN wireless WiFi PCI-E card 802.11N AGN</v>
      </c>
      <c r="M582">
        <f t="shared" si="36"/>
        <v>0</v>
      </c>
      <c r="N582">
        <f t="shared" si="37"/>
        <v>0</v>
      </c>
      <c r="O582">
        <f t="shared" si="38"/>
        <v>0</v>
      </c>
      <c r="P582">
        <f t="shared" si="39"/>
        <v>0</v>
      </c>
    </row>
    <row r="583" spans="1:16" x14ac:dyDescent="0.3">
      <c r="A583" t="s">
        <v>350</v>
      </c>
      <c r="B583" t="s">
        <v>12</v>
      </c>
      <c r="C583" s="92">
        <v>42029</v>
      </c>
      <c r="D583" s="46">
        <v>1</v>
      </c>
      <c r="E583" s="47">
        <v>6.99</v>
      </c>
      <c r="F583" t="s">
        <v>33</v>
      </c>
      <c r="J583" t="s">
        <v>720</v>
      </c>
      <c r="K583">
        <f>COUNTIF($A$1:A583,A583)</f>
        <v>1</v>
      </c>
      <c r="L583" t="str">
        <f>VLOOKUP(A583,'Cadastro de Produtos'!A:B,2,0)</f>
        <v>Placa mãe Intel® Desktop Board DX58SO (Core i7) S/R Socket 1366</v>
      </c>
      <c r="M583">
        <f t="shared" si="36"/>
        <v>1</v>
      </c>
      <c r="N583">
        <f t="shared" si="37"/>
        <v>0</v>
      </c>
      <c r="O583">
        <f t="shared" si="38"/>
        <v>0</v>
      </c>
      <c r="P583">
        <f t="shared" si="39"/>
        <v>1</v>
      </c>
    </row>
    <row r="584" spans="1:16" x14ac:dyDescent="0.3">
      <c r="A584" t="s">
        <v>351</v>
      </c>
      <c r="B584" t="s">
        <v>12</v>
      </c>
      <c r="C584" s="92">
        <v>42029</v>
      </c>
      <c r="D584" s="46">
        <v>0</v>
      </c>
      <c r="E584" s="47">
        <v>30.09</v>
      </c>
      <c r="F584" t="s">
        <v>33</v>
      </c>
      <c r="J584" t="s">
        <v>720</v>
      </c>
      <c r="K584">
        <f>COUNTIF($A$1:A584,A584)</f>
        <v>1</v>
      </c>
      <c r="L584" t="str">
        <f>VLOOKUP(A584,'Cadastro de Produtos'!A:B,2,0)</f>
        <v>Placa mãe Intel® Server Board S3420GP DDR3/2xGbE Socket 1156</v>
      </c>
      <c r="M584">
        <f t="shared" si="36"/>
        <v>0</v>
      </c>
      <c r="N584">
        <f t="shared" si="37"/>
        <v>0</v>
      </c>
      <c r="O584">
        <f t="shared" si="38"/>
        <v>0</v>
      </c>
      <c r="P584">
        <f t="shared" si="39"/>
        <v>0</v>
      </c>
    </row>
    <row r="585" spans="1:16" x14ac:dyDescent="0.3">
      <c r="A585" t="s">
        <v>352</v>
      </c>
      <c r="B585" t="s">
        <v>12</v>
      </c>
      <c r="C585" s="92">
        <v>42029</v>
      </c>
      <c r="D585" s="46">
        <v>1</v>
      </c>
      <c r="E585" s="47">
        <v>136</v>
      </c>
      <c r="F585" t="s">
        <v>33</v>
      </c>
      <c r="J585" t="s">
        <v>720</v>
      </c>
      <c r="K585">
        <f>COUNTIF($A$1:A585,A585)</f>
        <v>1</v>
      </c>
      <c r="L585" t="str">
        <f>VLOOKUP(A585,'Cadastro de Produtos'!A:B,2,0)</f>
        <v>Placa mãe Intel® Server Board S5000VSASATAR DDR2 V/GLan Socket 771</v>
      </c>
      <c r="M585">
        <f t="shared" si="36"/>
        <v>1</v>
      </c>
      <c r="N585">
        <f t="shared" si="37"/>
        <v>0</v>
      </c>
      <c r="O585">
        <f t="shared" si="38"/>
        <v>0</v>
      </c>
      <c r="P585">
        <f t="shared" si="39"/>
        <v>1</v>
      </c>
    </row>
    <row r="586" spans="1:16" x14ac:dyDescent="0.3">
      <c r="A586" t="s">
        <v>356</v>
      </c>
      <c r="B586" t="s">
        <v>12</v>
      </c>
      <c r="C586" s="92">
        <v>42029</v>
      </c>
      <c r="D586" s="46">
        <v>1</v>
      </c>
      <c r="E586" s="47">
        <v>7.6</v>
      </c>
      <c r="F586" t="s">
        <v>33</v>
      </c>
      <c r="J586" t="s">
        <v>720</v>
      </c>
      <c r="K586">
        <f>COUNTIF($A$1:A586,A586)</f>
        <v>1</v>
      </c>
      <c r="L586" t="str">
        <f>VLOOKUP(A586,'Cadastro de Produtos'!A:B,2,0)</f>
        <v>Placa PCI 2 serial 1 paralera</v>
      </c>
      <c r="M586">
        <f t="shared" si="36"/>
        <v>1</v>
      </c>
      <c r="N586">
        <f t="shared" si="37"/>
        <v>0</v>
      </c>
      <c r="O586">
        <f t="shared" si="38"/>
        <v>0</v>
      </c>
      <c r="P586">
        <f t="shared" si="39"/>
        <v>1</v>
      </c>
    </row>
    <row r="587" spans="1:16" x14ac:dyDescent="0.3">
      <c r="A587" t="s">
        <v>357</v>
      </c>
      <c r="B587" t="s">
        <v>12</v>
      </c>
      <c r="C587" s="92">
        <v>42029</v>
      </c>
      <c r="D587" s="46">
        <v>1</v>
      </c>
      <c r="E587" s="47">
        <v>27.9</v>
      </c>
      <c r="F587" t="s">
        <v>33</v>
      </c>
      <c r="J587" t="s">
        <v>720</v>
      </c>
      <c r="K587">
        <f>COUNTIF($A$1:A587,A587)</f>
        <v>1</v>
      </c>
      <c r="L587" t="str">
        <f>VLOOKUP(A587,'Cadastro de Produtos'!A:B,2,0)</f>
        <v>Placa PCI USB 2.0 4 portas</v>
      </c>
      <c r="M587">
        <f t="shared" si="36"/>
        <v>1</v>
      </c>
      <c r="N587">
        <f t="shared" si="37"/>
        <v>0</v>
      </c>
      <c r="O587">
        <f t="shared" si="38"/>
        <v>0</v>
      </c>
      <c r="P587">
        <f t="shared" si="39"/>
        <v>1</v>
      </c>
    </row>
    <row r="588" spans="1:16" x14ac:dyDescent="0.3">
      <c r="A588" t="s">
        <v>358</v>
      </c>
      <c r="B588" t="s">
        <v>12</v>
      </c>
      <c r="C588" s="92">
        <v>42029</v>
      </c>
      <c r="D588" s="46">
        <v>1</v>
      </c>
      <c r="E588" s="47">
        <v>1.69</v>
      </c>
      <c r="F588" t="s">
        <v>33</v>
      </c>
      <c r="J588" t="s">
        <v>720</v>
      </c>
      <c r="K588">
        <f>COUNTIF($A$1:A588,A588)</f>
        <v>1</v>
      </c>
      <c r="L588" t="str">
        <f>VLOOKUP(A588,'Cadastro de Produtos'!A:B,2,0)</f>
        <v>Placa USB / Áudio / Rede Asus F9S 08g2019fe22c</v>
      </c>
      <c r="M588">
        <f t="shared" si="36"/>
        <v>1</v>
      </c>
      <c r="N588">
        <f t="shared" si="37"/>
        <v>0</v>
      </c>
      <c r="O588">
        <f t="shared" si="38"/>
        <v>0</v>
      </c>
      <c r="P588">
        <f t="shared" si="39"/>
        <v>1</v>
      </c>
    </row>
    <row r="589" spans="1:16" x14ac:dyDescent="0.3">
      <c r="A589" t="s">
        <v>362</v>
      </c>
      <c r="B589" t="s">
        <v>12</v>
      </c>
      <c r="C589" s="92">
        <v>42029</v>
      </c>
      <c r="D589" s="46">
        <v>0</v>
      </c>
      <c r="E589" s="47">
        <v>3.79</v>
      </c>
      <c r="F589" t="s">
        <v>33</v>
      </c>
      <c r="J589" t="s">
        <v>720</v>
      </c>
      <c r="K589">
        <f>COUNTIF($A$1:A589,A589)</f>
        <v>1</v>
      </c>
      <c r="L589" t="str">
        <f>VLOOKUP(A589,'Cadastro de Produtos'!A:B,2,0)</f>
        <v>Processador Intel Celeron E3300 Dual Core 2.50GHz 800MHz BOX Skt 775</v>
      </c>
      <c r="M589">
        <f t="shared" si="36"/>
        <v>0</v>
      </c>
      <c r="N589">
        <f t="shared" si="37"/>
        <v>0</v>
      </c>
      <c r="O589">
        <f t="shared" si="38"/>
        <v>0</v>
      </c>
      <c r="P589">
        <f t="shared" si="39"/>
        <v>0</v>
      </c>
    </row>
    <row r="590" spans="1:16" x14ac:dyDescent="0.3">
      <c r="A590" t="s">
        <v>359</v>
      </c>
      <c r="B590" t="s">
        <v>12</v>
      </c>
      <c r="C590" s="92">
        <v>42029</v>
      </c>
      <c r="D590" s="46">
        <v>0</v>
      </c>
      <c r="E590" s="47">
        <v>6.99</v>
      </c>
      <c r="F590" t="s">
        <v>33</v>
      </c>
      <c r="J590" t="s">
        <v>720</v>
      </c>
      <c r="K590">
        <f>COUNTIF($A$1:A590,A590)</f>
        <v>1</v>
      </c>
      <c r="L590" t="str">
        <f>VLOOKUP(A590,'Cadastro de Produtos'!A:B,2,0)</f>
        <v>Processador AMD Athlon™ II X2 240 2.9GHz 2 x 1MB Skt AM3 BOX</v>
      </c>
      <c r="M590">
        <f t="shared" si="36"/>
        <v>0</v>
      </c>
      <c r="N590">
        <f t="shared" si="37"/>
        <v>0</v>
      </c>
      <c r="O590">
        <f t="shared" si="38"/>
        <v>0</v>
      </c>
      <c r="P590">
        <f t="shared" si="39"/>
        <v>0</v>
      </c>
    </row>
    <row r="591" spans="1:16" x14ac:dyDescent="0.3">
      <c r="A591" t="s">
        <v>360</v>
      </c>
      <c r="B591" t="s">
        <v>12</v>
      </c>
      <c r="C591" s="92">
        <v>42029</v>
      </c>
      <c r="D591" s="46">
        <v>1</v>
      </c>
      <c r="E591" s="47">
        <v>35.9</v>
      </c>
      <c r="F591" t="s">
        <v>33</v>
      </c>
      <c r="J591" t="s">
        <v>720</v>
      </c>
      <c r="K591">
        <f>COUNTIF($A$1:A591,A591)</f>
        <v>1</v>
      </c>
      <c r="L591" t="str">
        <f>VLOOKUP(A591,'Cadastro de Produtos'!A:B,2,0)</f>
        <v>Processador AMD Sempron™ 2.7GHz 1MB Skt AM3 BOX</v>
      </c>
      <c r="M591">
        <f t="shared" si="36"/>
        <v>1</v>
      </c>
      <c r="N591">
        <f t="shared" si="37"/>
        <v>0</v>
      </c>
      <c r="O591">
        <f t="shared" si="38"/>
        <v>0</v>
      </c>
      <c r="P591">
        <f t="shared" si="39"/>
        <v>1</v>
      </c>
    </row>
    <row r="592" spans="1:16" x14ac:dyDescent="0.3">
      <c r="A592" t="s">
        <v>361</v>
      </c>
      <c r="B592" t="s">
        <v>12</v>
      </c>
      <c r="C592" s="92">
        <v>42029</v>
      </c>
      <c r="D592" s="46">
        <v>1</v>
      </c>
      <c r="E592" s="47">
        <v>90.64</v>
      </c>
      <c r="F592" t="s">
        <v>33</v>
      </c>
      <c r="J592" t="s">
        <v>720</v>
      </c>
      <c r="K592">
        <f>COUNTIF($A$1:A592,A592)</f>
        <v>1</v>
      </c>
      <c r="L592" t="str">
        <f>VLOOKUP(A592,'Cadastro de Produtos'!A:B,2,0)</f>
        <v>Processador Intel Celeron E3200 Dual Core 2.40GHz 800MHz BOX Skt 775</v>
      </c>
      <c r="M592">
        <f t="shared" si="36"/>
        <v>1</v>
      </c>
      <c r="N592">
        <f t="shared" si="37"/>
        <v>0</v>
      </c>
      <c r="O592">
        <f t="shared" si="38"/>
        <v>0</v>
      </c>
      <c r="P592">
        <f t="shared" si="39"/>
        <v>1</v>
      </c>
    </row>
    <row r="593" spans="1:16" x14ac:dyDescent="0.3">
      <c r="A593" t="s">
        <v>365</v>
      </c>
      <c r="B593" t="s">
        <v>12</v>
      </c>
      <c r="C593" s="92">
        <v>42029</v>
      </c>
      <c r="D593" s="46">
        <v>0</v>
      </c>
      <c r="E593" s="47">
        <v>2.99</v>
      </c>
      <c r="F593" t="s">
        <v>33</v>
      </c>
      <c r="J593" t="s">
        <v>720</v>
      </c>
      <c r="K593">
        <f>COUNTIF($A$1:A593,A593)</f>
        <v>1</v>
      </c>
      <c r="L593" t="str">
        <f>VLOOKUP(A593,'Cadastro de Produtos'!A:B,2,0)</f>
        <v>Processador Intel Core i3-530 2.93 4Mb BOX Socket 1156</v>
      </c>
      <c r="M593">
        <f t="shared" si="36"/>
        <v>0</v>
      </c>
      <c r="N593">
        <f t="shared" si="37"/>
        <v>0</v>
      </c>
      <c r="O593">
        <f t="shared" si="38"/>
        <v>0</v>
      </c>
      <c r="P593">
        <f t="shared" si="39"/>
        <v>0</v>
      </c>
    </row>
    <row r="594" spans="1:16" x14ac:dyDescent="0.3">
      <c r="A594" t="s">
        <v>364</v>
      </c>
      <c r="B594" t="s">
        <v>12</v>
      </c>
      <c r="C594" s="92">
        <v>42029</v>
      </c>
      <c r="D594" s="46">
        <v>8</v>
      </c>
      <c r="E594" s="47">
        <v>34.9</v>
      </c>
      <c r="F594" t="s">
        <v>33</v>
      </c>
      <c r="J594" t="s">
        <v>720</v>
      </c>
      <c r="K594">
        <f>COUNTIF($A$1:A594,A594)</f>
        <v>1</v>
      </c>
      <c r="L594" t="str">
        <f>VLOOKUP(A594,'Cadastro de Produtos'!A:B,2,0)</f>
        <v>Processador Intel Core 2 Quad Q8400 2.66GHz 4MB 1333MHz Skt 775 BOX</v>
      </c>
      <c r="M594">
        <f t="shared" si="36"/>
        <v>8</v>
      </c>
      <c r="N594">
        <f t="shared" si="37"/>
        <v>0</v>
      </c>
      <c r="O594">
        <f t="shared" si="38"/>
        <v>0</v>
      </c>
      <c r="P594">
        <f t="shared" si="39"/>
        <v>8</v>
      </c>
    </row>
    <row r="595" spans="1:16" x14ac:dyDescent="0.3">
      <c r="A595" t="s">
        <v>363</v>
      </c>
      <c r="B595" t="s">
        <v>12</v>
      </c>
      <c r="C595" s="92">
        <v>42029</v>
      </c>
      <c r="D595" s="46">
        <v>2</v>
      </c>
      <c r="E595" s="47">
        <v>4.49</v>
      </c>
      <c r="F595" t="s">
        <v>33</v>
      </c>
      <c r="J595" t="s">
        <v>720</v>
      </c>
      <c r="K595">
        <f>COUNTIF($A$1:A595,A595)</f>
        <v>1</v>
      </c>
      <c r="L595" t="str">
        <f>VLOOKUP(A595,'Cadastro de Produtos'!A:B,2,0)</f>
        <v>Processador Intel Core 2 Duo E7500 2.93GHz 3MB 1066MHz Skt 775 BOX</v>
      </c>
      <c r="M595">
        <f t="shared" si="36"/>
        <v>2</v>
      </c>
      <c r="N595">
        <f t="shared" si="37"/>
        <v>0</v>
      </c>
      <c r="O595">
        <f t="shared" si="38"/>
        <v>0</v>
      </c>
      <c r="P595">
        <f t="shared" si="39"/>
        <v>2</v>
      </c>
    </row>
    <row r="596" spans="1:16" x14ac:dyDescent="0.3">
      <c r="A596" t="s">
        <v>367</v>
      </c>
      <c r="B596" t="s">
        <v>12</v>
      </c>
      <c r="C596" s="92">
        <v>42029</v>
      </c>
      <c r="D596" s="46">
        <v>0</v>
      </c>
      <c r="E596" s="47">
        <v>4.09</v>
      </c>
      <c r="F596" t="s">
        <v>33</v>
      </c>
      <c r="J596" t="s">
        <v>720</v>
      </c>
      <c r="K596">
        <f>COUNTIF($A$1:A596,A596)</f>
        <v>1</v>
      </c>
      <c r="L596" t="str">
        <f>VLOOKUP(A596,'Cadastro de Produtos'!A:B,2,0)</f>
        <v>Processador Intel Core i5-650 3.20 4MB 2.5GT/S BOX Socket 1156</v>
      </c>
      <c r="M596">
        <f t="shared" si="36"/>
        <v>0</v>
      </c>
      <c r="N596">
        <f t="shared" si="37"/>
        <v>0</v>
      </c>
      <c r="O596">
        <f t="shared" si="38"/>
        <v>0</v>
      </c>
      <c r="P596">
        <f t="shared" si="39"/>
        <v>0</v>
      </c>
    </row>
    <row r="597" spans="1:16" x14ac:dyDescent="0.3">
      <c r="A597" t="s">
        <v>368</v>
      </c>
      <c r="B597" t="s">
        <v>12</v>
      </c>
      <c r="C597" s="92">
        <v>42029</v>
      </c>
      <c r="D597" s="46">
        <v>0</v>
      </c>
      <c r="E597" s="47">
        <v>12.49</v>
      </c>
      <c r="F597" t="s">
        <v>33</v>
      </c>
      <c r="J597" t="s">
        <v>720</v>
      </c>
      <c r="K597">
        <f>COUNTIF($A$1:A597,A597)</f>
        <v>1</v>
      </c>
      <c r="L597" t="str">
        <f>VLOOKUP(A597,'Cadastro de Produtos'!A:B,2,0)</f>
        <v>Processador Intel Core i5-660 3.33 4MB 2.5GT/S BOX Socket 1156</v>
      </c>
      <c r="M597">
        <f t="shared" si="36"/>
        <v>0</v>
      </c>
      <c r="N597">
        <f t="shared" si="37"/>
        <v>0</v>
      </c>
      <c r="O597">
        <f t="shared" si="38"/>
        <v>0</v>
      </c>
      <c r="P597">
        <f t="shared" si="39"/>
        <v>0</v>
      </c>
    </row>
    <row r="598" spans="1:16" x14ac:dyDescent="0.3">
      <c r="A598" t="s">
        <v>366</v>
      </c>
      <c r="B598" t="s">
        <v>12</v>
      </c>
      <c r="C598" s="92">
        <v>42029</v>
      </c>
      <c r="D598" s="46">
        <v>0</v>
      </c>
      <c r="E598" s="47">
        <v>14.79</v>
      </c>
      <c r="F598" t="s">
        <v>33</v>
      </c>
      <c r="J598" t="s">
        <v>720</v>
      </c>
      <c r="K598">
        <f>COUNTIF($A$1:A598,A598)</f>
        <v>1</v>
      </c>
      <c r="L598" t="str">
        <f>VLOOKUP(A598,'Cadastro de Produtos'!A:B,2,0)</f>
        <v>Processador Intel Core i3-540 3.06 4Mb BOX Socket 1156</v>
      </c>
      <c r="M598">
        <f t="shared" si="36"/>
        <v>0</v>
      </c>
      <c r="N598">
        <f t="shared" si="37"/>
        <v>0</v>
      </c>
      <c r="O598">
        <f t="shared" si="38"/>
        <v>0</v>
      </c>
      <c r="P598">
        <f t="shared" si="39"/>
        <v>0</v>
      </c>
    </row>
    <row r="599" spans="1:16" x14ac:dyDescent="0.3">
      <c r="A599" t="s">
        <v>378</v>
      </c>
      <c r="B599" t="s">
        <v>12</v>
      </c>
      <c r="C599" s="92">
        <v>42029</v>
      </c>
      <c r="D599" s="46">
        <v>7</v>
      </c>
      <c r="E599" s="47">
        <v>1.79</v>
      </c>
      <c r="F599" t="s">
        <v>33</v>
      </c>
      <c r="J599" t="s">
        <v>720</v>
      </c>
      <c r="K599">
        <f>COUNTIF($A$1:A599,A599)</f>
        <v>1</v>
      </c>
      <c r="L599" t="str">
        <f>VLOOKUP(A599,'Cadastro de Produtos'!A:B,2,0)</f>
        <v>Processador Intel Pentium Dual Core E5400 2.7Ghz 2MB BOX Socket 775</v>
      </c>
      <c r="M599">
        <f t="shared" si="36"/>
        <v>7</v>
      </c>
      <c r="N599">
        <f t="shared" si="37"/>
        <v>0</v>
      </c>
      <c r="O599">
        <f t="shared" si="38"/>
        <v>0</v>
      </c>
      <c r="P599">
        <f t="shared" si="39"/>
        <v>7</v>
      </c>
    </row>
    <row r="600" spans="1:16" x14ac:dyDescent="0.3">
      <c r="A600" t="s">
        <v>379</v>
      </c>
      <c r="B600" t="s">
        <v>12</v>
      </c>
      <c r="C600" s="92">
        <v>42029</v>
      </c>
      <c r="D600" s="46">
        <v>0</v>
      </c>
      <c r="E600" s="47">
        <v>3.69</v>
      </c>
      <c r="F600" t="s">
        <v>33</v>
      </c>
      <c r="J600" t="s">
        <v>720</v>
      </c>
      <c r="K600">
        <f>COUNTIF($A$1:A600,A600)</f>
        <v>1</v>
      </c>
      <c r="L600" t="str">
        <f>VLOOKUP(A600,'Cadastro de Produtos'!A:B,2,0)</f>
        <v>Processador Intel Pentium Dual Core E6300 2.8GHz 2MB BOX Socket 775</v>
      </c>
      <c r="M600">
        <f t="shared" si="36"/>
        <v>0</v>
      </c>
      <c r="N600">
        <f t="shared" si="37"/>
        <v>0</v>
      </c>
      <c r="O600">
        <f t="shared" si="38"/>
        <v>0</v>
      </c>
      <c r="P600">
        <f t="shared" si="39"/>
        <v>0</v>
      </c>
    </row>
    <row r="601" spans="1:16" x14ac:dyDescent="0.3">
      <c r="A601" t="s">
        <v>375</v>
      </c>
      <c r="B601" t="s">
        <v>12</v>
      </c>
      <c r="C601" s="92">
        <v>42029</v>
      </c>
      <c r="D601" s="46">
        <v>0</v>
      </c>
      <c r="E601" s="47">
        <v>4.3899999999999997</v>
      </c>
      <c r="F601" t="s">
        <v>33</v>
      </c>
      <c r="J601" t="s">
        <v>720</v>
      </c>
      <c r="K601">
        <f>COUNTIF($A$1:A601,A601)</f>
        <v>1</v>
      </c>
      <c r="L601" t="str">
        <f>VLOOKUP(A601,'Cadastro de Produtos'!A:B,2,0)</f>
        <v>Processador Intel Core i7-950 3.06GHz 8MB 4.8GT/s BOX Socket 1366</v>
      </c>
      <c r="M601">
        <f t="shared" si="36"/>
        <v>0</v>
      </c>
      <c r="N601">
        <f t="shared" si="37"/>
        <v>0</v>
      </c>
      <c r="O601">
        <f t="shared" si="38"/>
        <v>0</v>
      </c>
      <c r="P601">
        <f t="shared" si="39"/>
        <v>0</v>
      </c>
    </row>
    <row r="602" spans="1:16" x14ac:dyDescent="0.3">
      <c r="A602" t="s">
        <v>376</v>
      </c>
      <c r="B602" t="s">
        <v>12</v>
      </c>
      <c r="C602" s="92">
        <v>42029</v>
      </c>
      <c r="D602" s="46">
        <v>10</v>
      </c>
      <c r="E602" s="47">
        <v>21.9</v>
      </c>
      <c r="F602" t="s">
        <v>33</v>
      </c>
      <c r="J602" t="s">
        <v>720</v>
      </c>
      <c r="K602">
        <f>COUNTIF($A$1:A602,A602)</f>
        <v>1</v>
      </c>
      <c r="L602" t="str">
        <f>VLOOKUP(A602,'Cadastro de Produtos'!A:B,2,0)</f>
        <v>Processador Intel Core i7-975 3.33GHz 8MB 6.4GT/s BOX Socket 1366</v>
      </c>
      <c r="M602">
        <f t="shared" si="36"/>
        <v>10</v>
      </c>
      <c r="N602">
        <f t="shared" si="37"/>
        <v>0</v>
      </c>
      <c r="O602">
        <f t="shared" si="38"/>
        <v>0</v>
      </c>
      <c r="P602">
        <f t="shared" si="39"/>
        <v>10</v>
      </c>
    </row>
    <row r="603" spans="1:16" x14ac:dyDescent="0.3">
      <c r="A603" t="s">
        <v>377</v>
      </c>
      <c r="B603" t="s">
        <v>12</v>
      </c>
      <c r="C603" s="92">
        <v>42029</v>
      </c>
      <c r="D603" s="46">
        <v>2</v>
      </c>
      <c r="E603" s="47">
        <v>29.9</v>
      </c>
      <c r="F603" t="s">
        <v>33</v>
      </c>
      <c r="J603" t="s">
        <v>720</v>
      </c>
      <c r="K603">
        <f>COUNTIF($A$1:A603,A603)</f>
        <v>1</v>
      </c>
      <c r="L603" t="str">
        <f>VLOOKUP(A603,'Cadastro de Produtos'!A:B,2,0)</f>
        <v>Processador Intel Pentium Dual Core E5300 2.6Ghz 2MB BOX Socket 775</v>
      </c>
      <c r="M603">
        <f t="shared" si="36"/>
        <v>2</v>
      </c>
      <c r="N603">
        <f t="shared" si="37"/>
        <v>0</v>
      </c>
      <c r="O603">
        <f t="shared" si="38"/>
        <v>0</v>
      </c>
      <c r="P603">
        <f t="shared" si="39"/>
        <v>2</v>
      </c>
    </row>
    <row r="604" spans="1:16" x14ac:dyDescent="0.3">
      <c r="A604" t="s">
        <v>371</v>
      </c>
      <c r="B604" t="s">
        <v>12</v>
      </c>
      <c r="C604" s="92">
        <v>42029</v>
      </c>
      <c r="D604" s="46">
        <v>1</v>
      </c>
      <c r="E604" s="47">
        <v>14.49</v>
      </c>
      <c r="F604" t="s">
        <v>33</v>
      </c>
      <c r="J604" t="s">
        <v>720</v>
      </c>
      <c r="K604">
        <f>COUNTIF($A$1:A604,A604)</f>
        <v>1</v>
      </c>
      <c r="L604" t="str">
        <f>VLOOKUP(A604,'Cadastro de Produtos'!A:B,2,0)</f>
        <v>Processador Intel Core i5-750 2.66GHz 8MB 2.5GT/S BOX Socket 1156</v>
      </c>
      <c r="M604">
        <f t="shared" si="36"/>
        <v>1</v>
      </c>
      <c r="N604">
        <f t="shared" si="37"/>
        <v>0</v>
      </c>
      <c r="O604">
        <f t="shared" si="38"/>
        <v>0</v>
      </c>
      <c r="P604">
        <f t="shared" si="39"/>
        <v>1</v>
      </c>
    </row>
    <row r="605" spans="1:16" x14ac:dyDescent="0.3">
      <c r="A605" t="s">
        <v>369</v>
      </c>
      <c r="B605" t="s">
        <v>12</v>
      </c>
      <c r="C605" s="92">
        <v>42029</v>
      </c>
      <c r="D605" s="46">
        <v>0</v>
      </c>
      <c r="E605" s="47">
        <v>10.39</v>
      </c>
      <c r="F605" t="s">
        <v>33</v>
      </c>
      <c r="J605" t="s">
        <v>720</v>
      </c>
      <c r="K605">
        <f>COUNTIF($A$1:A605,A605)</f>
        <v>1</v>
      </c>
      <c r="L605" t="str">
        <f>VLOOKUP(A605,'Cadastro de Produtos'!A:B,2,0)</f>
        <v>Processador Intel Core i5-661 3.33GHz 4MB 2.5GT/s BOX LGA 1156</v>
      </c>
      <c r="M605">
        <f t="shared" si="36"/>
        <v>0</v>
      </c>
      <c r="N605">
        <f t="shared" si="37"/>
        <v>0</v>
      </c>
      <c r="O605">
        <f t="shared" si="38"/>
        <v>0</v>
      </c>
      <c r="P605">
        <f t="shared" si="39"/>
        <v>0</v>
      </c>
    </row>
    <row r="606" spans="1:16" x14ac:dyDescent="0.3">
      <c r="A606" t="s">
        <v>370</v>
      </c>
      <c r="B606" t="s">
        <v>12</v>
      </c>
      <c r="C606" s="92">
        <v>42029</v>
      </c>
      <c r="D606" s="46">
        <v>5</v>
      </c>
      <c r="E606" s="47">
        <v>31.9</v>
      </c>
      <c r="F606" t="s">
        <v>33</v>
      </c>
      <c r="J606" t="s">
        <v>720</v>
      </c>
      <c r="K606">
        <f>COUNTIF($A$1:A606,A606)</f>
        <v>1</v>
      </c>
      <c r="L606" t="str">
        <f>VLOOKUP(A606,'Cadastro de Produtos'!A:B,2,0)</f>
        <v>Processador Intel Core i5-670 3.46GHz 4MB 2.5GT/s BOX LGA 1156</v>
      </c>
      <c r="M606">
        <f t="shared" si="36"/>
        <v>5</v>
      </c>
      <c r="N606">
        <f t="shared" si="37"/>
        <v>0</v>
      </c>
      <c r="O606">
        <f t="shared" si="38"/>
        <v>0</v>
      </c>
      <c r="P606">
        <f t="shared" si="39"/>
        <v>5</v>
      </c>
    </row>
    <row r="607" spans="1:16" x14ac:dyDescent="0.3">
      <c r="A607" t="s">
        <v>372</v>
      </c>
      <c r="B607" t="s">
        <v>12</v>
      </c>
      <c r="C607" s="92">
        <v>42029</v>
      </c>
      <c r="D607" s="46">
        <v>2</v>
      </c>
      <c r="E607" s="47">
        <v>6.01</v>
      </c>
      <c r="F607" t="s">
        <v>33</v>
      </c>
      <c r="J607" t="s">
        <v>720</v>
      </c>
      <c r="K607">
        <f>COUNTIF($A$1:A607,A607)</f>
        <v>1</v>
      </c>
      <c r="L607" t="str">
        <f>VLOOKUP(A607,'Cadastro de Produtos'!A:B,2,0)</f>
        <v>Processador Intel Core i7-860 2.80GHz 8MB 2.5GT/s BOX Socket 1156</v>
      </c>
      <c r="M607">
        <f t="shared" si="36"/>
        <v>2</v>
      </c>
      <c r="N607">
        <f t="shared" si="37"/>
        <v>0</v>
      </c>
      <c r="O607">
        <f t="shared" si="38"/>
        <v>0</v>
      </c>
      <c r="P607">
        <f t="shared" si="39"/>
        <v>2</v>
      </c>
    </row>
    <row r="608" spans="1:16" x14ac:dyDescent="0.3">
      <c r="A608" t="s">
        <v>373</v>
      </c>
      <c r="B608" t="s">
        <v>12</v>
      </c>
      <c r="C608" s="92">
        <v>42029</v>
      </c>
      <c r="D608" s="46">
        <v>5</v>
      </c>
      <c r="E608" s="47">
        <v>521.05999999999995</v>
      </c>
      <c r="F608" t="s">
        <v>33</v>
      </c>
      <c r="J608" t="s">
        <v>720</v>
      </c>
      <c r="K608">
        <f>COUNTIF($A$1:A608,A608)</f>
        <v>1</v>
      </c>
      <c r="L608" t="str">
        <f>VLOOKUP(A608,'Cadastro de Produtos'!A:B,2,0)</f>
        <v>Processador Intel Core i7-870 2.93GHz 8MB 2.5GT/s BOX Socket 1156</v>
      </c>
      <c r="M608">
        <f t="shared" si="36"/>
        <v>5</v>
      </c>
      <c r="N608">
        <f t="shared" si="37"/>
        <v>0</v>
      </c>
      <c r="O608">
        <f t="shared" si="38"/>
        <v>0</v>
      </c>
      <c r="P608">
        <f t="shared" si="39"/>
        <v>5</v>
      </c>
    </row>
    <row r="609" spans="1:16" x14ac:dyDescent="0.3">
      <c r="A609" t="s">
        <v>374</v>
      </c>
      <c r="B609" t="s">
        <v>12</v>
      </c>
      <c r="C609" s="92">
        <v>42029</v>
      </c>
      <c r="D609" s="46">
        <v>1</v>
      </c>
      <c r="E609" s="47">
        <v>1778.21</v>
      </c>
      <c r="F609" t="s">
        <v>33</v>
      </c>
      <c r="J609" t="s">
        <v>720</v>
      </c>
      <c r="K609">
        <f>COUNTIF($A$1:A609,A609)</f>
        <v>1</v>
      </c>
      <c r="L609" t="str">
        <f>VLOOKUP(A609,'Cadastro de Produtos'!A:B,2,0)</f>
        <v>Processador Intel Core i7-930 2.88GHz 8MB 4.8GT/s BOX Socket 1366</v>
      </c>
      <c r="M609">
        <f t="shared" si="36"/>
        <v>1</v>
      </c>
      <c r="N609">
        <f t="shared" si="37"/>
        <v>0</v>
      </c>
      <c r="O609">
        <f t="shared" si="38"/>
        <v>0</v>
      </c>
      <c r="P609">
        <f t="shared" si="39"/>
        <v>1</v>
      </c>
    </row>
    <row r="610" spans="1:16" x14ac:dyDescent="0.3">
      <c r="A610" t="s">
        <v>384</v>
      </c>
      <c r="B610" t="s">
        <v>12</v>
      </c>
      <c r="C610" s="92">
        <v>42029</v>
      </c>
      <c r="D610" s="46">
        <v>0</v>
      </c>
      <c r="E610" s="47">
        <v>7.39</v>
      </c>
      <c r="F610" t="s">
        <v>33</v>
      </c>
      <c r="J610" t="s">
        <v>720</v>
      </c>
      <c r="K610">
        <f>COUNTIF($A$1:A610,A610)</f>
        <v>1</v>
      </c>
      <c r="L610" t="str">
        <f>VLOOKUP(A610,'Cadastro de Produtos'!A:B,2,0)</f>
        <v>Processador Intel Xeon X3430 2.40GHZ 2.5GT/sec 8MB 4 Cores 8 Threads Skt 1156</v>
      </c>
      <c r="M610">
        <f t="shared" si="36"/>
        <v>0</v>
      </c>
      <c r="N610">
        <f t="shared" si="37"/>
        <v>0</v>
      </c>
      <c r="O610">
        <f t="shared" si="38"/>
        <v>0</v>
      </c>
      <c r="P610">
        <f t="shared" si="39"/>
        <v>0</v>
      </c>
    </row>
    <row r="611" spans="1:16" x14ac:dyDescent="0.3">
      <c r="A611" t="s">
        <v>383</v>
      </c>
      <c r="B611" t="s">
        <v>12</v>
      </c>
      <c r="C611" s="92">
        <v>42029</v>
      </c>
      <c r="D611" s="53">
        <v>2</v>
      </c>
      <c r="E611" s="54">
        <v>17.190000000000001</v>
      </c>
      <c r="F611" t="s">
        <v>33</v>
      </c>
      <c r="J611" t="s">
        <v>720</v>
      </c>
      <c r="K611">
        <f>COUNTIF($A$1:A611,A611)</f>
        <v>1</v>
      </c>
      <c r="L611" t="str">
        <f>VLOOKUP(A611,'Cadastro de Produtos'!A:B,2,0)</f>
        <v>Processador Intel Pentium Dual Core E6500 2.93GHz 2MB BOX Socket 775</v>
      </c>
      <c r="M611">
        <f t="shared" si="36"/>
        <v>2</v>
      </c>
      <c r="N611">
        <f t="shared" si="37"/>
        <v>0</v>
      </c>
      <c r="O611">
        <f t="shared" si="38"/>
        <v>0</v>
      </c>
      <c r="P611">
        <f t="shared" si="39"/>
        <v>2</v>
      </c>
    </row>
    <row r="612" spans="1:16" x14ac:dyDescent="0.3">
      <c r="A612" t="s">
        <v>388</v>
      </c>
      <c r="B612" t="s">
        <v>12</v>
      </c>
      <c r="C612" s="92">
        <v>42029</v>
      </c>
      <c r="D612" s="46">
        <v>5</v>
      </c>
      <c r="E612" s="47">
        <v>4.99</v>
      </c>
      <c r="F612" t="s">
        <v>33</v>
      </c>
      <c r="J612" t="s">
        <v>720</v>
      </c>
      <c r="K612">
        <f>COUNTIF($A$1:A612,A612)</f>
        <v>1</v>
      </c>
      <c r="L612" t="str">
        <f>VLOOKUP(A612,'Cadastro de Produtos'!A:B,2,0)</f>
        <v>Scanner HP Scanjet G2410 Base plana 1200x1200dpi 48 bits</v>
      </c>
      <c r="M612">
        <f t="shared" si="36"/>
        <v>5</v>
      </c>
      <c r="N612">
        <f t="shared" si="37"/>
        <v>0</v>
      </c>
      <c r="O612">
        <f t="shared" si="38"/>
        <v>0</v>
      </c>
      <c r="P612">
        <f t="shared" si="39"/>
        <v>5</v>
      </c>
    </row>
    <row r="613" spans="1:16" x14ac:dyDescent="0.3">
      <c r="A613" t="s">
        <v>389</v>
      </c>
      <c r="B613" t="s">
        <v>12</v>
      </c>
      <c r="C613" s="92">
        <v>42029</v>
      </c>
      <c r="D613" s="46">
        <v>10</v>
      </c>
      <c r="E613" s="47">
        <v>15.09</v>
      </c>
      <c r="F613" t="s">
        <v>33</v>
      </c>
      <c r="J613" t="s">
        <v>720</v>
      </c>
      <c r="K613">
        <f>COUNTIF($A$1:A613,A613)</f>
        <v>1</v>
      </c>
      <c r="L613" t="str">
        <f>VLOOKUP(A613,'Cadastro de Produtos'!A:B,2,0)</f>
        <v>Servidor de Impressão USB 2.0</v>
      </c>
      <c r="M613">
        <f t="shared" si="36"/>
        <v>10</v>
      </c>
      <c r="N613">
        <f t="shared" si="37"/>
        <v>0</v>
      </c>
      <c r="O613">
        <f t="shared" si="38"/>
        <v>0</v>
      </c>
      <c r="P613">
        <f t="shared" si="39"/>
        <v>10</v>
      </c>
    </row>
    <row r="614" spans="1:16" x14ac:dyDescent="0.3">
      <c r="A614" t="s">
        <v>386</v>
      </c>
      <c r="B614" t="s">
        <v>12</v>
      </c>
      <c r="C614" s="92">
        <v>42029</v>
      </c>
      <c r="D614" s="46">
        <v>1</v>
      </c>
      <c r="E614" s="47">
        <v>11.9</v>
      </c>
      <c r="F614" t="s">
        <v>33</v>
      </c>
      <c r="J614" t="s">
        <v>720</v>
      </c>
      <c r="K614">
        <f>COUNTIF($A$1:A614,A614)</f>
        <v>1</v>
      </c>
      <c r="L614" t="str">
        <f>VLOOKUP(A614,'Cadastro de Produtos'!A:B,2,0)</f>
        <v>Roteador Linksys Linksys WRT54G2-BR Wireless-G Broadband 54Mbps Bivolt</v>
      </c>
      <c r="M614">
        <f t="shared" si="36"/>
        <v>1</v>
      </c>
      <c r="N614">
        <f t="shared" si="37"/>
        <v>0</v>
      </c>
      <c r="O614">
        <f t="shared" si="38"/>
        <v>0</v>
      </c>
      <c r="P614">
        <f t="shared" si="39"/>
        <v>1</v>
      </c>
    </row>
    <row r="615" spans="1:16" x14ac:dyDescent="0.3">
      <c r="A615" t="s">
        <v>385</v>
      </c>
      <c r="B615" t="s">
        <v>12</v>
      </c>
      <c r="C615" s="92">
        <v>42029</v>
      </c>
      <c r="D615" s="46">
        <v>5</v>
      </c>
      <c r="E615" s="47">
        <v>10.69</v>
      </c>
      <c r="F615" t="s">
        <v>33</v>
      </c>
      <c r="J615" t="s">
        <v>720</v>
      </c>
      <c r="K615">
        <f>COUNTIF($A$1:A615,A615)</f>
        <v>1</v>
      </c>
      <c r="L615" t="str">
        <f>VLOOKUP(A615,'Cadastro de Produtos'!A:B,2,0)</f>
        <v>Processador notebook Intel Core 2 Duo T7300 4M - 2.0GHz 800Mhz</v>
      </c>
      <c r="M615">
        <f t="shared" si="36"/>
        <v>5</v>
      </c>
      <c r="N615">
        <f t="shared" si="37"/>
        <v>0</v>
      </c>
      <c r="O615">
        <f t="shared" si="38"/>
        <v>0</v>
      </c>
      <c r="P615">
        <f t="shared" si="39"/>
        <v>5</v>
      </c>
    </row>
    <row r="616" spans="1:16" x14ac:dyDescent="0.3">
      <c r="A616" t="s">
        <v>387</v>
      </c>
      <c r="B616" t="s">
        <v>12</v>
      </c>
      <c r="C616" s="92">
        <v>42029</v>
      </c>
      <c r="D616" s="46">
        <v>1</v>
      </c>
      <c r="E616" s="47">
        <v>47.9</v>
      </c>
      <c r="F616" t="s">
        <v>33</v>
      </c>
      <c r="J616" t="s">
        <v>720</v>
      </c>
      <c r="K616">
        <f>COUNTIF($A$1:A616,A616)</f>
        <v>1</v>
      </c>
      <c r="L616" t="str">
        <f>VLOOKUP(A616,'Cadastro de Produtos'!A:B,2,0)</f>
        <v>Roteador Wireless TP-Link TL-WR642G 108Mbps 1WAN 4LAN</v>
      </c>
      <c r="M616">
        <f t="shared" si="36"/>
        <v>1</v>
      </c>
      <c r="N616">
        <f t="shared" si="37"/>
        <v>0</v>
      </c>
      <c r="O616">
        <f t="shared" si="38"/>
        <v>0</v>
      </c>
      <c r="P616">
        <f t="shared" si="39"/>
        <v>1</v>
      </c>
    </row>
    <row r="617" spans="1:16" x14ac:dyDescent="0.3">
      <c r="A617" t="s">
        <v>390</v>
      </c>
      <c r="B617" t="s">
        <v>12</v>
      </c>
      <c r="C617" s="92">
        <v>42029</v>
      </c>
      <c r="D617" s="46">
        <v>1</v>
      </c>
      <c r="E617" s="47">
        <v>9.39</v>
      </c>
      <c r="F617" t="s">
        <v>33</v>
      </c>
      <c r="J617" t="s">
        <v>720</v>
      </c>
      <c r="K617">
        <f>COUNTIF($A$1:A617,A617)</f>
        <v>1</v>
      </c>
      <c r="L617" t="str">
        <f>VLOOKUP(A617,'Cadastro de Produtos'!A:B,2,0)</f>
        <v>Servidor de USB 2.0 com Gerenciamento de até 4 porta USB</v>
      </c>
      <c r="M617">
        <f t="shared" si="36"/>
        <v>1</v>
      </c>
      <c r="N617">
        <f t="shared" si="37"/>
        <v>0</v>
      </c>
      <c r="O617">
        <f t="shared" si="38"/>
        <v>0</v>
      </c>
      <c r="P617">
        <f t="shared" si="39"/>
        <v>1</v>
      </c>
    </row>
    <row r="618" spans="1:16" x14ac:dyDescent="0.3">
      <c r="A618" t="s">
        <v>393</v>
      </c>
      <c r="B618" t="s">
        <v>12</v>
      </c>
      <c r="C618" s="92">
        <v>42029</v>
      </c>
      <c r="D618" s="46">
        <v>11.5</v>
      </c>
      <c r="E618" s="47">
        <v>10.3</v>
      </c>
      <c r="F618" t="s">
        <v>33</v>
      </c>
      <c r="J618" t="s">
        <v>720</v>
      </c>
      <c r="K618">
        <f>COUNTIF($A$1:A618,A618)</f>
        <v>1</v>
      </c>
      <c r="L618" t="str">
        <f>VLOOKUP(A618,'Cadastro de Produtos'!A:B,2,0)</f>
        <v>Subwoofer C3TECH 2.1 CT683601 127V</v>
      </c>
      <c r="M618">
        <f t="shared" si="36"/>
        <v>11.5</v>
      </c>
      <c r="N618">
        <f t="shared" si="37"/>
        <v>0</v>
      </c>
      <c r="O618">
        <f t="shared" si="38"/>
        <v>0</v>
      </c>
      <c r="P618">
        <f t="shared" si="39"/>
        <v>11.5</v>
      </c>
    </row>
    <row r="619" spans="1:16" x14ac:dyDescent="0.3">
      <c r="A619" t="s">
        <v>394</v>
      </c>
      <c r="B619" t="s">
        <v>12</v>
      </c>
      <c r="C619" s="92">
        <v>42029</v>
      </c>
      <c r="D619" s="46">
        <v>6.5</v>
      </c>
      <c r="E619" s="47">
        <v>7.63</v>
      </c>
      <c r="F619" t="s">
        <v>33</v>
      </c>
      <c r="J619" t="s">
        <v>720</v>
      </c>
      <c r="K619">
        <f>COUNTIF($A$1:A619,A619)</f>
        <v>1</v>
      </c>
      <c r="L619" t="str">
        <f>VLOOKUP(A619,'Cadastro de Produtos'!A:B,2,0)</f>
        <v>Subwoofer Edifier M 1350 2.1</v>
      </c>
      <c r="M619">
        <f t="shared" si="36"/>
        <v>6.5</v>
      </c>
      <c r="N619">
        <f t="shared" si="37"/>
        <v>0</v>
      </c>
      <c r="O619">
        <f t="shared" si="38"/>
        <v>0</v>
      </c>
      <c r="P619">
        <f t="shared" si="39"/>
        <v>6.5</v>
      </c>
    </row>
    <row r="620" spans="1:16" x14ac:dyDescent="0.3">
      <c r="A620" t="s">
        <v>395</v>
      </c>
      <c r="B620" t="s">
        <v>12</v>
      </c>
      <c r="C620" s="92">
        <v>42029</v>
      </c>
      <c r="D620" s="46">
        <v>3.5</v>
      </c>
      <c r="E620" s="47">
        <v>10.3</v>
      </c>
      <c r="F620" t="s">
        <v>33</v>
      </c>
      <c r="J620" t="s">
        <v>720</v>
      </c>
      <c r="K620">
        <f>COUNTIF($A$1:A620,A620)</f>
        <v>1</v>
      </c>
      <c r="L620" t="str">
        <f>VLOOKUP(A620,'Cadastro de Produtos'!A:B,2,0)</f>
        <v>Subwoofer Edifier X100</v>
      </c>
      <c r="M620">
        <f t="shared" si="36"/>
        <v>3.5</v>
      </c>
      <c r="N620">
        <f t="shared" si="37"/>
        <v>0</v>
      </c>
      <c r="O620">
        <f t="shared" si="38"/>
        <v>0</v>
      </c>
      <c r="P620">
        <f t="shared" si="39"/>
        <v>3.5</v>
      </c>
    </row>
    <row r="621" spans="1:16" x14ac:dyDescent="0.3">
      <c r="A621" t="s">
        <v>391</v>
      </c>
      <c r="B621" t="s">
        <v>12</v>
      </c>
      <c r="C621" s="92">
        <v>42029</v>
      </c>
      <c r="D621" s="46">
        <v>0</v>
      </c>
      <c r="E621" s="47">
        <v>11.03</v>
      </c>
      <c r="F621" t="s">
        <v>33</v>
      </c>
      <c r="J621" t="s">
        <v>720</v>
      </c>
      <c r="K621">
        <f>COUNTIF($A$1:A621,A621)</f>
        <v>1</v>
      </c>
      <c r="L621" t="str">
        <f>VLOOKUP(A621,'Cadastro de Produtos'!A:B,2,0)</f>
        <v>Servidor Intel Core i3 530 2.93 1TB DVD</v>
      </c>
      <c r="M621">
        <f t="shared" si="36"/>
        <v>0</v>
      </c>
      <c r="N621">
        <f t="shared" si="37"/>
        <v>0</v>
      </c>
      <c r="O621">
        <f t="shared" si="38"/>
        <v>0</v>
      </c>
      <c r="P621">
        <f t="shared" si="39"/>
        <v>0</v>
      </c>
    </row>
    <row r="622" spans="1:16" x14ac:dyDescent="0.3">
      <c r="A622" t="s">
        <v>392</v>
      </c>
      <c r="B622" t="s">
        <v>12</v>
      </c>
      <c r="C622" s="92">
        <v>42029</v>
      </c>
      <c r="D622" s="46">
        <v>4.0999999999999996</v>
      </c>
      <c r="E622" s="47">
        <v>27.63</v>
      </c>
      <c r="F622" t="s">
        <v>33</v>
      </c>
      <c r="J622" t="s">
        <v>720</v>
      </c>
      <c r="K622">
        <f>COUNTIF($A$1:A622,A622)</f>
        <v>1</v>
      </c>
      <c r="L622" t="str">
        <f>VLOOKUP(A622,'Cadastro de Produtos'!A:B,2,0)</f>
        <v>Servidor Intel Xeon X3440 2.53GHz, 2GB, HD 500B, DVD-RW, 500W</v>
      </c>
      <c r="M622">
        <f t="shared" si="36"/>
        <v>4.0999999999999996</v>
      </c>
      <c r="N622">
        <f t="shared" si="37"/>
        <v>0</v>
      </c>
      <c r="O622">
        <f t="shared" si="38"/>
        <v>0</v>
      </c>
      <c r="P622">
        <f t="shared" si="39"/>
        <v>4.0999999999999996</v>
      </c>
    </row>
    <row r="623" spans="1:16" x14ac:dyDescent="0.3">
      <c r="A623" t="s">
        <v>396</v>
      </c>
      <c r="B623" t="s">
        <v>12</v>
      </c>
      <c r="C623" s="92">
        <v>42029</v>
      </c>
      <c r="D623" s="46">
        <v>4.0999999999999996</v>
      </c>
      <c r="E623" s="47">
        <v>66.5</v>
      </c>
      <c r="F623" t="s">
        <v>33</v>
      </c>
      <c r="J623" t="s">
        <v>720</v>
      </c>
      <c r="K623">
        <f>COUNTIF($A$1:A623,A623)</f>
        <v>1</v>
      </c>
      <c r="L623" t="str">
        <f>VLOOKUP(A623,'Cadastro de Produtos'!A:B,2,0)</f>
        <v>Switch D-Link DES-1008D/A 8 Portas Fast Ethernet</v>
      </c>
      <c r="M623">
        <f t="shared" si="36"/>
        <v>4.0999999999999996</v>
      </c>
      <c r="N623">
        <f t="shared" si="37"/>
        <v>0</v>
      </c>
      <c r="O623">
        <f t="shared" si="38"/>
        <v>0</v>
      </c>
      <c r="P623">
        <f t="shared" si="39"/>
        <v>4.0999999999999996</v>
      </c>
    </row>
    <row r="624" spans="1:16" x14ac:dyDescent="0.3">
      <c r="A624" t="s">
        <v>397</v>
      </c>
      <c r="B624" t="s">
        <v>12</v>
      </c>
      <c r="C624" s="92">
        <v>42029</v>
      </c>
      <c r="D624" s="46">
        <v>4.9000000000000004</v>
      </c>
      <c r="E624" s="47">
        <v>171.34</v>
      </c>
      <c r="F624" t="s">
        <v>33</v>
      </c>
      <c r="J624" t="s">
        <v>720</v>
      </c>
      <c r="K624">
        <f>COUNTIF($A$1:A624,A624)</f>
        <v>1</v>
      </c>
      <c r="L624" t="str">
        <f>VLOOKUP(A624,'Cadastro de Produtos'!A:B,2,0)</f>
        <v>Switch D-Link DES-1024D/A 24 Portas 10/100Mbps</v>
      </c>
      <c r="M624">
        <f t="shared" si="36"/>
        <v>4.9000000000000004</v>
      </c>
      <c r="N624">
        <f t="shared" si="37"/>
        <v>0</v>
      </c>
      <c r="O624">
        <f t="shared" si="38"/>
        <v>0</v>
      </c>
      <c r="P624">
        <f t="shared" si="39"/>
        <v>4.9000000000000004</v>
      </c>
    </row>
    <row r="625" spans="1:16" x14ac:dyDescent="0.3">
      <c r="A625" t="s">
        <v>401</v>
      </c>
      <c r="B625" t="s">
        <v>12</v>
      </c>
      <c r="C625" s="92">
        <v>42029</v>
      </c>
      <c r="D625" s="46">
        <v>1</v>
      </c>
      <c r="E625" s="47">
        <v>47.9</v>
      </c>
      <c r="F625" t="s">
        <v>33</v>
      </c>
      <c r="J625" t="s">
        <v>720</v>
      </c>
      <c r="K625">
        <f>COUNTIF($A$1:A625,A625)</f>
        <v>1</v>
      </c>
      <c r="L625" t="str">
        <f>VLOOKUP(A625,'Cadastro de Produtos'!A:B,2,0)</f>
        <v>Switch TP-Link 24 Portas 10/100M TL-SF1024</v>
      </c>
      <c r="M625">
        <f t="shared" si="36"/>
        <v>1</v>
      </c>
      <c r="N625">
        <f t="shared" si="37"/>
        <v>0</v>
      </c>
      <c r="O625">
        <f t="shared" si="38"/>
        <v>0</v>
      </c>
      <c r="P625">
        <f t="shared" si="39"/>
        <v>1</v>
      </c>
    </row>
    <row r="626" spans="1:16" x14ac:dyDescent="0.3">
      <c r="A626" t="s">
        <v>402</v>
      </c>
      <c r="B626" t="s">
        <v>12</v>
      </c>
      <c r="C626" s="92">
        <v>42029</v>
      </c>
      <c r="D626" s="46">
        <v>3</v>
      </c>
      <c r="E626" s="47">
        <v>68.900000000000006</v>
      </c>
      <c r="F626" t="s">
        <v>33</v>
      </c>
      <c r="J626" t="s">
        <v>720</v>
      </c>
      <c r="K626">
        <f>COUNTIF($A$1:A626,A626)</f>
        <v>1</v>
      </c>
      <c r="L626" t="str">
        <f>VLOOKUP(A626,'Cadastro de Produtos'!A:B,2,0)</f>
        <v>Switch Tp-Link TL-SF1008D 8 Portas 10/100M</v>
      </c>
      <c r="M626">
        <f t="shared" si="36"/>
        <v>3</v>
      </c>
      <c r="N626">
        <f t="shared" si="37"/>
        <v>0</v>
      </c>
      <c r="O626">
        <f t="shared" si="38"/>
        <v>0</v>
      </c>
      <c r="P626">
        <f t="shared" si="39"/>
        <v>3</v>
      </c>
    </row>
    <row r="627" spans="1:16" x14ac:dyDescent="0.3">
      <c r="A627" t="s">
        <v>348</v>
      </c>
      <c r="B627" t="s">
        <v>12</v>
      </c>
      <c r="C627" s="92">
        <v>42029</v>
      </c>
      <c r="D627" s="46">
        <v>1</v>
      </c>
      <c r="E627" s="47">
        <v>2.9</v>
      </c>
      <c r="F627" t="s">
        <v>33</v>
      </c>
      <c r="J627" t="s">
        <v>720</v>
      </c>
      <c r="K627">
        <f>COUNTIF($A$1:A627,A627)</f>
        <v>1</v>
      </c>
      <c r="L627" t="str">
        <f>VLOOKUP(A627,'Cadastro de Produtos'!A:B,2,0)</f>
        <v>Placa mãe Intel® Desktop Board DP55WB (Core i5 e i7) S/R Socket 1156</v>
      </c>
      <c r="M627">
        <f t="shared" si="36"/>
        <v>1</v>
      </c>
      <c r="N627">
        <f t="shared" si="37"/>
        <v>0</v>
      </c>
      <c r="O627">
        <f t="shared" si="38"/>
        <v>0</v>
      </c>
      <c r="P627">
        <f t="shared" si="39"/>
        <v>1</v>
      </c>
    </row>
    <row r="628" spans="1:16" x14ac:dyDescent="0.3">
      <c r="A628" t="s">
        <v>403</v>
      </c>
      <c r="B628" t="s">
        <v>12</v>
      </c>
      <c r="C628" s="92">
        <v>42029</v>
      </c>
      <c r="D628" s="46">
        <v>1</v>
      </c>
      <c r="E628" s="47">
        <v>9.89</v>
      </c>
      <c r="F628" t="s">
        <v>33</v>
      </c>
      <c r="J628" t="s">
        <v>720</v>
      </c>
      <c r="K628">
        <f>COUNTIF($A$1:A628,A628)</f>
        <v>1</v>
      </c>
      <c r="L628" t="str">
        <f>VLOOKUP(A628,'Cadastro de Produtos'!A:B,2,0)</f>
        <v>Teclado + Mouse Microsot Wireless Optical Desktop 2000</v>
      </c>
      <c r="M628">
        <f t="shared" si="36"/>
        <v>1</v>
      </c>
      <c r="N628">
        <f t="shared" si="37"/>
        <v>0</v>
      </c>
      <c r="O628">
        <f t="shared" si="38"/>
        <v>0</v>
      </c>
      <c r="P628">
        <f t="shared" si="39"/>
        <v>1</v>
      </c>
    </row>
    <row r="629" spans="1:16" x14ac:dyDescent="0.3">
      <c r="A629" t="s">
        <v>404</v>
      </c>
      <c r="B629" t="s">
        <v>12</v>
      </c>
      <c r="C629" s="92">
        <v>42029</v>
      </c>
      <c r="D629" s="46">
        <v>1</v>
      </c>
      <c r="E629" s="47">
        <v>11.09</v>
      </c>
      <c r="F629" t="s">
        <v>33</v>
      </c>
      <c r="J629" t="s">
        <v>720</v>
      </c>
      <c r="K629">
        <f>COUNTIF($A$1:A629,A629)</f>
        <v>1</v>
      </c>
      <c r="L629" t="str">
        <f>VLOOKUP(A629,'Cadastro de Produtos'!A:B,2,0)</f>
        <v>Teclado + Mouse Óptico Microsoft WIRED DESKTOP 400 USB EYD-00007</v>
      </c>
      <c r="M629">
        <f t="shared" si="36"/>
        <v>1</v>
      </c>
      <c r="N629">
        <f t="shared" si="37"/>
        <v>0</v>
      </c>
      <c r="O629">
        <f t="shared" si="38"/>
        <v>0</v>
      </c>
      <c r="P629">
        <f t="shared" si="39"/>
        <v>1</v>
      </c>
    </row>
    <row r="630" spans="1:16" x14ac:dyDescent="0.3">
      <c r="A630" t="s">
        <v>405</v>
      </c>
      <c r="B630" t="s">
        <v>12</v>
      </c>
      <c r="C630" s="92">
        <v>42029</v>
      </c>
      <c r="D630" s="46">
        <v>5</v>
      </c>
      <c r="E630" s="47">
        <v>5.92</v>
      </c>
      <c r="F630" t="s">
        <v>33</v>
      </c>
      <c r="J630" t="s">
        <v>720</v>
      </c>
      <c r="K630">
        <f>COUNTIF($A$1:A630,A630)</f>
        <v>1</v>
      </c>
      <c r="L630" t="str">
        <f>VLOOKUP(A630,'Cadastro de Produtos'!A:B,2,0)</f>
        <v>Teclado + Mouse Óptico Microsoft Wireless Desktop 1000 (s/ fio)</v>
      </c>
      <c r="M630">
        <f t="shared" si="36"/>
        <v>5</v>
      </c>
      <c r="N630">
        <f t="shared" si="37"/>
        <v>0</v>
      </c>
      <c r="O630">
        <f t="shared" si="38"/>
        <v>0</v>
      </c>
      <c r="P630">
        <f t="shared" si="39"/>
        <v>5</v>
      </c>
    </row>
    <row r="631" spans="1:16" x14ac:dyDescent="0.3">
      <c r="A631" t="s">
        <v>406</v>
      </c>
      <c r="B631" t="s">
        <v>12</v>
      </c>
      <c r="C631" s="92">
        <v>42029</v>
      </c>
      <c r="D631" s="46">
        <v>3</v>
      </c>
      <c r="E631" s="47">
        <v>4.17</v>
      </c>
      <c r="F631" t="s">
        <v>33</v>
      </c>
      <c r="J631" t="s">
        <v>720</v>
      </c>
      <c r="K631">
        <f>COUNTIF($A$1:A631,A631)</f>
        <v>1</v>
      </c>
      <c r="L631" t="str">
        <f>VLOOKUP(A631,'Cadastro de Produtos'!A:B,2,0)</f>
        <v>Teclado Microsoft WIRED KEYBOARD 200 JWD-00001 USB Preto</v>
      </c>
      <c r="M631">
        <f t="shared" si="36"/>
        <v>3</v>
      </c>
      <c r="N631">
        <f t="shared" si="37"/>
        <v>0</v>
      </c>
      <c r="O631">
        <f t="shared" si="38"/>
        <v>0</v>
      </c>
      <c r="P631">
        <f t="shared" si="39"/>
        <v>3</v>
      </c>
    </row>
    <row r="632" spans="1:16" x14ac:dyDescent="0.3">
      <c r="A632" t="s">
        <v>407</v>
      </c>
      <c r="B632" t="s">
        <v>12</v>
      </c>
      <c r="C632" s="92">
        <v>42029</v>
      </c>
      <c r="D632" s="46">
        <v>1</v>
      </c>
      <c r="E632" s="47">
        <v>17.57</v>
      </c>
      <c r="F632" t="s">
        <v>33</v>
      </c>
      <c r="J632" t="s">
        <v>720</v>
      </c>
      <c r="K632">
        <f>COUNTIF($A$1:A632,A632)</f>
        <v>1</v>
      </c>
      <c r="L632" t="str">
        <f>VLOOKUP(A632,'Cadastro de Produtos'!A:B,2,0)</f>
        <v>Teclado Mtek K2806BRP PS2 ABNT2 Preto</v>
      </c>
      <c r="M632">
        <f t="shared" si="36"/>
        <v>1</v>
      </c>
      <c r="N632">
        <f t="shared" si="37"/>
        <v>0</v>
      </c>
      <c r="O632">
        <f t="shared" si="38"/>
        <v>0</v>
      </c>
      <c r="P632">
        <f t="shared" si="39"/>
        <v>1</v>
      </c>
    </row>
    <row r="633" spans="1:16" x14ac:dyDescent="0.3">
      <c r="A633" t="s">
        <v>408</v>
      </c>
      <c r="B633" t="s">
        <v>12</v>
      </c>
      <c r="C633" s="92">
        <v>42029</v>
      </c>
      <c r="D633" s="46">
        <v>4</v>
      </c>
      <c r="E633" s="47">
        <v>24.5</v>
      </c>
      <c r="F633" t="s">
        <v>33</v>
      </c>
      <c r="J633" t="s">
        <v>720</v>
      </c>
      <c r="K633">
        <f>COUNTIF($A$1:A633,A633)</f>
        <v>1</v>
      </c>
      <c r="L633" t="str">
        <f>VLOOKUP(A633,'Cadastro de Produtos'!A:B,2,0)</f>
        <v>Teclado Mtek K2806BRP USB ABNT2 Preto</v>
      </c>
      <c r="M633">
        <f t="shared" si="36"/>
        <v>4</v>
      </c>
      <c r="N633">
        <f t="shared" si="37"/>
        <v>0</v>
      </c>
      <c r="O633">
        <f t="shared" si="38"/>
        <v>0</v>
      </c>
      <c r="P633">
        <f t="shared" si="39"/>
        <v>4</v>
      </c>
    </row>
    <row r="634" spans="1:16" x14ac:dyDescent="0.3">
      <c r="A634" t="s">
        <v>409</v>
      </c>
      <c r="B634" t="s">
        <v>12</v>
      </c>
      <c r="C634" s="92">
        <v>42029</v>
      </c>
      <c r="D634" s="46">
        <v>1</v>
      </c>
      <c r="E634" s="47">
        <v>73.959999999999994</v>
      </c>
      <c r="F634" t="s">
        <v>33</v>
      </c>
      <c r="J634" t="s">
        <v>720</v>
      </c>
      <c r="K634">
        <f>COUNTIF($A$1:A634,A634)</f>
        <v>1</v>
      </c>
      <c r="L634" t="str">
        <f>VLOOKUP(A634,'Cadastro de Produtos'!A:B,2,0)</f>
        <v>Teclado Multimidia Mtek KP807 PS2 ABNT2 (Preto)</v>
      </c>
      <c r="M634">
        <f t="shared" si="36"/>
        <v>1</v>
      </c>
      <c r="N634">
        <f t="shared" si="37"/>
        <v>0</v>
      </c>
      <c r="O634">
        <f t="shared" si="38"/>
        <v>0</v>
      </c>
      <c r="P634">
        <f t="shared" si="39"/>
        <v>1</v>
      </c>
    </row>
    <row r="635" spans="1:16" x14ac:dyDescent="0.3">
      <c r="A635" t="s">
        <v>410</v>
      </c>
      <c r="B635" t="s">
        <v>12</v>
      </c>
      <c r="C635" s="92">
        <v>42029</v>
      </c>
      <c r="D635" s="46">
        <v>1</v>
      </c>
      <c r="E635" s="47">
        <v>101.7</v>
      </c>
      <c r="F635" t="s">
        <v>33</v>
      </c>
      <c r="J635" t="s">
        <v>720</v>
      </c>
      <c r="K635">
        <f>COUNTIF($A$1:A635,A635)</f>
        <v>1</v>
      </c>
      <c r="L635" t="str">
        <f>VLOOKUP(A635,'Cadastro de Produtos'!A:B,2,0)</f>
        <v>Teclado notebook ASUS F9 BLACK UK K030462R1 OKNO-431UK01 Fs9</v>
      </c>
      <c r="M635">
        <f t="shared" si="36"/>
        <v>1</v>
      </c>
      <c r="N635">
        <f t="shared" si="37"/>
        <v>0</v>
      </c>
      <c r="O635">
        <f t="shared" si="38"/>
        <v>0</v>
      </c>
      <c r="P635">
        <f t="shared" si="39"/>
        <v>1</v>
      </c>
    </row>
    <row r="636" spans="1:16" x14ac:dyDescent="0.3">
      <c r="A636" t="s">
        <v>411</v>
      </c>
      <c r="B636" t="s">
        <v>12</v>
      </c>
      <c r="C636" s="92">
        <v>42029</v>
      </c>
      <c r="D636" s="46">
        <v>5</v>
      </c>
      <c r="E636" s="47">
        <v>2.59</v>
      </c>
      <c r="F636" t="s">
        <v>33</v>
      </c>
      <c r="J636" t="s">
        <v>720</v>
      </c>
      <c r="K636">
        <f>COUNTIF($A$1:A636,A636)</f>
        <v>1</v>
      </c>
      <c r="L636" t="str">
        <f>VLOOKUP(A636,'Cadastro de Produtos'!A:B,2,0)</f>
        <v>Teclado Numérico Mtek PT970 USB</v>
      </c>
      <c r="M636">
        <f t="shared" si="36"/>
        <v>5</v>
      </c>
      <c r="N636">
        <f t="shared" si="37"/>
        <v>0</v>
      </c>
      <c r="O636">
        <f t="shared" si="38"/>
        <v>0</v>
      </c>
      <c r="P636">
        <f t="shared" si="39"/>
        <v>5</v>
      </c>
    </row>
    <row r="637" spans="1:16" x14ac:dyDescent="0.3">
      <c r="A637" t="s">
        <v>412</v>
      </c>
      <c r="B637" t="s">
        <v>12</v>
      </c>
      <c r="C637" s="92">
        <v>42029</v>
      </c>
      <c r="D637" s="46">
        <v>4</v>
      </c>
      <c r="E637" s="47">
        <v>3.88</v>
      </c>
      <c r="F637" t="s">
        <v>33</v>
      </c>
      <c r="J637" t="s">
        <v>720</v>
      </c>
      <c r="K637">
        <f>COUNTIF($A$1:A637,A637)</f>
        <v>1</v>
      </c>
      <c r="L637" t="str">
        <f>VLOOKUP(A637,'Cadastro de Produtos'!A:B,2,0)</f>
        <v>Teclado para Notebook H4409 KFRMB2 A185 PORT</v>
      </c>
      <c r="M637">
        <f t="shared" si="36"/>
        <v>4</v>
      </c>
      <c r="N637">
        <f t="shared" si="37"/>
        <v>0</v>
      </c>
      <c r="O637">
        <f t="shared" si="38"/>
        <v>0</v>
      </c>
      <c r="P637">
        <f t="shared" si="39"/>
        <v>4</v>
      </c>
    </row>
    <row r="638" spans="1:16" x14ac:dyDescent="0.3">
      <c r="A638" t="s">
        <v>413</v>
      </c>
      <c r="B638" t="s">
        <v>12</v>
      </c>
      <c r="C638" s="92">
        <v>42029</v>
      </c>
      <c r="D638" s="46">
        <v>1</v>
      </c>
      <c r="E638" s="47">
        <v>6.01</v>
      </c>
      <c r="F638" t="s">
        <v>33</v>
      </c>
      <c r="J638" t="s">
        <v>720</v>
      </c>
      <c r="K638">
        <f>COUNTIF($A$1:A638,A638)</f>
        <v>1</v>
      </c>
      <c r="L638" t="str">
        <f>VLOOKUP(A638,'Cadastro de Produtos'!A:B,2,0)</f>
        <v>Teclado para Notebook H5639</v>
      </c>
      <c r="M638">
        <f t="shared" si="36"/>
        <v>1</v>
      </c>
      <c r="N638">
        <f t="shared" si="37"/>
        <v>0</v>
      </c>
      <c r="O638">
        <f t="shared" si="38"/>
        <v>0</v>
      </c>
      <c r="P638">
        <f t="shared" si="39"/>
        <v>1</v>
      </c>
    </row>
    <row r="639" spans="1:16" x14ac:dyDescent="0.3">
      <c r="A639" t="s">
        <v>414</v>
      </c>
      <c r="B639" t="s">
        <v>12</v>
      </c>
      <c r="C639" s="92">
        <v>42029</v>
      </c>
      <c r="D639" s="46">
        <v>8</v>
      </c>
      <c r="E639" s="47">
        <v>10.82</v>
      </c>
      <c r="F639" t="s">
        <v>33</v>
      </c>
      <c r="J639" t="s">
        <v>720</v>
      </c>
      <c r="K639">
        <f>COUNTIF($A$1:A639,A639)</f>
        <v>1</v>
      </c>
      <c r="L639" t="str">
        <f>VLOOKUP(A639,'Cadastro de Produtos'!A:B,2,0)</f>
        <v>Teclado para Notebook NP582 K060425X PORT</v>
      </c>
      <c r="M639">
        <f t="shared" si="36"/>
        <v>8</v>
      </c>
      <c r="N639">
        <f t="shared" si="37"/>
        <v>0</v>
      </c>
      <c r="O639">
        <f t="shared" si="38"/>
        <v>0</v>
      </c>
      <c r="P639">
        <f t="shared" si="39"/>
        <v>8</v>
      </c>
    </row>
    <row r="640" spans="1:16" x14ac:dyDescent="0.3">
      <c r="A640" t="s">
        <v>415</v>
      </c>
      <c r="B640" t="s">
        <v>12</v>
      </c>
      <c r="C640" s="92">
        <v>42029</v>
      </c>
      <c r="D640" s="46">
        <v>4</v>
      </c>
      <c r="E640" s="47">
        <v>16.36</v>
      </c>
      <c r="F640" t="s">
        <v>33</v>
      </c>
      <c r="J640" t="s">
        <v>720</v>
      </c>
      <c r="K640">
        <f>COUNTIF($A$1:A640,A640)</f>
        <v>1</v>
      </c>
      <c r="L640" t="str">
        <f>VLOOKUP(A640,'Cadastro de Produtos'!A:B,2,0)</f>
        <v>Teclado para Notebook NSK-H3V1D</v>
      </c>
      <c r="M640">
        <f t="shared" si="36"/>
        <v>4</v>
      </c>
      <c r="N640">
        <f t="shared" si="37"/>
        <v>0</v>
      </c>
      <c r="O640">
        <f t="shared" si="38"/>
        <v>0</v>
      </c>
      <c r="P640">
        <f t="shared" si="39"/>
        <v>4</v>
      </c>
    </row>
    <row r="641" spans="1:16" x14ac:dyDescent="0.3">
      <c r="A641" t="s">
        <v>416</v>
      </c>
      <c r="B641" t="s">
        <v>12</v>
      </c>
      <c r="C641" s="92">
        <v>42029</v>
      </c>
      <c r="D641" s="46">
        <v>1</v>
      </c>
      <c r="E641" s="47">
        <v>9.25</v>
      </c>
      <c r="F641" t="s">
        <v>33</v>
      </c>
      <c r="J641" t="s">
        <v>720</v>
      </c>
      <c r="K641">
        <f>COUNTIF($A$1:A641,A641)</f>
        <v>1</v>
      </c>
      <c r="L641" t="str">
        <f>VLOOKUP(A641,'Cadastro de Produtos'!A:B,2,0)</f>
        <v>Teclado para Notebook YD802 K051125X PORT</v>
      </c>
      <c r="M641">
        <f t="shared" si="36"/>
        <v>1</v>
      </c>
      <c r="N641">
        <f t="shared" si="37"/>
        <v>0</v>
      </c>
      <c r="O641">
        <f t="shared" si="38"/>
        <v>0</v>
      </c>
      <c r="P641">
        <f t="shared" si="39"/>
        <v>1</v>
      </c>
    </row>
    <row r="642" spans="1:16" x14ac:dyDescent="0.3">
      <c r="A642" t="s">
        <v>417</v>
      </c>
      <c r="B642" t="s">
        <v>12</v>
      </c>
      <c r="C642" s="92">
        <v>42029</v>
      </c>
      <c r="D642" s="46">
        <v>1</v>
      </c>
      <c r="E642" s="47">
        <v>9.25</v>
      </c>
      <c r="F642" t="s">
        <v>33</v>
      </c>
      <c r="J642" t="s">
        <v>720</v>
      </c>
      <c r="K642">
        <f>COUNTIF($A$1:A642,A642)</f>
        <v>1</v>
      </c>
      <c r="L642" t="str">
        <f>VLOOKUP(A642,'Cadastro de Produtos'!A:B,2,0)</f>
        <v>Tela Notebook LCD 14.1" LP141WX3 TL N1</v>
      </c>
      <c r="M642">
        <f t="shared" ref="M642:M692" si="40">SUMIF(B642,"E",D642:D642)</f>
        <v>1</v>
      </c>
      <c r="N642">
        <f t="shared" ref="N642:N692" si="41">SUMIF(B642,"S",D642:D642)</f>
        <v>0</v>
      </c>
      <c r="O642">
        <f t="shared" ref="O642:O692" si="42">N642*-1</f>
        <v>0</v>
      </c>
      <c r="P642">
        <f t="shared" ref="P642:P692" si="43">SUM(M642+O642)</f>
        <v>1</v>
      </c>
    </row>
    <row r="643" spans="1:16" x14ac:dyDescent="0.3">
      <c r="A643" t="s">
        <v>418</v>
      </c>
      <c r="B643" t="s">
        <v>12</v>
      </c>
      <c r="C643" s="92">
        <v>42029</v>
      </c>
      <c r="D643" s="46">
        <v>2</v>
      </c>
      <c r="E643" s="47">
        <v>9.25</v>
      </c>
      <c r="F643" t="s">
        <v>33</v>
      </c>
      <c r="J643" t="s">
        <v>720</v>
      </c>
      <c r="K643">
        <f>COUNTIF($A$1:A643,A643)</f>
        <v>1</v>
      </c>
      <c r="L643" t="str">
        <f>VLOOKUP(A643,'Cadastro de Produtos'!A:B,2,0)</f>
        <v>Tela Notebook LCD 14.1" LTN141XB-L01</v>
      </c>
      <c r="M643">
        <f t="shared" si="40"/>
        <v>2</v>
      </c>
      <c r="N643">
        <f t="shared" si="41"/>
        <v>0</v>
      </c>
      <c r="O643">
        <f t="shared" si="42"/>
        <v>0</v>
      </c>
      <c r="P643">
        <f t="shared" si="43"/>
        <v>2</v>
      </c>
    </row>
    <row r="644" spans="1:16" x14ac:dyDescent="0.3">
      <c r="A644" t="s">
        <v>419</v>
      </c>
      <c r="B644" t="s">
        <v>12</v>
      </c>
      <c r="C644" s="92">
        <v>42029</v>
      </c>
      <c r="D644" s="46">
        <v>2</v>
      </c>
      <c r="E644" s="47">
        <v>2.13</v>
      </c>
      <c r="F644" t="s">
        <v>33</v>
      </c>
      <c r="J644" t="s">
        <v>720</v>
      </c>
      <c r="K644">
        <f>COUNTIF($A$1:A644,A644)</f>
        <v>1</v>
      </c>
      <c r="L644" t="str">
        <f>VLOOKUP(A644,'Cadastro de Produtos'!A:B,2,0)</f>
        <v>Tela Notebook LCD 14.1’’ WXGA CHUNGHWA CLAA141WB03 Rev A01</v>
      </c>
      <c r="M644">
        <f t="shared" si="40"/>
        <v>2</v>
      </c>
      <c r="N644">
        <f t="shared" si="41"/>
        <v>0</v>
      </c>
      <c r="O644">
        <f t="shared" si="42"/>
        <v>0</v>
      </c>
      <c r="P644">
        <f t="shared" si="43"/>
        <v>2</v>
      </c>
    </row>
    <row r="645" spans="1:16" x14ac:dyDescent="0.3">
      <c r="A645" t="s">
        <v>420</v>
      </c>
      <c r="B645" t="s">
        <v>12</v>
      </c>
      <c r="C645" s="92">
        <v>42029</v>
      </c>
      <c r="D645" s="46">
        <v>7</v>
      </c>
      <c r="E645" s="47">
        <v>5.36</v>
      </c>
      <c r="F645" t="s">
        <v>33</v>
      </c>
      <c r="J645" t="s">
        <v>720</v>
      </c>
      <c r="K645">
        <f>COUNTIF($A$1:A645,A645)</f>
        <v>1</v>
      </c>
      <c r="L645" t="str">
        <f>VLOOKUP(A645,'Cadastro de Produtos'!A:B,2,0)</f>
        <v>Tela Notebook LCD 15,4'WXGA B154EW01 V4 Universal</v>
      </c>
      <c r="M645">
        <f t="shared" si="40"/>
        <v>7</v>
      </c>
      <c r="N645">
        <f t="shared" si="41"/>
        <v>0</v>
      </c>
      <c r="O645">
        <f t="shared" si="42"/>
        <v>0</v>
      </c>
      <c r="P645">
        <f t="shared" si="43"/>
        <v>7</v>
      </c>
    </row>
    <row r="646" spans="1:16" x14ac:dyDescent="0.3">
      <c r="A646" t="s">
        <v>421</v>
      </c>
      <c r="B646" t="s">
        <v>12</v>
      </c>
      <c r="C646" s="92">
        <v>42029</v>
      </c>
      <c r="D646" s="46">
        <v>1</v>
      </c>
      <c r="E646" s="47">
        <v>59.17</v>
      </c>
      <c r="F646" t="s">
        <v>33</v>
      </c>
      <c r="J646" t="s">
        <v>720</v>
      </c>
      <c r="K646">
        <f>COUNTIF($A$1:A646,A646)</f>
        <v>1</v>
      </c>
      <c r="L646" t="str">
        <f>VLOOKUP(A646,'Cadastro de Produtos'!A:B,2,0)</f>
        <v>Tela Notebook LCD 15,4'WXGA CLAA154WA04 Universal</v>
      </c>
      <c r="M646">
        <f t="shared" si="40"/>
        <v>1</v>
      </c>
      <c r="N646">
        <f t="shared" si="41"/>
        <v>0</v>
      </c>
      <c r="O646">
        <f t="shared" si="42"/>
        <v>0</v>
      </c>
      <c r="P646">
        <f t="shared" si="43"/>
        <v>1</v>
      </c>
    </row>
    <row r="647" spans="1:16" x14ac:dyDescent="0.3">
      <c r="A647" t="s">
        <v>422</v>
      </c>
      <c r="B647" t="s">
        <v>12</v>
      </c>
      <c r="C647" s="92">
        <v>42029</v>
      </c>
      <c r="D647" s="46">
        <v>1</v>
      </c>
      <c r="E647" s="47">
        <v>1.25</v>
      </c>
      <c r="F647" t="s">
        <v>33</v>
      </c>
      <c r="J647" t="s">
        <v>720</v>
      </c>
      <c r="K647">
        <f>COUNTIF($A$1:A647,A647)</f>
        <v>1</v>
      </c>
      <c r="L647" t="str">
        <f>VLOOKUP(A647,'Cadastro de Produtos'!A:B,2,0)</f>
        <v>Tela Notebook LCD 15,4'WXGA CLAA154WA05A Universal</v>
      </c>
      <c r="M647">
        <f t="shared" si="40"/>
        <v>1</v>
      </c>
      <c r="N647">
        <f t="shared" si="41"/>
        <v>0</v>
      </c>
      <c r="O647">
        <f t="shared" si="42"/>
        <v>0</v>
      </c>
      <c r="P647">
        <f t="shared" si="43"/>
        <v>1</v>
      </c>
    </row>
    <row r="648" spans="1:16" x14ac:dyDescent="0.3">
      <c r="A648" t="s">
        <v>423</v>
      </c>
      <c r="B648" t="s">
        <v>12</v>
      </c>
      <c r="C648" s="92">
        <v>42029</v>
      </c>
      <c r="D648" s="46">
        <v>1</v>
      </c>
      <c r="E648" s="47">
        <v>4.07</v>
      </c>
      <c r="F648" t="s">
        <v>33</v>
      </c>
      <c r="J648" t="s">
        <v>720</v>
      </c>
      <c r="K648">
        <f>COUNTIF($A$1:A648,A648)</f>
        <v>1</v>
      </c>
      <c r="L648" t="str">
        <f>VLOOKUP(A648,'Cadastro de Produtos'!A:B,2,0)</f>
        <v>Tela Notebook LCD 15.0" 3K552 - ITUX97H</v>
      </c>
      <c r="M648">
        <f t="shared" si="40"/>
        <v>1</v>
      </c>
      <c r="N648">
        <f t="shared" si="41"/>
        <v>0</v>
      </c>
      <c r="O648">
        <f t="shared" si="42"/>
        <v>0</v>
      </c>
      <c r="P648">
        <f t="shared" si="43"/>
        <v>1</v>
      </c>
    </row>
    <row r="649" spans="1:16" x14ac:dyDescent="0.3">
      <c r="A649" t="s">
        <v>424</v>
      </c>
      <c r="B649" t="s">
        <v>12</v>
      </c>
      <c r="C649" s="92">
        <v>42029</v>
      </c>
      <c r="D649" s="46">
        <v>5</v>
      </c>
      <c r="E649" s="47">
        <v>5.73</v>
      </c>
      <c r="F649" t="s">
        <v>33</v>
      </c>
      <c r="J649" t="s">
        <v>720</v>
      </c>
      <c r="K649">
        <f>COUNTIF($A$1:A649,A649)</f>
        <v>1</v>
      </c>
      <c r="L649" t="str">
        <f>VLOOKUP(A649,'Cadastro de Produtos'!A:B,2,0)</f>
        <v>Tela Notebook LCD 15.4"WXGA LTN154W1-L01</v>
      </c>
      <c r="M649">
        <f t="shared" si="40"/>
        <v>5</v>
      </c>
      <c r="N649">
        <f t="shared" si="41"/>
        <v>0</v>
      </c>
      <c r="O649">
        <f t="shared" si="42"/>
        <v>0</v>
      </c>
      <c r="P649">
        <f t="shared" si="43"/>
        <v>5</v>
      </c>
    </row>
    <row r="650" spans="1:16" x14ac:dyDescent="0.3">
      <c r="A650" t="s">
        <v>425</v>
      </c>
      <c r="B650" t="s">
        <v>12</v>
      </c>
      <c r="C650" s="92">
        <v>42029</v>
      </c>
      <c r="D650" s="46">
        <v>1</v>
      </c>
      <c r="E650" s="47">
        <v>18.68</v>
      </c>
      <c r="F650" t="s">
        <v>33</v>
      </c>
      <c r="J650" t="s">
        <v>720</v>
      </c>
      <c r="K650">
        <f>COUNTIF($A$1:A650,A650)</f>
        <v>1</v>
      </c>
      <c r="L650" t="str">
        <f>VLOOKUP(A650,'Cadastro de Produtos'!A:B,2,0)</f>
        <v>Tela Notebook LCD 15.4’’ WXGA B154EW01 V.4</v>
      </c>
      <c r="M650">
        <f t="shared" si="40"/>
        <v>1</v>
      </c>
      <c r="N650">
        <f t="shared" si="41"/>
        <v>0</v>
      </c>
      <c r="O650">
        <f t="shared" si="42"/>
        <v>0</v>
      </c>
      <c r="P650">
        <f t="shared" si="43"/>
        <v>1</v>
      </c>
    </row>
    <row r="651" spans="1:16" x14ac:dyDescent="0.3">
      <c r="A651" t="s">
        <v>426</v>
      </c>
      <c r="B651" t="s">
        <v>12</v>
      </c>
      <c r="C651" s="92">
        <v>42029</v>
      </c>
      <c r="D651" s="46">
        <v>2</v>
      </c>
      <c r="E651" s="47">
        <v>134.05000000000001</v>
      </c>
      <c r="F651" t="s">
        <v>33</v>
      </c>
      <c r="J651" t="s">
        <v>720</v>
      </c>
      <c r="K651">
        <f>COUNTIF($A$1:A651,A651)</f>
        <v>1</v>
      </c>
      <c r="L651" t="str">
        <f>VLOOKUP(A651,'Cadastro de Produtos'!A:B,2,0)</f>
        <v>Tela Notebook LCD 17.0" LP171WP4 TL N2 WIDESCREEN</v>
      </c>
      <c r="M651">
        <f t="shared" si="40"/>
        <v>2</v>
      </c>
      <c r="N651">
        <f t="shared" si="41"/>
        <v>0</v>
      </c>
      <c r="O651">
        <f t="shared" si="42"/>
        <v>0</v>
      </c>
      <c r="P651">
        <f t="shared" si="43"/>
        <v>2</v>
      </c>
    </row>
    <row r="652" spans="1:16" x14ac:dyDescent="0.3">
      <c r="A652" t="s">
        <v>427</v>
      </c>
      <c r="B652" t="s">
        <v>12</v>
      </c>
      <c r="C652" s="92">
        <v>42029</v>
      </c>
      <c r="D652" s="46">
        <v>1</v>
      </c>
      <c r="E652" s="47">
        <v>5.92</v>
      </c>
      <c r="F652" t="s">
        <v>33</v>
      </c>
      <c r="J652" t="s">
        <v>720</v>
      </c>
      <c r="K652">
        <f>COUNTIF($A$1:A652,A652)</f>
        <v>1</v>
      </c>
      <c r="L652" t="str">
        <f>VLOOKUP(A652,'Cadastro de Produtos'!A:B,2,0)</f>
        <v>Terminal Consulta Preço itautec Quickway Checker</v>
      </c>
      <c r="M652">
        <f t="shared" si="40"/>
        <v>1</v>
      </c>
      <c r="N652">
        <f t="shared" si="41"/>
        <v>0</v>
      </c>
      <c r="O652">
        <f t="shared" si="42"/>
        <v>0</v>
      </c>
      <c r="P652">
        <f t="shared" si="43"/>
        <v>1</v>
      </c>
    </row>
    <row r="653" spans="1:16" x14ac:dyDescent="0.3">
      <c r="A653" t="s">
        <v>428</v>
      </c>
      <c r="B653" t="s">
        <v>12</v>
      </c>
      <c r="C653" s="92">
        <v>42029</v>
      </c>
      <c r="D653" s="46">
        <v>1</v>
      </c>
      <c r="E653" s="47">
        <v>11.09</v>
      </c>
      <c r="F653" t="s">
        <v>33</v>
      </c>
      <c r="J653" t="s">
        <v>720</v>
      </c>
      <c r="K653">
        <f>COUNTIF($A$1:A653,A653)</f>
        <v>1</v>
      </c>
      <c r="L653" t="str">
        <f>VLOOKUP(A653,'Cadastro de Produtos'!A:B,2,0)</f>
        <v>Terminal Consulta Preço itautec Quickway Checker Wireless</v>
      </c>
      <c r="M653">
        <f t="shared" si="40"/>
        <v>1</v>
      </c>
      <c r="N653">
        <f t="shared" si="41"/>
        <v>0</v>
      </c>
      <c r="O653">
        <f t="shared" si="42"/>
        <v>0</v>
      </c>
      <c r="P653">
        <f t="shared" si="43"/>
        <v>1</v>
      </c>
    </row>
    <row r="654" spans="1:16" x14ac:dyDescent="0.3">
      <c r="A654" t="s">
        <v>429</v>
      </c>
      <c r="B654" t="s">
        <v>12</v>
      </c>
      <c r="C654" s="92">
        <v>42029</v>
      </c>
      <c r="D654" s="46">
        <v>4</v>
      </c>
      <c r="E654" s="47">
        <v>16.18</v>
      </c>
      <c r="F654" t="s">
        <v>33</v>
      </c>
      <c r="J654" t="s">
        <v>720</v>
      </c>
      <c r="K654">
        <f>COUNTIF($A$1:A654,A654)</f>
        <v>1</v>
      </c>
      <c r="L654" t="str">
        <f>VLOOKUP(A654,'Cadastro de Produtos'!A:B,2,0)</f>
        <v>TOP COVER LCD ASUS f9s</v>
      </c>
      <c r="M654">
        <f t="shared" si="40"/>
        <v>4</v>
      </c>
      <c r="N654">
        <f t="shared" si="41"/>
        <v>0</v>
      </c>
      <c r="O654">
        <f t="shared" si="42"/>
        <v>0</v>
      </c>
      <c r="P654">
        <f t="shared" si="43"/>
        <v>4</v>
      </c>
    </row>
    <row r="655" spans="1:16" x14ac:dyDescent="0.3">
      <c r="A655" t="s">
        <v>430</v>
      </c>
      <c r="B655" t="s">
        <v>12</v>
      </c>
      <c r="C655" s="92">
        <v>42029</v>
      </c>
      <c r="D655" s="46">
        <v>1</v>
      </c>
      <c r="E655" s="47">
        <v>49</v>
      </c>
      <c r="F655" t="s">
        <v>33</v>
      </c>
      <c r="J655" t="s">
        <v>720</v>
      </c>
      <c r="K655">
        <f>COUNTIF($A$1:A655,A655)</f>
        <v>1</v>
      </c>
      <c r="L655" t="str">
        <f>VLOOKUP(A655,'Cadastro de Produtos'!A:B,2,0)</f>
        <v>Touch Pad Asus F9S</v>
      </c>
      <c r="M655">
        <f t="shared" si="40"/>
        <v>1</v>
      </c>
      <c r="N655">
        <f t="shared" si="41"/>
        <v>0</v>
      </c>
      <c r="O655">
        <f t="shared" si="42"/>
        <v>0</v>
      </c>
      <c r="P655">
        <f t="shared" si="43"/>
        <v>1</v>
      </c>
    </row>
    <row r="656" spans="1:16" x14ac:dyDescent="0.3">
      <c r="A656" t="s">
        <v>59</v>
      </c>
      <c r="B656" t="s">
        <v>17</v>
      </c>
      <c r="C656" s="92">
        <v>42213</v>
      </c>
      <c r="D656" s="46">
        <v>1</v>
      </c>
      <c r="E656" s="47">
        <v>0</v>
      </c>
      <c r="F656" t="s">
        <v>398</v>
      </c>
      <c r="K656">
        <f>COUNTIF($A$1:A656,A656)</f>
        <v>2</v>
      </c>
      <c r="L656" t="str">
        <f>VLOOKUP(A656,'Cadastro de Produtos'!A:B,2,0)</f>
        <v>Cabo de força sata</v>
      </c>
      <c r="M656">
        <f t="shared" si="40"/>
        <v>0</v>
      </c>
      <c r="N656">
        <f t="shared" si="41"/>
        <v>1</v>
      </c>
      <c r="O656">
        <f t="shared" si="42"/>
        <v>-1</v>
      </c>
      <c r="P656">
        <f t="shared" si="43"/>
        <v>-1</v>
      </c>
    </row>
    <row r="657" spans="1:16" x14ac:dyDescent="0.3">
      <c r="A657" t="s">
        <v>52</v>
      </c>
      <c r="B657" t="s">
        <v>17</v>
      </c>
      <c r="C657" s="92">
        <v>42213</v>
      </c>
      <c r="D657" s="81">
        <v>2</v>
      </c>
      <c r="E657" s="82">
        <v>0</v>
      </c>
      <c r="F657" t="s">
        <v>398</v>
      </c>
      <c r="J657" t="s">
        <v>34</v>
      </c>
      <c r="K657">
        <f>COUNTIF($A$1:A657,A657)</f>
        <v>2</v>
      </c>
      <c r="L657" t="str">
        <f>VLOOKUP(A657,'Cadastro de Produtos'!A:B,2,0)</f>
        <v>Cooler notebook Asus F9S</v>
      </c>
      <c r="M657">
        <f t="shared" si="40"/>
        <v>0</v>
      </c>
      <c r="N657">
        <f t="shared" si="41"/>
        <v>2</v>
      </c>
      <c r="O657">
        <f t="shared" si="42"/>
        <v>-2</v>
      </c>
      <c r="P657">
        <f t="shared" si="43"/>
        <v>-2</v>
      </c>
    </row>
    <row r="658" spans="1:16" x14ac:dyDescent="0.3">
      <c r="A658" t="s">
        <v>53</v>
      </c>
      <c r="B658" t="s">
        <v>17</v>
      </c>
      <c r="C658" s="92">
        <v>42213</v>
      </c>
      <c r="D658" s="81">
        <v>2</v>
      </c>
      <c r="E658" s="82">
        <v>0</v>
      </c>
      <c r="F658" t="s">
        <v>398</v>
      </c>
      <c r="J658" t="s">
        <v>34</v>
      </c>
      <c r="K658">
        <f>COUNTIF($A$1:A658,A658)</f>
        <v>2</v>
      </c>
      <c r="L658" t="str">
        <f>VLOOKUP(A658,'Cadastro de Produtos'!A:B,2,0)</f>
        <v>Cooler para INTEL Cooler Master Socket 775</v>
      </c>
      <c r="M658">
        <f t="shared" si="40"/>
        <v>0</v>
      </c>
      <c r="N658">
        <f t="shared" si="41"/>
        <v>2</v>
      </c>
      <c r="O658">
        <f t="shared" si="42"/>
        <v>-2</v>
      </c>
      <c r="P658">
        <f t="shared" si="43"/>
        <v>-2</v>
      </c>
    </row>
    <row r="659" spans="1:16" x14ac:dyDescent="0.3">
      <c r="A659" t="s">
        <v>121</v>
      </c>
      <c r="B659" t="s">
        <v>17</v>
      </c>
      <c r="C659" s="92">
        <v>42213</v>
      </c>
      <c r="D659" s="46">
        <v>2</v>
      </c>
      <c r="E659" s="47">
        <v>0</v>
      </c>
      <c r="F659" t="s">
        <v>398</v>
      </c>
      <c r="K659">
        <f>COUNTIF($A$1:A659,A659)</f>
        <v>2</v>
      </c>
      <c r="L659" t="str">
        <f>VLOOKUP(A659,'Cadastro de Produtos'!A:B,2,0)</f>
        <v>Gabinete NZXT Beta Evo Preto</v>
      </c>
      <c r="M659">
        <f t="shared" si="40"/>
        <v>0</v>
      </c>
      <c r="N659">
        <f t="shared" si="41"/>
        <v>2</v>
      </c>
      <c r="O659">
        <f t="shared" si="42"/>
        <v>-2</v>
      </c>
      <c r="P659">
        <f t="shared" si="43"/>
        <v>-2</v>
      </c>
    </row>
    <row r="660" spans="1:16" x14ac:dyDescent="0.3">
      <c r="A660" t="s">
        <v>702</v>
      </c>
      <c r="B660" t="s">
        <v>17</v>
      </c>
      <c r="C660" s="92">
        <v>42212</v>
      </c>
      <c r="D660" s="46">
        <v>1</v>
      </c>
      <c r="E660" s="47">
        <v>0</v>
      </c>
      <c r="F660" t="s">
        <v>398</v>
      </c>
      <c r="K660">
        <f>COUNTIF($A$1:A660,A660)</f>
        <v>1</v>
      </c>
      <c r="L660" t="str">
        <f>VLOOKUP(A660,'Cadastro de Produtos'!A:B,2,0)</f>
        <v>Nobreak APC Mono 600VA</v>
      </c>
      <c r="M660">
        <f t="shared" si="40"/>
        <v>0</v>
      </c>
      <c r="N660">
        <f t="shared" si="41"/>
        <v>1</v>
      </c>
      <c r="O660">
        <f t="shared" si="42"/>
        <v>-1</v>
      </c>
      <c r="P660">
        <f t="shared" si="43"/>
        <v>-1</v>
      </c>
    </row>
    <row r="661" spans="1:16" x14ac:dyDescent="0.3">
      <c r="A661" t="s">
        <v>40</v>
      </c>
      <c r="B661" t="s">
        <v>17</v>
      </c>
      <c r="C661" s="92">
        <v>42212</v>
      </c>
      <c r="D661" s="46">
        <v>1</v>
      </c>
      <c r="E661" s="47">
        <v>0</v>
      </c>
      <c r="F661" t="s">
        <v>398</v>
      </c>
      <c r="I661" t="s">
        <v>703</v>
      </c>
      <c r="J661" t="s">
        <v>703</v>
      </c>
      <c r="K661">
        <f>COUNTIF($A$1:A661,A661)</f>
        <v>2</v>
      </c>
      <c r="L661" t="str">
        <f>VLOOKUP(A661,'Cadastro de Produtos'!A:B,2,0)</f>
        <v>Adaptador Wireless ENCORE ENLWI-NX2 PCI 300MBPS 802.11n</v>
      </c>
      <c r="M661">
        <f t="shared" si="40"/>
        <v>0</v>
      </c>
      <c r="N661">
        <f t="shared" si="41"/>
        <v>1</v>
      </c>
      <c r="O661">
        <f t="shared" si="42"/>
        <v>-1</v>
      </c>
      <c r="P661">
        <f t="shared" si="43"/>
        <v>-1</v>
      </c>
    </row>
    <row r="662" spans="1:16" x14ac:dyDescent="0.3">
      <c r="A662" t="s">
        <v>50</v>
      </c>
      <c r="B662" t="s">
        <v>17</v>
      </c>
      <c r="C662" s="92">
        <v>42212</v>
      </c>
      <c r="D662" s="46">
        <v>12</v>
      </c>
      <c r="E662" s="47">
        <v>0</v>
      </c>
      <c r="F662" t="s">
        <v>398</v>
      </c>
      <c r="K662">
        <f>COUNTIF($A$1:A662,A662)</f>
        <v>2</v>
      </c>
      <c r="L662" t="str">
        <f>VLOOKUP(A662,'Cadastro de Produtos'!A:B,2,0)</f>
        <v>Conector RJ45 Furucawa</v>
      </c>
      <c r="M662">
        <f t="shared" si="40"/>
        <v>0</v>
      </c>
      <c r="N662">
        <f t="shared" si="41"/>
        <v>12</v>
      </c>
      <c r="O662">
        <f t="shared" si="42"/>
        <v>-12</v>
      </c>
      <c r="P662">
        <f t="shared" si="43"/>
        <v>-12</v>
      </c>
    </row>
    <row r="663" spans="1:16" x14ac:dyDescent="0.3">
      <c r="A663" t="s">
        <v>50</v>
      </c>
      <c r="B663" t="s">
        <v>17</v>
      </c>
      <c r="C663" s="92">
        <v>42212</v>
      </c>
      <c r="D663" s="46">
        <v>12</v>
      </c>
      <c r="E663" s="47">
        <v>0</v>
      </c>
      <c r="F663" t="s">
        <v>398</v>
      </c>
      <c r="K663">
        <f>COUNTIF($A$1:A663,A663)</f>
        <v>3</v>
      </c>
      <c r="L663" t="str">
        <f>VLOOKUP(A663,'Cadastro de Produtos'!A:B,2,0)</f>
        <v>Conector RJ45 Furucawa</v>
      </c>
      <c r="M663">
        <f t="shared" si="40"/>
        <v>0</v>
      </c>
      <c r="N663">
        <f t="shared" si="41"/>
        <v>12</v>
      </c>
      <c r="O663">
        <f t="shared" si="42"/>
        <v>-12</v>
      </c>
      <c r="P663">
        <f t="shared" si="43"/>
        <v>-12</v>
      </c>
    </row>
    <row r="664" spans="1:16" x14ac:dyDescent="0.3">
      <c r="A664" t="s">
        <v>701</v>
      </c>
      <c r="B664" t="s">
        <v>12</v>
      </c>
      <c r="C664" s="92">
        <v>42208</v>
      </c>
      <c r="D664" s="46">
        <v>8</v>
      </c>
      <c r="E664" s="47">
        <v>16.989999999999998</v>
      </c>
      <c r="F664" t="s">
        <v>22</v>
      </c>
      <c r="K664">
        <f>COUNTIF($A$1:A664,A664)</f>
        <v>1</v>
      </c>
      <c r="L664" t="str">
        <f>VLOOKUP(A664,'Cadastro de Produtos'!A:B,2,0)</f>
        <v>Nobreak APC Mono 350VA</v>
      </c>
      <c r="M664">
        <f t="shared" si="40"/>
        <v>8</v>
      </c>
      <c r="N664">
        <f t="shared" si="41"/>
        <v>0</v>
      </c>
      <c r="O664">
        <f t="shared" si="42"/>
        <v>0</v>
      </c>
      <c r="P664">
        <f t="shared" si="43"/>
        <v>8</v>
      </c>
    </row>
    <row r="665" spans="1:16" x14ac:dyDescent="0.3">
      <c r="A665" t="s">
        <v>79</v>
      </c>
      <c r="B665" t="s">
        <v>17</v>
      </c>
      <c r="C665" s="92">
        <v>42208</v>
      </c>
      <c r="D665" s="46">
        <v>1</v>
      </c>
      <c r="E665" s="47">
        <v>0</v>
      </c>
      <c r="F665" t="s">
        <v>398</v>
      </c>
      <c r="I665" t="s">
        <v>700</v>
      </c>
      <c r="J665" t="s">
        <v>700</v>
      </c>
      <c r="K665">
        <f>COUNTIF($A$1:A665,A665)</f>
        <v>2</v>
      </c>
      <c r="L665" t="str">
        <f>VLOOKUP(A665,'Cadastro de Produtos'!A:B,2,0)</f>
        <v>Battery Cr2032 notebook ASUS F9S</v>
      </c>
      <c r="M665">
        <f t="shared" si="40"/>
        <v>0</v>
      </c>
      <c r="N665">
        <f t="shared" si="41"/>
        <v>1</v>
      </c>
      <c r="O665">
        <f t="shared" si="42"/>
        <v>-1</v>
      </c>
      <c r="P665">
        <f t="shared" si="43"/>
        <v>-1</v>
      </c>
    </row>
    <row r="666" spans="1:16" x14ac:dyDescent="0.3">
      <c r="A666" t="s">
        <v>55</v>
      </c>
      <c r="B666" t="s">
        <v>12</v>
      </c>
      <c r="C666" s="92">
        <v>42208</v>
      </c>
      <c r="D666" s="81">
        <v>5</v>
      </c>
      <c r="E666" s="82">
        <v>1.8</v>
      </c>
      <c r="F666" t="s">
        <v>22</v>
      </c>
      <c r="J666" t="s">
        <v>34</v>
      </c>
      <c r="K666">
        <f>COUNTIF($A$1:A666,A666)</f>
        <v>4</v>
      </c>
      <c r="L666" t="str">
        <f>VLOOKUP(A666,'Cadastro de Produtos'!A:B,2,0)</f>
        <v>Estabilizador BIVOLT 115V/220V - 300VA - preto</v>
      </c>
      <c r="M666">
        <f t="shared" si="40"/>
        <v>5</v>
      </c>
      <c r="N666">
        <f t="shared" si="41"/>
        <v>0</v>
      </c>
      <c r="O666">
        <f t="shared" si="42"/>
        <v>0</v>
      </c>
      <c r="P666">
        <f t="shared" si="43"/>
        <v>5</v>
      </c>
    </row>
    <row r="667" spans="1:16" x14ac:dyDescent="0.3">
      <c r="A667" t="s">
        <v>46</v>
      </c>
      <c r="B667" t="s">
        <v>17</v>
      </c>
      <c r="C667" s="92">
        <v>42207</v>
      </c>
      <c r="D667" s="46">
        <v>6</v>
      </c>
      <c r="E667" s="47">
        <v>0</v>
      </c>
      <c r="F667" t="s">
        <v>398</v>
      </c>
      <c r="K667">
        <f>COUNTIF($A$1:A667,A667)</f>
        <v>2</v>
      </c>
      <c r="L667" t="str">
        <f>VLOOKUP(A667,'Cadastro de Produtos'!A:B,2,0)</f>
        <v>Computador Core i5 650 3.20GHz, HD 500GB, 4GB Dual Channel, DVD, 250W</v>
      </c>
      <c r="M667">
        <f t="shared" si="40"/>
        <v>0</v>
      </c>
      <c r="N667">
        <f t="shared" si="41"/>
        <v>6</v>
      </c>
      <c r="O667">
        <f t="shared" si="42"/>
        <v>-6</v>
      </c>
      <c r="P667">
        <f t="shared" si="43"/>
        <v>-6</v>
      </c>
    </row>
    <row r="668" spans="1:16" x14ac:dyDescent="0.3">
      <c r="A668" t="s">
        <v>485</v>
      </c>
      <c r="B668" t="s">
        <v>17</v>
      </c>
      <c r="C668" s="92">
        <v>42206</v>
      </c>
      <c r="D668" s="46">
        <v>1</v>
      </c>
      <c r="E668" s="47">
        <v>0</v>
      </c>
      <c r="F668" t="s">
        <v>398</v>
      </c>
      <c r="I668" t="s">
        <v>480</v>
      </c>
      <c r="J668" t="s">
        <v>480</v>
      </c>
      <c r="K668">
        <f>COUNTIF($A$1:A668,A668)</f>
        <v>3</v>
      </c>
      <c r="L668" t="str">
        <f>VLOOKUP(A668,'Cadastro de Produtos'!A:B,2,0)</f>
        <v>Adaptador Wireless ENCORE ENLWI-NX2 PCI 300MBPS 802.11n</v>
      </c>
      <c r="M668">
        <f t="shared" si="40"/>
        <v>0</v>
      </c>
      <c r="N668">
        <f t="shared" si="41"/>
        <v>1</v>
      </c>
      <c r="O668">
        <f t="shared" si="42"/>
        <v>-1</v>
      </c>
      <c r="P668">
        <f t="shared" si="43"/>
        <v>-1</v>
      </c>
    </row>
    <row r="669" spans="1:16" x14ac:dyDescent="0.3">
      <c r="A669" t="s">
        <v>483</v>
      </c>
      <c r="B669" t="s">
        <v>17</v>
      </c>
      <c r="C669" s="92">
        <v>42206</v>
      </c>
      <c r="D669" s="46">
        <v>2</v>
      </c>
      <c r="E669" s="47">
        <v>0</v>
      </c>
      <c r="F669" t="s">
        <v>398</v>
      </c>
      <c r="I669" t="s">
        <v>480</v>
      </c>
      <c r="J669" t="s">
        <v>480</v>
      </c>
      <c r="K669">
        <f>COUNTIF($A$1:A669,A669)</f>
        <v>3</v>
      </c>
      <c r="L669" t="str">
        <f>VLOOKUP(A669,'Cadastro de Produtos'!A:B,2,0)</f>
        <v>Cabo de força sata</v>
      </c>
      <c r="M669">
        <f t="shared" si="40"/>
        <v>0</v>
      </c>
      <c r="N669">
        <f t="shared" si="41"/>
        <v>2</v>
      </c>
      <c r="O669">
        <f t="shared" si="42"/>
        <v>-2</v>
      </c>
      <c r="P669">
        <f t="shared" si="43"/>
        <v>-2</v>
      </c>
    </row>
    <row r="670" spans="1:16" x14ac:dyDescent="0.3">
      <c r="A670" t="s">
        <v>484</v>
      </c>
      <c r="B670" t="s">
        <v>17</v>
      </c>
      <c r="C670" s="92">
        <v>42206</v>
      </c>
      <c r="D670" s="46">
        <v>2</v>
      </c>
      <c r="E670" s="47">
        <v>0</v>
      </c>
      <c r="F670" t="s">
        <v>398</v>
      </c>
      <c r="I670" t="s">
        <v>480</v>
      </c>
      <c r="J670" t="s">
        <v>480</v>
      </c>
      <c r="K670">
        <f>COUNTIF($A$1:A670,A670)</f>
        <v>2</v>
      </c>
      <c r="L670" t="str">
        <f>VLOOKUP(A670,'Cadastro de Produtos'!A:B,2,0)</f>
        <v>Carenagem touchpad ASus F9S</v>
      </c>
      <c r="M670">
        <f t="shared" si="40"/>
        <v>0</v>
      </c>
      <c r="N670">
        <f t="shared" si="41"/>
        <v>2</v>
      </c>
      <c r="O670">
        <f t="shared" si="42"/>
        <v>-2</v>
      </c>
      <c r="P670">
        <f t="shared" si="43"/>
        <v>-2</v>
      </c>
    </row>
    <row r="671" spans="1:16" x14ac:dyDescent="0.3">
      <c r="A671" t="s">
        <v>479</v>
      </c>
      <c r="B671" t="s">
        <v>17</v>
      </c>
      <c r="C671" s="92">
        <v>42206</v>
      </c>
      <c r="D671" s="46">
        <v>2</v>
      </c>
      <c r="E671" s="47">
        <v>0</v>
      </c>
      <c r="F671" t="s">
        <v>398</v>
      </c>
      <c r="I671" t="s">
        <v>480</v>
      </c>
      <c r="J671" t="s">
        <v>480</v>
      </c>
      <c r="K671">
        <f>COUNTIF($A$1:A671,A671)</f>
        <v>4</v>
      </c>
      <c r="L671" t="str">
        <f>VLOOKUP(A671,'Cadastro de Produtos'!A:B,2,0)</f>
        <v>Conector RJ45 Furucawa</v>
      </c>
      <c r="M671">
        <f t="shared" si="40"/>
        <v>0</v>
      </c>
      <c r="N671">
        <f t="shared" si="41"/>
        <v>2</v>
      </c>
      <c r="O671">
        <f t="shared" si="42"/>
        <v>-2</v>
      </c>
      <c r="P671">
        <f t="shared" si="43"/>
        <v>-2</v>
      </c>
    </row>
    <row r="672" spans="1:16" x14ac:dyDescent="0.3">
      <c r="A672" t="s">
        <v>50</v>
      </c>
      <c r="B672" t="s">
        <v>17</v>
      </c>
      <c r="C672" s="92">
        <v>42206</v>
      </c>
      <c r="D672" s="46">
        <v>24</v>
      </c>
      <c r="E672" s="47">
        <v>0</v>
      </c>
      <c r="F672" t="s">
        <v>398</v>
      </c>
      <c r="K672">
        <f>COUNTIF($A$1:A672,A672)</f>
        <v>5</v>
      </c>
      <c r="L672" t="str">
        <f>VLOOKUP(A672,'Cadastro de Produtos'!A:B,2,0)</f>
        <v>Conector RJ45 Furucawa</v>
      </c>
      <c r="M672">
        <f t="shared" si="40"/>
        <v>0</v>
      </c>
      <c r="N672">
        <f t="shared" si="41"/>
        <v>24</v>
      </c>
      <c r="O672">
        <f t="shared" si="42"/>
        <v>-24</v>
      </c>
      <c r="P672">
        <f t="shared" si="43"/>
        <v>-24</v>
      </c>
    </row>
    <row r="673" spans="1:16" x14ac:dyDescent="0.3">
      <c r="A673" t="s">
        <v>481</v>
      </c>
      <c r="B673" t="s">
        <v>17</v>
      </c>
      <c r="C673" s="92">
        <v>42206</v>
      </c>
      <c r="D673" s="46">
        <v>1</v>
      </c>
      <c r="E673" s="47">
        <v>0</v>
      </c>
      <c r="F673" t="s">
        <v>398</v>
      </c>
      <c r="I673" t="s">
        <v>480</v>
      </c>
      <c r="J673" t="s">
        <v>480</v>
      </c>
      <c r="K673">
        <f>COUNTIF($A$1:A673,A673)</f>
        <v>3</v>
      </c>
      <c r="L673" t="str">
        <f>VLOOKUP(A673,'Cadastro de Produtos'!A:B,2,0)</f>
        <v>Cooler notebook Asus F9S</v>
      </c>
      <c r="M673">
        <f t="shared" si="40"/>
        <v>0</v>
      </c>
      <c r="N673">
        <f t="shared" si="41"/>
        <v>1</v>
      </c>
      <c r="O673">
        <f t="shared" si="42"/>
        <v>-1</v>
      </c>
      <c r="P673">
        <f t="shared" si="43"/>
        <v>-1</v>
      </c>
    </row>
    <row r="674" spans="1:16" x14ac:dyDescent="0.3">
      <c r="A674" t="s">
        <v>482</v>
      </c>
      <c r="B674" t="s">
        <v>17</v>
      </c>
      <c r="C674" s="92">
        <v>42206</v>
      </c>
      <c r="D674" s="46">
        <v>2</v>
      </c>
      <c r="E674" s="47">
        <v>0</v>
      </c>
      <c r="F674" t="s">
        <v>398</v>
      </c>
      <c r="I674" t="s">
        <v>480</v>
      </c>
      <c r="J674" t="s">
        <v>480</v>
      </c>
      <c r="K674">
        <f>COUNTIF($A$1:A674,A674)</f>
        <v>3</v>
      </c>
      <c r="L674" t="str">
        <f>VLOOKUP(A674,'Cadastro de Produtos'!A:B,2,0)</f>
        <v>Cooler para INTEL Cooler Master Socket 775</v>
      </c>
      <c r="M674">
        <f t="shared" si="40"/>
        <v>0</v>
      </c>
      <c r="N674">
        <f t="shared" si="41"/>
        <v>2</v>
      </c>
      <c r="O674">
        <f t="shared" si="42"/>
        <v>-2</v>
      </c>
      <c r="P674">
        <f t="shared" si="43"/>
        <v>-2</v>
      </c>
    </row>
    <row r="675" spans="1:16" x14ac:dyDescent="0.3">
      <c r="A675" t="s">
        <v>424</v>
      </c>
      <c r="B675" t="s">
        <v>17</v>
      </c>
      <c r="C675" s="92">
        <v>42206</v>
      </c>
      <c r="D675" s="46">
        <v>2</v>
      </c>
      <c r="E675" s="47">
        <v>0</v>
      </c>
      <c r="F675" t="s">
        <v>398</v>
      </c>
      <c r="K675">
        <f>COUNTIF($A$1:A675,A675)</f>
        <v>2</v>
      </c>
      <c r="L675" t="str">
        <f>VLOOKUP(A675,'Cadastro de Produtos'!A:B,2,0)</f>
        <v>Tela Notebook LCD 15.4"WXGA LTN154W1-L01</v>
      </c>
      <c r="M675">
        <f t="shared" si="40"/>
        <v>0</v>
      </c>
      <c r="N675">
        <f t="shared" si="41"/>
        <v>2</v>
      </c>
      <c r="O675">
        <f t="shared" si="42"/>
        <v>-2</v>
      </c>
      <c r="P675">
        <f t="shared" si="43"/>
        <v>-2</v>
      </c>
    </row>
    <row r="676" spans="1:16" x14ac:dyDescent="0.3">
      <c r="A676" t="s">
        <v>478</v>
      </c>
      <c r="B676" t="s">
        <v>12</v>
      </c>
      <c r="C676" s="92">
        <v>42205</v>
      </c>
      <c r="D676" s="46">
        <v>5</v>
      </c>
      <c r="E676" s="47">
        <v>70</v>
      </c>
      <c r="F676" t="s">
        <v>22</v>
      </c>
      <c r="G676">
        <v>0</v>
      </c>
      <c r="H676">
        <v>999</v>
      </c>
      <c r="J676" t="s">
        <v>722</v>
      </c>
      <c r="K676">
        <f>COUNTIF($A$1:A676,A676)</f>
        <v>1</v>
      </c>
      <c r="L676" t="str">
        <f>VLOOKUP(A676,'Cadastro de Produtos'!A:B,2,0)</f>
        <v>Computador Core 2 Duo E7500 2.93GHz, HD 500GB, 2GB 800, DVD-RW, 250W</v>
      </c>
      <c r="M676">
        <f t="shared" si="40"/>
        <v>5</v>
      </c>
      <c r="N676">
        <f t="shared" si="41"/>
        <v>0</v>
      </c>
      <c r="O676">
        <f t="shared" si="42"/>
        <v>0</v>
      </c>
      <c r="P676">
        <f t="shared" si="43"/>
        <v>5</v>
      </c>
    </row>
    <row r="677" spans="1:16" x14ac:dyDescent="0.3">
      <c r="A677" t="s">
        <v>478</v>
      </c>
      <c r="B677" t="s">
        <v>17</v>
      </c>
      <c r="C677" s="92">
        <v>42205</v>
      </c>
      <c r="D677" s="46">
        <v>5</v>
      </c>
      <c r="E677" s="47">
        <v>0</v>
      </c>
      <c r="F677" t="s">
        <v>398</v>
      </c>
      <c r="K677">
        <f>COUNTIF($A$1:A677,A677)</f>
        <v>2</v>
      </c>
      <c r="L677" t="str">
        <f>VLOOKUP(A677,'Cadastro de Produtos'!A:B,2,0)</f>
        <v>Computador Core 2 Duo E7500 2.93GHz, HD 500GB, 2GB 800, DVD-RW, 250W</v>
      </c>
      <c r="M677">
        <f t="shared" si="40"/>
        <v>0</v>
      </c>
      <c r="N677">
        <f t="shared" si="41"/>
        <v>5</v>
      </c>
      <c r="O677">
        <f t="shared" si="42"/>
        <v>-5</v>
      </c>
      <c r="P677">
        <f t="shared" si="43"/>
        <v>-5</v>
      </c>
    </row>
    <row r="678" spans="1:16" x14ac:dyDescent="0.3">
      <c r="A678" t="s">
        <v>544</v>
      </c>
      <c r="B678" t="s">
        <v>17</v>
      </c>
      <c r="C678" s="92">
        <v>42205</v>
      </c>
      <c r="D678" s="46">
        <v>4</v>
      </c>
      <c r="E678" s="47">
        <v>0</v>
      </c>
      <c r="F678" t="s">
        <v>398</v>
      </c>
      <c r="K678">
        <f>COUNTIF($A$1:A678,A678)</f>
        <v>2</v>
      </c>
      <c r="L678" t="str">
        <f>VLOOKUP(A678,'Cadastro de Produtos'!A:B,2,0)</f>
        <v>Gabinete NZXT Beta Evo Preto</v>
      </c>
      <c r="M678">
        <f t="shared" si="40"/>
        <v>0</v>
      </c>
      <c r="N678">
        <f t="shared" si="41"/>
        <v>4</v>
      </c>
      <c r="O678">
        <f t="shared" si="42"/>
        <v>-4</v>
      </c>
      <c r="P678">
        <f t="shared" si="43"/>
        <v>-4</v>
      </c>
    </row>
    <row r="679" spans="1:16" x14ac:dyDescent="0.3">
      <c r="A679" t="s">
        <v>48</v>
      </c>
      <c r="B679" t="s">
        <v>17</v>
      </c>
      <c r="C679" s="92">
        <v>42205</v>
      </c>
      <c r="D679" s="46">
        <v>5</v>
      </c>
      <c r="E679" s="47">
        <v>0</v>
      </c>
      <c r="F679" t="s">
        <v>398</v>
      </c>
      <c r="K679">
        <f>COUNTIF($A$1:A679,A679)</f>
        <v>2</v>
      </c>
      <c r="L679" t="str">
        <f>VLOOKUP(A679,'Cadastro de Produtos'!A:B,2,0)</f>
        <v>Computador Mini Atom 330 DUAL CORE, HD 250GB, 2GB, DVD, LCD 15.6</v>
      </c>
      <c r="M679">
        <f t="shared" si="40"/>
        <v>0</v>
      </c>
      <c r="N679">
        <f t="shared" si="41"/>
        <v>5</v>
      </c>
      <c r="O679">
        <f t="shared" si="42"/>
        <v>-5</v>
      </c>
      <c r="P679">
        <f t="shared" si="43"/>
        <v>-5</v>
      </c>
    </row>
    <row r="680" spans="1:16" x14ac:dyDescent="0.3">
      <c r="A680" t="s">
        <v>50</v>
      </c>
      <c r="B680" t="s">
        <v>17</v>
      </c>
      <c r="C680" s="92">
        <v>42205</v>
      </c>
      <c r="D680" s="46">
        <v>12</v>
      </c>
      <c r="E680" s="47">
        <v>0</v>
      </c>
      <c r="F680" t="s">
        <v>398</v>
      </c>
      <c r="K680">
        <f>COUNTIF($A$1:A680,A680)</f>
        <v>6</v>
      </c>
      <c r="L680" t="str">
        <f>VLOOKUP(A680,'Cadastro de Produtos'!A:B,2,0)</f>
        <v>Conector RJ45 Furucawa</v>
      </c>
      <c r="M680">
        <f t="shared" si="40"/>
        <v>0</v>
      </c>
      <c r="N680">
        <f t="shared" si="41"/>
        <v>12</v>
      </c>
      <c r="O680">
        <f t="shared" si="42"/>
        <v>-12</v>
      </c>
      <c r="P680">
        <f t="shared" si="43"/>
        <v>-12</v>
      </c>
    </row>
    <row r="681" spans="1:16" x14ac:dyDescent="0.3">
      <c r="A681" t="s">
        <v>52</v>
      </c>
      <c r="B681" t="s">
        <v>17</v>
      </c>
      <c r="C681" s="92">
        <v>42205</v>
      </c>
      <c r="D681" s="46">
        <v>10</v>
      </c>
      <c r="E681" s="47">
        <v>0</v>
      </c>
      <c r="F681" t="s">
        <v>398</v>
      </c>
      <c r="K681">
        <f>COUNTIF($A$1:A681,A681)</f>
        <v>4</v>
      </c>
      <c r="L681" t="str">
        <f>VLOOKUP(A681,'Cadastro de Produtos'!A:B,2,0)</f>
        <v>Cooler notebook Asus F9S</v>
      </c>
      <c r="M681">
        <f t="shared" si="40"/>
        <v>0</v>
      </c>
      <c r="N681">
        <f t="shared" si="41"/>
        <v>10</v>
      </c>
      <c r="O681">
        <f t="shared" si="42"/>
        <v>-10</v>
      </c>
      <c r="P681">
        <f t="shared" si="43"/>
        <v>-10</v>
      </c>
    </row>
    <row r="682" spans="1:16" x14ac:dyDescent="0.3">
      <c r="A682" t="s">
        <v>53</v>
      </c>
      <c r="B682" t="s">
        <v>17</v>
      </c>
      <c r="C682" s="92">
        <v>42205</v>
      </c>
      <c r="D682" s="46">
        <v>20</v>
      </c>
      <c r="E682" s="47">
        <v>0</v>
      </c>
      <c r="F682" t="s">
        <v>398</v>
      </c>
      <c r="K682">
        <f>COUNTIF($A$1:A682,A682)</f>
        <v>4</v>
      </c>
      <c r="L682" t="str">
        <f>VLOOKUP(A682,'Cadastro de Produtos'!A:B,2,0)</f>
        <v>Cooler para INTEL Cooler Master Socket 775</v>
      </c>
      <c r="M682">
        <f t="shared" si="40"/>
        <v>0</v>
      </c>
      <c r="N682">
        <f t="shared" si="41"/>
        <v>20</v>
      </c>
      <c r="O682">
        <f t="shared" si="42"/>
        <v>-20</v>
      </c>
      <c r="P682">
        <f t="shared" si="43"/>
        <v>-20</v>
      </c>
    </row>
    <row r="683" spans="1:16" x14ac:dyDescent="0.3">
      <c r="A683" t="s">
        <v>55</v>
      </c>
      <c r="B683" t="s">
        <v>17</v>
      </c>
      <c r="C683" s="92">
        <v>42205</v>
      </c>
      <c r="D683" s="46">
        <v>20</v>
      </c>
      <c r="E683" s="47">
        <v>0</v>
      </c>
      <c r="F683" t="s">
        <v>398</v>
      </c>
      <c r="K683">
        <f>COUNTIF($A$1:A683,A683)</f>
        <v>5</v>
      </c>
      <c r="L683" t="str">
        <f>VLOOKUP(A683,'Cadastro de Produtos'!A:B,2,0)</f>
        <v>Estabilizador BIVOLT 115V/220V - 300VA - preto</v>
      </c>
      <c r="M683">
        <f t="shared" si="40"/>
        <v>0</v>
      </c>
      <c r="N683">
        <f t="shared" si="41"/>
        <v>20</v>
      </c>
      <c r="O683">
        <f t="shared" si="42"/>
        <v>-20</v>
      </c>
      <c r="P683">
        <f t="shared" si="43"/>
        <v>-20</v>
      </c>
    </row>
    <row r="684" spans="1:16" x14ac:dyDescent="0.3">
      <c r="A684" t="s">
        <v>412</v>
      </c>
      <c r="B684" t="s">
        <v>17</v>
      </c>
      <c r="C684" s="92">
        <v>42205</v>
      </c>
      <c r="D684" s="46">
        <v>2</v>
      </c>
      <c r="E684" s="47">
        <v>0</v>
      </c>
      <c r="F684" t="s">
        <v>398</v>
      </c>
      <c r="K684">
        <f>COUNTIF($A$1:A684,A684)</f>
        <v>2</v>
      </c>
      <c r="L684" t="str">
        <f>VLOOKUP(A684,'Cadastro de Produtos'!A:B,2,0)</f>
        <v>Teclado para Notebook H4409 KFRMB2 A185 PORT</v>
      </c>
      <c r="M684">
        <f t="shared" si="40"/>
        <v>0</v>
      </c>
      <c r="N684">
        <f t="shared" si="41"/>
        <v>2</v>
      </c>
      <c r="O684">
        <f t="shared" si="42"/>
        <v>-2</v>
      </c>
      <c r="P684">
        <f t="shared" si="43"/>
        <v>-2</v>
      </c>
    </row>
    <row r="685" spans="1:16" x14ac:dyDescent="0.3">
      <c r="A685" t="s">
        <v>55</v>
      </c>
      <c r="B685" t="s">
        <v>17</v>
      </c>
      <c r="C685" s="92">
        <v>42202</v>
      </c>
      <c r="D685" s="46">
        <v>30</v>
      </c>
      <c r="E685" s="47">
        <v>0</v>
      </c>
      <c r="F685" t="s">
        <v>398</v>
      </c>
      <c r="K685">
        <f>COUNTIF($A$1:A685,A685)</f>
        <v>6</v>
      </c>
      <c r="L685" t="str">
        <f>VLOOKUP(A685,'Cadastro de Produtos'!A:B,2,0)</f>
        <v>Estabilizador BIVOLT 115V/220V - 300VA - preto</v>
      </c>
      <c r="M685">
        <f t="shared" si="40"/>
        <v>0</v>
      </c>
      <c r="N685">
        <f t="shared" si="41"/>
        <v>30</v>
      </c>
      <c r="O685">
        <f t="shared" si="42"/>
        <v>-30</v>
      </c>
      <c r="P685">
        <f t="shared" si="43"/>
        <v>-30</v>
      </c>
    </row>
    <row r="686" spans="1:16" x14ac:dyDescent="0.3">
      <c r="A686" t="s">
        <v>564</v>
      </c>
      <c r="B686" t="s">
        <v>17</v>
      </c>
      <c r="C686" s="92">
        <v>42200</v>
      </c>
      <c r="D686" s="46">
        <v>3</v>
      </c>
      <c r="E686" s="47">
        <v>0</v>
      </c>
      <c r="F686" t="s">
        <v>398</v>
      </c>
      <c r="J686" t="s">
        <v>721</v>
      </c>
      <c r="K686">
        <f>COUNTIF($A$1:A686,A686)</f>
        <v>2</v>
      </c>
      <c r="L686" t="str">
        <f>VLOOKUP(A686,'Cadastro de Produtos'!A:B,2,0)</f>
        <v>Gravador DVD-RW SONY SATA (Preto/OEM)</v>
      </c>
      <c r="M686">
        <f t="shared" si="40"/>
        <v>0</v>
      </c>
      <c r="N686">
        <f t="shared" si="41"/>
        <v>3</v>
      </c>
      <c r="O686">
        <f t="shared" si="42"/>
        <v>-3</v>
      </c>
      <c r="P686">
        <f t="shared" si="43"/>
        <v>-3</v>
      </c>
    </row>
    <row r="687" spans="1:16" x14ac:dyDescent="0.3">
      <c r="A687" t="s">
        <v>85</v>
      </c>
      <c r="B687" t="s">
        <v>17</v>
      </c>
      <c r="C687" s="92">
        <v>42200</v>
      </c>
      <c r="D687" s="46">
        <v>1</v>
      </c>
      <c r="E687" s="47">
        <v>0</v>
      </c>
      <c r="F687" t="s">
        <v>398</v>
      </c>
      <c r="K687">
        <f>COUNTIF($A$1:A687,A687)</f>
        <v>2</v>
      </c>
      <c r="L687" t="str">
        <f>VLOOKUP(A687,'Cadastro de Produtos'!A:B,2,0)</f>
        <v>Fonte Casemall POWEREX 600W REAL</v>
      </c>
      <c r="M687">
        <f t="shared" si="40"/>
        <v>0</v>
      </c>
      <c r="N687">
        <f t="shared" si="41"/>
        <v>1</v>
      </c>
      <c r="O687">
        <f t="shared" si="42"/>
        <v>-1</v>
      </c>
      <c r="P687">
        <f t="shared" si="43"/>
        <v>-1</v>
      </c>
    </row>
    <row r="688" spans="1:16" x14ac:dyDescent="0.3">
      <c r="A688" t="s">
        <v>89</v>
      </c>
      <c r="B688" t="s">
        <v>17</v>
      </c>
      <c r="C688" s="92">
        <v>42200</v>
      </c>
      <c r="D688" s="46">
        <v>1</v>
      </c>
      <c r="E688" s="47">
        <v>0</v>
      </c>
      <c r="F688" t="s">
        <v>398</v>
      </c>
      <c r="K688">
        <f>COUNTIF($A$1:A688,A688)</f>
        <v>2</v>
      </c>
      <c r="L688" t="str">
        <f>VLOOKUP(A688,'Cadastro de Produtos'!A:B,2,0)</f>
        <v>Fonte notebook AC Adapter LITEON PA-1900-04</v>
      </c>
      <c r="M688">
        <f t="shared" si="40"/>
        <v>0</v>
      </c>
      <c r="N688">
        <f t="shared" si="41"/>
        <v>1</v>
      </c>
      <c r="O688">
        <f t="shared" si="42"/>
        <v>-1</v>
      </c>
      <c r="P688">
        <f t="shared" si="43"/>
        <v>-1</v>
      </c>
    </row>
    <row r="689" spans="1:16" x14ac:dyDescent="0.3">
      <c r="A689" t="s">
        <v>95</v>
      </c>
      <c r="B689" t="s">
        <v>17</v>
      </c>
      <c r="C689" s="92">
        <v>42200</v>
      </c>
      <c r="D689" s="46">
        <v>1</v>
      </c>
      <c r="E689" s="47">
        <v>0</v>
      </c>
      <c r="F689" t="s">
        <v>398</v>
      </c>
      <c r="K689">
        <f>COUNTIF($A$1:A689,A689)</f>
        <v>2</v>
      </c>
      <c r="L689" t="str">
        <f>VLOOKUP(A689,'Cadastro de Produtos'!A:B,2,0)</f>
        <v>Fonte para Notebook AC Adapter PA-9 PA-1900-05D 20V PN 6G356</v>
      </c>
      <c r="M689">
        <f t="shared" si="40"/>
        <v>0</v>
      </c>
      <c r="N689">
        <f t="shared" si="41"/>
        <v>1</v>
      </c>
      <c r="O689">
        <f t="shared" si="42"/>
        <v>-1</v>
      </c>
      <c r="P689">
        <f t="shared" si="43"/>
        <v>-1</v>
      </c>
    </row>
    <row r="690" spans="1:16" x14ac:dyDescent="0.3">
      <c r="A690" t="s">
        <v>98</v>
      </c>
      <c r="B690" t="s">
        <v>17</v>
      </c>
      <c r="C690" s="92">
        <v>42200</v>
      </c>
      <c r="D690" s="46">
        <v>1</v>
      </c>
      <c r="E690" s="47">
        <v>0</v>
      </c>
      <c r="F690" t="s">
        <v>398</v>
      </c>
      <c r="K690">
        <f>COUNTIF($A$1:A690,A690)</f>
        <v>2</v>
      </c>
      <c r="L690" t="str">
        <f>VLOOKUP(A690,'Cadastro de Produtos'!A:B,2,0)</f>
        <v>Fonte SEVENTEAM 500W REAL ST-500BAZ V2.2 BLACK</v>
      </c>
      <c r="M690">
        <f t="shared" si="40"/>
        <v>0</v>
      </c>
      <c r="N690">
        <f t="shared" si="41"/>
        <v>1</v>
      </c>
      <c r="O690">
        <f t="shared" si="42"/>
        <v>-1</v>
      </c>
      <c r="P690">
        <f t="shared" si="43"/>
        <v>-1</v>
      </c>
    </row>
    <row r="691" spans="1:16" x14ac:dyDescent="0.3">
      <c r="A691" t="s">
        <v>99</v>
      </c>
      <c r="B691" t="s">
        <v>17</v>
      </c>
      <c r="C691" s="92">
        <v>42200</v>
      </c>
      <c r="D691" s="46">
        <v>1</v>
      </c>
      <c r="E691" s="47">
        <v>0</v>
      </c>
      <c r="F691" t="s">
        <v>398</v>
      </c>
      <c r="K691">
        <f>COUNTIF($A$1:A691,A691)</f>
        <v>3</v>
      </c>
      <c r="L691" t="str">
        <f>VLOOKUP(A691,'Cadastro de Produtos'!A:B,2,0)</f>
        <v>Fonte SEVENTEAM 750W REAL V-FORCE ST-750Z-AF V2.3</v>
      </c>
      <c r="M691">
        <f t="shared" si="40"/>
        <v>0</v>
      </c>
      <c r="N691">
        <f t="shared" si="41"/>
        <v>1</v>
      </c>
      <c r="O691">
        <f t="shared" si="42"/>
        <v>-1</v>
      </c>
      <c r="P691">
        <f t="shared" si="43"/>
        <v>-1</v>
      </c>
    </row>
    <row r="692" spans="1:16" x14ac:dyDescent="0.3">
      <c r="A692" t="s">
        <v>702</v>
      </c>
      <c r="B692" t="s">
        <v>12</v>
      </c>
      <c r="C692" s="92">
        <v>42083</v>
      </c>
      <c r="D692" s="46">
        <v>4</v>
      </c>
      <c r="E692" s="47">
        <v>417.6</v>
      </c>
      <c r="F692" t="s">
        <v>22</v>
      </c>
      <c r="G692">
        <v>0</v>
      </c>
      <c r="H692">
        <v>999</v>
      </c>
      <c r="J692" t="s">
        <v>722</v>
      </c>
      <c r="K692">
        <f>COUNTIF($A$1:A692,A692)</f>
        <v>2</v>
      </c>
      <c r="L692" t="str">
        <f>VLOOKUP(A692,'Cadastro de Produtos'!A:B,2,0)</f>
        <v>Nobreak APC Mono 600VA</v>
      </c>
      <c r="M692">
        <f t="shared" si="40"/>
        <v>4</v>
      </c>
      <c r="N692">
        <f t="shared" si="41"/>
        <v>0</v>
      </c>
      <c r="O692">
        <f t="shared" si="42"/>
        <v>0</v>
      </c>
      <c r="P692">
        <f t="shared" si="43"/>
        <v>4</v>
      </c>
    </row>
    <row r="693" spans="1:16" x14ac:dyDescent="0.3">
      <c r="A693" t="s">
        <v>477</v>
      </c>
      <c r="B693" t="s">
        <v>17</v>
      </c>
      <c r="C693" s="92">
        <v>42214</v>
      </c>
      <c r="D693" s="81">
        <v>47</v>
      </c>
      <c r="E693" s="82">
        <v>0</v>
      </c>
      <c r="F693" t="s">
        <v>398</v>
      </c>
      <c r="K693">
        <f>COUNTIF($A$1:A693,A693)</f>
        <v>2</v>
      </c>
      <c r="L693" t="str">
        <f>VLOOKUP(A693,'Cadastro de Produtos'!A:B,2,0)</f>
        <v>Chaveador KVM Trendnet Rack Mount 8 portas TK-801R</v>
      </c>
      <c r="M693">
        <f t="shared" ref="M693:M699" si="44">SUMIF(B693,"E",D693:D693)</f>
        <v>0</v>
      </c>
      <c r="N693">
        <f t="shared" ref="N693:N699" si="45">SUMIF(B693,"S",D693:D693)</f>
        <v>47</v>
      </c>
      <c r="O693">
        <f t="shared" ref="O693:O699" si="46">N693*-1</f>
        <v>-47</v>
      </c>
      <c r="P693">
        <f t="shared" ref="P693:P699" si="47">SUM(M693+O693)</f>
        <v>-47</v>
      </c>
    </row>
    <row r="694" spans="1:16" x14ac:dyDescent="0.3">
      <c r="A694" t="s">
        <v>518</v>
      </c>
      <c r="B694" t="s">
        <v>17</v>
      </c>
      <c r="C694" s="92">
        <v>42214</v>
      </c>
      <c r="D694" s="81">
        <v>5</v>
      </c>
      <c r="E694" s="82">
        <v>0</v>
      </c>
      <c r="F694" t="s">
        <v>398</v>
      </c>
      <c r="K694">
        <f>COUNTIF($A$1:A694,A694)</f>
        <v>2</v>
      </c>
      <c r="L694" t="str">
        <f>VLOOKUP(A694,'Cadastro de Produtos'!A:B,2,0)</f>
        <v>Fonte para Notebook AC Adapter PA-9 PA-1900-05D 20V PN 6G356</v>
      </c>
      <c r="M694">
        <f t="shared" si="44"/>
        <v>0</v>
      </c>
      <c r="N694">
        <f t="shared" si="45"/>
        <v>5</v>
      </c>
      <c r="O694">
        <f t="shared" si="46"/>
        <v>-5</v>
      </c>
      <c r="P694">
        <f t="shared" si="47"/>
        <v>-5</v>
      </c>
    </row>
    <row r="695" spans="1:16" x14ac:dyDescent="0.3">
      <c r="A695" t="s">
        <v>531</v>
      </c>
      <c r="B695" t="s">
        <v>17</v>
      </c>
      <c r="C695" s="92">
        <v>42214</v>
      </c>
      <c r="D695" s="81">
        <v>14</v>
      </c>
      <c r="E695" s="82">
        <v>0</v>
      </c>
      <c r="F695" t="s">
        <v>398</v>
      </c>
      <c r="K695">
        <f>COUNTIF($A$1:A695,A695)</f>
        <v>2</v>
      </c>
      <c r="L695" t="str">
        <f>VLOOKUP(A695,'Cadastro de Produtos'!A:B,2,0)</f>
        <v>Frente CD/DVD Asus F9s</v>
      </c>
      <c r="M695">
        <f t="shared" si="44"/>
        <v>0</v>
      </c>
      <c r="N695">
        <f t="shared" si="45"/>
        <v>14</v>
      </c>
      <c r="O695">
        <f t="shared" si="46"/>
        <v>-14</v>
      </c>
      <c r="P695">
        <f t="shared" si="47"/>
        <v>-14</v>
      </c>
    </row>
    <row r="696" spans="1:16" x14ac:dyDescent="0.3">
      <c r="A696" t="s">
        <v>532</v>
      </c>
      <c r="B696" t="s">
        <v>17</v>
      </c>
      <c r="C696" s="92">
        <v>42214</v>
      </c>
      <c r="D696" s="81">
        <v>16</v>
      </c>
      <c r="E696" s="82">
        <v>0</v>
      </c>
      <c r="F696" t="s">
        <v>398</v>
      </c>
      <c r="K696">
        <f>COUNTIF($A$1:A696,A696)</f>
        <v>2</v>
      </c>
      <c r="L696" t="str">
        <f>VLOOKUP(A696,'Cadastro de Produtos'!A:B,2,0)</f>
        <v>Gabinete Casemall ATX R530 Slim (sem fonte)</v>
      </c>
      <c r="M696">
        <f t="shared" si="44"/>
        <v>0</v>
      </c>
      <c r="N696">
        <f t="shared" si="45"/>
        <v>16</v>
      </c>
      <c r="O696">
        <f t="shared" si="46"/>
        <v>-16</v>
      </c>
      <c r="P696">
        <f t="shared" si="47"/>
        <v>-16</v>
      </c>
    </row>
    <row r="697" spans="1:16" x14ac:dyDescent="0.3">
      <c r="A697" t="s">
        <v>533</v>
      </c>
      <c r="B697" t="s">
        <v>17</v>
      </c>
      <c r="C697" s="92">
        <v>42214</v>
      </c>
      <c r="D697" s="81">
        <v>1</v>
      </c>
      <c r="E697" s="82">
        <v>0</v>
      </c>
      <c r="F697" t="s">
        <v>398</v>
      </c>
      <c r="K697">
        <f>COUNTIF($A$1:A697,A697)</f>
        <v>2</v>
      </c>
      <c r="L697" t="str">
        <f>VLOOKUP(A697,'Cadastro de Produtos'!A:B,2,0)</f>
        <v>Gabinete Casemall L1100 T.Rex Cool ATX (s/ fonte)</v>
      </c>
      <c r="M697">
        <f t="shared" si="44"/>
        <v>0</v>
      </c>
      <c r="N697">
        <f t="shared" si="45"/>
        <v>1</v>
      </c>
      <c r="O697">
        <f t="shared" si="46"/>
        <v>-1</v>
      </c>
      <c r="P697">
        <f t="shared" si="47"/>
        <v>-1</v>
      </c>
    </row>
    <row r="698" spans="1:16" x14ac:dyDescent="0.3">
      <c r="A698" t="s">
        <v>540</v>
      </c>
      <c r="B698" t="s">
        <v>17</v>
      </c>
      <c r="C698" s="92">
        <v>42214</v>
      </c>
      <c r="D698" s="81">
        <v>5</v>
      </c>
      <c r="E698" s="82">
        <v>0</v>
      </c>
      <c r="F698" t="s">
        <v>398</v>
      </c>
      <c r="K698">
        <f>COUNTIF($A$1:A698,A698)</f>
        <v>2</v>
      </c>
      <c r="L698" t="str">
        <f>VLOOKUP(A698,'Cadastro de Produtos'!A:B,2,0)</f>
        <v>Gabinete Mtek D-09 2b Preto</v>
      </c>
      <c r="M698">
        <f t="shared" si="44"/>
        <v>0</v>
      </c>
      <c r="N698">
        <f t="shared" si="45"/>
        <v>5</v>
      </c>
      <c r="O698">
        <f t="shared" si="46"/>
        <v>-5</v>
      </c>
      <c r="P698">
        <f t="shared" si="47"/>
        <v>-5</v>
      </c>
    </row>
    <row r="699" spans="1:16" x14ac:dyDescent="0.3">
      <c r="A699" t="s">
        <v>541</v>
      </c>
      <c r="B699" t="s">
        <v>17</v>
      </c>
      <c r="C699" s="92">
        <v>42214</v>
      </c>
      <c r="D699" s="81">
        <v>3</v>
      </c>
      <c r="E699" s="82">
        <v>0</v>
      </c>
      <c r="F699" t="s">
        <v>398</v>
      </c>
      <c r="K699">
        <f>COUNTIF($A$1:A699,A699)</f>
        <v>2</v>
      </c>
      <c r="L699" t="str">
        <f>VLOOKUP(A699,'Cadastro de Produtos'!A:B,2,0)</f>
        <v>Gabinete Nilko NK 310 MINI ITX (160W)</v>
      </c>
      <c r="M699">
        <f t="shared" si="44"/>
        <v>0</v>
      </c>
      <c r="N699">
        <f t="shared" si="45"/>
        <v>3</v>
      </c>
      <c r="O699">
        <f t="shared" si="46"/>
        <v>-3</v>
      </c>
      <c r="P699">
        <f t="shared" si="47"/>
        <v>-3</v>
      </c>
    </row>
    <row r="700" spans="1:16" x14ac:dyDescent="0.3">
      <c r="A700" t="s">
        <v>50</v>
      </c>
      <c r="B700" t="s">
        <v>12</v>
      </c>
      <c r="C700" s="92">
        <v>42215</v>
      </c>
      <c r="D700" s="95">
        <v>12</v>
      </c>
      <c r="E700" s="96">
        <v>1.6</v>
      </c>
      <c r="F700" t="s">
        <v>22</v>
      </c>
      <c r="J700" t="s">
        <v>34</v>
      </c>
      <c r="K700">
        <f>COUNTIF($A$1:A700,A700)</f>
        <v>7</v>
      </c>
      <c r="L700" t="str">
        <f>VLOOKUP(A700,'Cadastro de Produtos'!A:B,2,0)</f>
        <v>Conector RJ45 Furucawa</v>
      </c>
      <c r="M700">
        <f t="shared" ref="M700:M705" si="48">SUMIF(B700,"E",D700:D700)</f>
        <v>12</v>
      </c>
      <c r="N700">
        <f t="shared" ref="N700:N705" si="49">SUMIF(B700,"S",D700:D700)</f>
        <v>0</v>
      </c>
      <c r="O700">
        <f t="shared" ref="O700:O705" si="50">N700*-1</f>
        <v>0</v>
      </c>
      <c r="P700">
        <f t="shared" ref="P700:P705" si="51">SUM(M700+O700)</f>
        <v>12</v>
      </c>
    </row>
    <row r="701" spans="1:16" x14ac:dyDescent="0.3">
      <c r="A701" t="s">
        <v>50</v>
      </c>
      <c r="B701" t="s">
        <v>17</v>
      </c>
      <c r="C701" s="92">
        <v>42216</v>
      </c>
      <c r="D701" s="46">
        <v>12</v>
      </c>
      <c r="E701" s="47">
        <v>0</v>
      </c>
      <c r="F701" t="s">
        <v>398</v>
      </c>
      <c r="K701">
        <f>COUNTIF($A$1:A701,A701)</f>
        <v>8</v>
      </c>
      <c r="L701" t="str">
        <f>VLOOKUP(A701,'Cadastro de Produtos'!A:B,2,0)</f>
        <v>Conector RJ45 Furucawa</v>
      </c>
      <c r="M701">
        <f t="shared" si="48"/>
        <v>0</v>
      </c>
      <c r="N701">
        <f t="shared" si="49"/>
        <v>12</v>
      </c>
      <c r="O701">
        <f t="shared" si="50"/>
        <v>-12</v>
      </c>
      <c r="P701">
        <f t="shared" si="51"/>
        <v>-12</v>
      </c>
    </row>
    <row r="702" spans="1:16" x14ac:dyDescent="0.3">
      <c r="A702" t="s">
        <v>62</v>
      </c>
      <c r="B702" t="s">
        <v>17</v>
      </c>
      <c r="C702" s="92">
        <v>42216</v>
      </c>
      <c r="D702" s="46">
        <v>10</v>
      </c>
      <c r="E702" s="47">
        <v>0</v>
      </c>
      <c r="F702" t="s">
        <v>398</v>
      </c>
      <c r="K702">
        <f>COUNTIF($A$1:A702,A702)</f>
        <v>7</v>
      </c>
      <c r="L702" t="str">
        <f>VLOOKUP(A702,'Cadastro de Produtos'!A:B,2,0)</f>
        <v>Estabilizador BIVOLT 115V/220V - 300VA - preto</v>
      </c>
      <c r="M702">
        <f t="shared" si="48"/>
        <v>0</v>
      </c>
      <c r="N702">
        <f t="shared" si="49"/>
        <v>10</v>
      </c>
      <c r="O702">
        <f t="shared" si="50"/>
        <v>-10</v>
      </c>
      <c r="P702">
        <f t="shared" si="51"/>
        <v>-10</v>
      </c>
    </row>
    <row r="703" spans="1:16" x14ac:dyDescent="0.3">
      <c r="A703" t="s">
        <v>59</v>
      </c>
      <c r="B703" t="s">
        <v>17</v>
      </c>
      <c r="C703" s="92">
        <v>42216</v>
      </c>
      <c r="D703" s="46">
        <v>1</v>
      </c>
      <c r="E703" s="47">
        <v>0</v>
      </c>
      <c r="F703" t="s">
        <v>398</v>
      </c>
      <c r="I703" t="s">
        <v>705</v>
      </c>
      <c r="J703" t="s">
        <v>705</v>
      </c>
      <c r="K703">
        <f>COUNTIF($A$1:A703,A703)</f>
        <v>4</v>
      </c>
      <c r="L703" t="str">
        <f>VLOOKUP(A703,'Cadastro de Produtos'!A:B,2,0)</f>
        <v>Cabo de força sata</v>
      </c>
      <c r="M703">
        <f t="shared" si="48"/>
        <v>0</v>
      </c>
      <c r="N703">
        <f t="shared" si="49"/>
        <v>1</v>
      </c>
      <c r="O703">
        <f t="shared" si="50"/>
        <v>-1</v>
      </c>
      <c r="P703">
        <f t="shared" si="51"/>
        <v>-1</v>
      </c>
    </row>
    <row r="704" spans="1:16" x14ac:dyDescent="0.3">
      <c r="A704" t="s">
        <v>55</v>
      </c>
      <c r="B704" t="s">
        <v>12</v>
      </c>
      <c r="C704" s="92">
        <v>42221</v>
      </c>
      <c r="D704" s="46">
        <v>43</v>
      </c>
      <c r="E704" s="47">
        <v>1.8</v>
      </c>
      <c r="F704" t="s">
        <v>22</v>
      </c>
      <c r="G704">
        <v>0</v>
      </c>
      <c r="H704">
        <v>999</v>
      </c>
      <c r="I704" t="s">
        <v>380</v>
      </c>
      <c r="J704" t="s">
        <v>722</v>
      </c>
      <c r="K704">
        <f>COUNTIF($A$1:A704,A704)</f>
        <v>8</v>
      </c>
      <c r="L704" t="str">
        <f>VLOOKUP(A704,'Cadastro de Produtos'!A:B,2,0)</f>
        <v>Estabilizador BIVOLT 115V/220V - 300VA - preto</v>
      </c>
      <c r="M704">
        <f t="shared" si="48"/>
        <v>43</v>
      </c>
      <c r="N704">
        <f t="shared" si="49"/>
        <v>0</v>
      </c>
      <c r="O704">
        <f t="shared" si="50"/>
        <v>0</v>
      </c>
      <c r="P704">
        <f t="shared" si="51"/>
        <v>43</v>
      </c>
    </row>
    <row r="705" spans="1:16" x14ac:dyDescent="0.3">
      <c r="A705" t="s">
        <v>50</v>
      </c>
      <c r="B705" t="s">
        <v>17</v>
      </c>
      <c r="C705" s="92">
        <v>42221</v>
      </c>
      <c r="D705" s="46">
        <v>12</v>
      </c>
      <c r="E705" s="47">
        <v>0</v>
      </c>
      <c r="F705" t="s">
        <v>398</v>
      </c>
      <c r="K705">
        <f>COUNTIF($A$1:A705,A705)</f>
        <v>9</v>
      </c>
      <c r="L705" t="str">
        <f>VLOOKUP(A705,'Cadastro de Produtos'!A:B,2,0)</f>
        <v>Conector RJ45 Furucawa</v>
      </c>
      <c r="M705">
        <f t="shared" si="48"/>
        <v>0</v>
      </c>
      <c r="N705">
        <f t="shared" si="49"/>
        <v>12</v>
      </c>
      <c r="O705">
        <f t="shared" si="50"/>
        <v>-12</v>
      </c>
      <c r="P705">
        <f t="shared" si="51"/>
        <v>-12</v>
      </c>
    </row>
    <row r="706" spans="1:16" x14ac:dyDescent="0.3">
      <c r="A706" t="s">
        <v>715</v>
      </c>
      <c r="B706" t="s">
        <v>12</v>
      </c>
      <c r="C706" s="92">
        <v>42221</v>
      </c>
      <c r="D706" s="46">
        <v>3</v>
      </c>
      <c r="E706" s="47">
        <v>8</v>
      </c>
      <c r="F706" t="s">
        <v>22</v>
      </c>
      <c r="G706">
        <v>0</v>
      </c>
      <c r="H706">
        <v>999</v>
      </c>
      <c r="I706" t="s">
        <v>716</v>
      </c>
      <c r="J706" t="s">
        <v>722</v>
      </c>
      <c r="K706">
        <f>COUNTIF($A$1:A706,A706)</f>
        <v>1</v>
      </c>
      <c r="L706" t="str">
        <f>VLOOKUP(A706,'Cadastro de Produtos'!A:B,2,0)</f>
        <v>Notebook ACER 5732Z-4737 Intel Dual Core 2.1GHz, 3GB, 320GB, DVD, CAM, Tela 15.6</v>
      </c>
      <c r="M706">
        <f t="shared" ref="M706:M713" si="52">SUMIF(B706,"E",D706:D706)</f>
        <v>3</v>
      </c>
      <c r="N706">
        <f t="shared" ref="N706:N713" si="53">SUMIF(B706,"S",D706:D706)</f>
        <v>0</v>
      </c>
      <c r="O706">
        <f t="shared" ref="O706:O713" si="54">N706*-1</f>
        <v>0</v>
      </c>
      <c r="P706">
        <f t="shared" ref="P706:P713" si="55">SUM(M706+O706)</f>
        <v>3</v>
      </c>
    </row>
    <row r="707" spans="1:16" x14ac:dyDescent="0.3">
      <c r="A707" t="s">
        <v>475</v>
      </c>
      <c r="B707" t="s">
        <v>12</v>
      </c>
      <c r="C707" s="92">
        <v>42222</v>
      </c>
      <c r="D707" s="101">
        <v>1</v>
      </c>
      <c r="E707" s="102">
        <v>24.55</v>
      </c>
      <c r="F707" t="s">
        <v>22</v>
      </c>
      <c r="G707">
        <v>0</v>
      </c>
      <c r="H707">
        <v>999</v>
      </c>
      <c r="J707" t="s">
        <v>722</v>
      </c>
      <c r="K707">
        <f>COUNTIF($A$1:A707,A707)</f>
        <v>2</v>
      </c>
      <c r="L707" t="str">
        <f>VLOOKUP(A707,'Cadastro de Produtos'!A:B,2,0)</f>
        <v>Carenagem Inferior Asus F9S</v>
      </c>
      <c r="M707">
        <f t="shared" si="52"/>
        <v>1</v>
      </c>
      <c r="N707">
        <f t="shared" si="53"/>
        <v>0</v>
      </c>
      <c r="O707">
        <f t="shared" si="54"/>
        <v>0</v>
      </c>
      <c r="P707">
        <f t="shared" si="55"/>
        <v>1</v>
      </c>
    </row>
    <row r="708" spans="1:16" x14ac:dyDescent="0.3">
      <c r="A708" t="s">
        <v>80</v>
      </c>
      <c r="B708" t="s">
        <v>17</v>
      </c>
      <c r="C708" s="92">
        <v>42222</v>
      </c>
      <c r="D708" s="101">
        <v>1</v>
      </c>
      <c r="E708" s="102">
        <v>0</v>
      </c>
      <c r="F708" t="s">
        <v>398</v>
      </c>
      <c r="I708" t="s">
        <v>718</v>
      </c>
      <c r="J708" t="s">
        <v>718</v>
      </c>
      <c r="K708">
        <f>COUNTIF($A$1:A708,A708)</f>
        <v>2</v>
      </c>
      <c r="L708" t="str">
        <f>VLOOKUP(A708,'Cadastro de Produtos'!A:B,2,0)</f>
        <v>Fone de ouvido Edifier Cyber-Pro CD-6632 Com microfone</v>
      </c>
      <c r="M708">
        <f t="shared" si="52"/>
        <v>0</v>
      </c>
      <c r="N708">
        <f t="shared" si="53"/>
        <v>1</v>
      </c>
      <c r="O708">
        <f t="shared" si="54"/>
        <v>-1</v>
      </c>
      <c r="P708">
        <f t="shared" si="55"/>
        <v>-1</v>
      </c>
    </row>
    <row r="709" spans="1:16" x14ac:dyDescent="0.3">
      <c r="A709" t="s">
        <v>488</v>
      </c>
      <c r="B709" t="s">
        <v>17</v>
      </c>
      <c r="C709" s="92">
        <v>42222</v>
      </c>
      <c r="D709" s="101">
        <v>1</v>
      </c>
      <c r="E709" s="102">
        <v>0</v>
      </c>
      <c r="F709" t="s">
        <v>398</v>
      </c>
      <c r="K709">
        <f>COUNTIF($A$1:A709,A709)</f>
        <v>2</v>
      </c>
      <c r="L709" t="str">
        <f>VLOOKUP(A709,'Cadastro de Produtos'!A:B,2,0)</f>
        <v>Computador Core i5 750 2.66GHz, HD 500GB, 4GB 1333, 1GB Video, DVD, 350W</v>
      </c>
      <c r="M709">
        <f t="shared" si="52"/>
        <v>0</v>
      </c>
      <c r="N709">
        <f t="shared" si="53"/>
        <v>1</v>
      </c>
      <c r="O709">
        <f t="shared" si="54"/>
        <v>-1</v>
      </c>
      <c r="P709">
        <f t="shared" si="55"/>
        <v>-1</v>
      </c>
    </row>
    <row r="710" spans="1:16" x14ac:dyDescent="0.3">
      <c r="A710" t="s">
        <v>69</v>
      </c>
      <c r="B710" t="s">
        <v>17</v>
      </c>
      <c r="C710" s="92">
        <v>42222</v>
      </c>
      <c r="D710" s="101">
        <v>1</v>
      </c>
      <c r="E710" s="102">
        <v>0</v>
      </c>
      <c r="F710" t="s">
        <v>398</v>
      </c>
      <c r="I710" t="s">
        <v>719</v>
      </c>
      <c r="J710" t="s">
        <v>719</v>
      </c>
      <c r="K710">
        <f>COUNTIF($A$1:A710,A710)</f>
        <v>2</v>
      </c>
      <c r="L710" t="str">
        <f>VLOOKUP(A710,'Cadastro de Produtos'!A:B,2,0)</f>
        <v>Computador Core 2 Quad Q8400 2.66GHz, 320GB, 4GB 800, DVD-RW, LCD 19</v>
      </c>
      <c r="M710">
        <f t="shared" si="52"/>
        <v>0</v>
      </c>
      <c r="N710">
        <f t="shared" si="53"/>
        <v>1</v>
      </c>
      <c r="O710">
        <f t="shared" si="54"/>
        <v>-1</v>
      </c>
      <c r="P710">
        <f t="shared" si="55"/>
        <v>-1</v>
      </c>
    </row>
    <row r="711" spans="1:16" x14ac:dyDescent="0.3">
      <c r="A711" t="s">
        <v>59</v>
      </c>
      <c r="B711" t="s">
        <v>17</v>
      </c>
      <c r="C711" s="92">
        <v>42222</v>
      </c>
      <c r="D711" s="101">
        <v>1</v>
      </c>
      <c r="E711" s="102">
        <v>0</v>
      </c>
      <c r="F711" t="s">
        <v>398</v>
      </c>
      <c r="I711" t="s">
        <v>719</v>
      </c>
      <c r="J711" t="s">
        <v>719</v>
      </c>
      <c r="K711">
        <f>COUNTIF($A$1:A711,A711)</f>
        <v>5</v>
      </c>
      <c r="L711" t="str">
        <f>VLOOKUP(A711,'Cadastro de Produtos'!A:B,2,0)</f>
        <v>Cabo de força sata</v>
      </c>
      <c r="M711">
        <f t="shared" si="52"/>
        <v>0</v>
      </c>
      <c r="N711">
        <f t="shared" si="53"/>
        <v>1</v>
      </c>
      <c r="O711">
        <f t="shared" si="54"/>
        <v>-1</v>
      </c>
      <c r="P711">
        <f t="shared" si="55"/>
        <v>-1</v>
      </c>
    </row>
    <row r="712" spans="1:16" x14ac:dyDescent="0.3">
      <c r="A712" t="s">
        <v>584</v>
      </c>
      <c r="B712" t="s">
        <v>17</v>
      </c>
      <c r="C712" s="92">
        <v>42222</v>
      </c>
      <c r="D712" s="101">
        <v>2</v>
      </c>
      <c r="E712" s="102">
        <v>0</v>
      </c>
      <c r="F712" t="s">
        <v>398</v>
      </c>
      <c r="K712">
        <f>COUNTIF($A$1:A712,A712)</f>
        <v>2</v>
      </c>
      <c r="L712" t="str">
        <f>VLOOKUP(A712,'Cadastro de Produtos'!A:B,2,0)</f>
        <v>HD SATA II 1TB Seagate 7.200RPM</v>
      </c>
      <c r="M712">
        <f t="shared" si="52"/>
        <v>0</v>
      </c>
      <c r="N712">
        <f t="shared" si="53"/>
        <v>2</v>
      </c>
      <c r="O712">
        <f t="shared" si="54"/>
        <v>-2</v>
      </c>
      <c r="P712">
        <f t="shared" si="55"/>
        <v>-2</v>
      </c>
    </row>
    <row r="713" spans="1:16" x14ac:dyDescent="0.3">
      <c r="A713" t="s">
        <v>629</v>
      </c>
      <c r="B713" t="s">
        <v>17</v>
      </c>
      <c r="C713" s="92">
        <v>42222</v>
      </c>
      <c r="D713" s="101">
        <v>30</v>
      </c>
      <c r="E713" s="102">
        <v>0</v>
      </c>
      <c r="F713" t="s">
        <v>398</v>
      </c>
      <c r="K713">
        <f>COUNTIF($A$1:A713,A713)</f>
        <v>2</v>
      </c>
      <c r="L713" t="str">
        <f>VLOOKUP(A713,'Cadastro de Produtos'!A:B,2,0)</f>
        <v>Memória DDR 1GB 266MHz (PC-2100) Kingston</v>
      </c>
      <c r="M713">
        <f t="shared" si="52"/>
        <v>0</v>
      </c>
      <c r="N713">
        <f t="shared" si="53"/>
        <v>30</v>
      </c>
      <c r="O713">
        <f t="shared" si="54"/>
        <v>-30</v>
      </c>
      <c r="P713">
        <f t="shared" si="55"/>
        <v>-30</v>
      </c>
    </row>
    <row r="714" spans="1:16" x14ac:dyDescent="0.3">
      <c r="A714" t="s">
        <v>147</v>
      </c>
      <c r="B714" t="s">
        <v>17</v>
      </c>
      <c r="C714" s="92">
        <v>42223</v>
      </c>
      <c r="D714" s="46">
        <v>1</v>
      </c>
      <c r="E714" s="47">
        <v>0</v>
      </c>
      <c r="F714" t="s">
        <v>398</v>
      </c>
      <c r="K714">
        <f>COUNTIF($A$1:A714,A714)</f>
        <v>2</v>
      </c>
      <c r="L714" t="str">
        <f>VLOOKUP(A714,'Cadastro de Produtos'!A:B,2,0)</f>
        <v>HD Externo 320GB WD My Passport USB</v>
      </c>
      <c r="M714">
        <f t="shared" ref="M714:M726" si="56">SUMIF(B714,"E",D714:D714)</f>
        <v>0</v>
      </c>
      <c r="N714">
        <f t="shared" ref="N714:N726" si="57">SUMIF(B714,"S",D714:D714)</f>
        <v>1</v>
      </c>
      <c r="O714">
        <f t="shared" ref="O714:O726" si="58">N714*-1</f>
        <v>-1</v>
      </c>
      <c r="P714">
        <f t="shared" ref="P714:P726" si="59">SUM(M714+O714)</f>
        <v>-1</v>
      </c>
    </row>
    <row r="715" spans="1:16" x14ac:dyDescent="0.3">
      <c r="A715" t="s">
        <v>134</v>
      </c>
      <c r="B715" t="s">
        <v>17</v>
      </c>
      <c r="C715" s="92">
        <v>42223</v>
      </c>
      <c r="D715" s="46">
        <v>1</v>
      </c>
      <c r="E715" s="47">
        <v>0</v>
      </c>
      <c r="F715" t="s">
        <v>398</v>
      </c>
      <c r="K715">
        <f>COUNTIF($A$1:A715,A715)</f>
        <v>2</v>
      </c>
      <c r="L715" t="str">
        <f>VLOOKUP(A715,'Cadastro de Produtos'!A:B,2,0)</f>
        <v>Gaveta Interna Hot Swap 3.5 ICY DOCK MB877SK-B SATA</v>
      </c>
      <c r="M715">
        <f t="shared" si="56"/>
        <v>0</v>
      </c>
      <c r="N715">
        <f t="shared" si="57"/>
        <v>1</v>
      </c>
      <c r="O715">
        <f t="shared" si="58"/>
        <v>-1</v>
      </c>
      <c r="P715">
        <f t="shared" si="59"/>
        <v>-1</v>
      </c>
    </row>
    <row r="716" spans="1:16" x14ac:dyDescent="0.3">
      <c r="A716" t="s">
        <v>106</v>
      </c>
      <c r="B716" t="s">
        <v>17</v>
      </c>
      <c r="C716" s="92">
        <v>42223</v>
      </c>
      <c r="D716" s="46">
        <v>1</v>
      </c>
      <c r="E716" s="47">
        <v>0</v>
      </c>
      <c r="F716" t="s">
        <v>398</v>
      </c>
      <c r="K716">
        <f>COUNTIF($A$1:A716,A716)</f>
        <v>2</v>
      </c>
      <c r="L716" t="str">
        <f>VLOOKUP(A716,'Cadastro de Produtos'!A:B,2,0)</f>
        <v>Fonte Zalman 850W ZM850-HP v2.2</v>
      </c>
      <c r="M716">
        <f t="shared" si="56"/>
        <v>0</v>
      </c>
      <c r="N716">
        <f t="shared" si="57"/>
        <v>1</v>
      </c>
      <c r="O716">
        <f t="shared" si="58"/>
        <v>-1</v>
      </c>
      <c r="P716">
        <f t="shared" si="59"/>
        <v>-1</v>
      </c>
    </row>
    <row r="717" spans="1:16" x14ac:dyDescent="0.3">
      <c r="A717" t="s">
        <v>179</v>
      </c>
      <c r="B717" t="s">
        <v>17</v>
      </c>
      <c r="C717" s="92">
        <v>42223</v>
      </c>
      <c r="D717" s="46">
        <v>2</v>
      </c>
      <c r="E717" s="47">
        <v>0</v>
      </c>
      <c r="F717" t="s">
        <v>398</v>
      </c>
      <c r="K717">
        <f>COUNTIF($A$1:A717,A717)</f>
        <v>2</v>
      </c>
      <c r="L717" t="str">
        <f>VLOOKUP(A717,'Cadastro de Produtos'!A:B,2,0)</f>
        <v>Impressora Epson Matricial LX300+ II (80col 9 agulhas 337cps)</v>
      </c>
      <c r="M717">
        <f t="shared" si="56"/>
        <v>0</v>
      </c>
      <c r="N717">
        <f t="shared" si="57"/>
        <v>2</v>
      </c>
      <c r="O717">
        <f t="shared" si="58"/>
        <v>-2</v>
      </c>
      <c r="P717">
        <f t="shared" si="59"/>
        <v>-2</v>
      </c>
    </row>
    <row r="718" spans="1:16" x14ac:dyDescent="0.3">
      <c r="A718" t="s">
        <v>136</v>
      </c>
      <c r="B718" t="s">
        <v>17</v>
      </c>
      <c r="C718" s="92">
        <v>42223</v>
      </c>
      <c r="D718" s="46">
        <v>2</v>
      </c>
      <c r="E718" s="47">
        <v>0</v>
      </c>
      <c r="F718" t="s">
        <v>398</v>
      </c>
      <c r="K718">
        <f>COUNTIF($A$1:A718,A718)</f>
        <v>2</v>
      </c>
      <c r="L718" t="str">
        <f>VLOOKUP(A718,'Cadastro de Produtos'!A:B,2,0)</f>
        <v>Gravador DVD-RW LG IDE (Preto/OEM)</v>
      </c>
      <c r="M718">
        <f t="shared" si="56"/>
        <v>0</v>
      </c>
      <c r="N718">
        <f t="shared" si="57"/>
        <v>2</v>
      </c>
      <c r="O718">
        <f t="shared" si="58"/>
        <v>-2</v>
      </c>
      <c r="P718">
        <f t="shared" si="59"/>
        <v>-2</v>
      </c>
    </row>
    <row r="719" spans="1:16" x14ac:dyDescent="0.3">
      <c r="A719" t="s">
        <v>137</v>
      </c>
      <c r="B719" t="s">
        <v>17</v>
      </c>
      <c r="C719" s="92">
        <v>42223</v>
      </c>
      <c r="D719" s="46">
        <v>1</v>
      </c>
      <c r="E719" s="47">
        <v>0</v>
      </c>
      <c r="F719" t="s">
        <v>398</v>
      </c>
      <c r="K719">
        <f>COUNTIF($A$1:A719,A719)</f>
        <v>2</v>
      </c>
      <c r="L719" t="str">
        <f>VLOOKUP(A719,'Cadastro de Produtos'!A:B,2,0)</f>
        <v>Gravador DVD-RW LG SATA (Preto/OEM)</v>
      </c>
      <c r="M719">
        <f t="shared" si="56"/>
        <v>0</v>
      </c>
      <c r="N719">
        <f t="shared" si="57"/>
        <v>1</v>
      </c>
      <c r="O719">
        <f t="shared" si="58"/>
        <v>-1</v>
      </c>
      <c r="P719">
        <f t="shared" si="59"/>
        <v>-1</v>
      </c>
    </row>
    <row r="720" spans="1:16" x14ac:dyDescent="0.3">
      <c r="A720" t="s">
        <v>117</v>
      </c>
      <c r="B720" t="s">
        <v>17</v>
      </c>
      <c r="C720" s="92">
        <v>42223</v>
      </c>
      <c r="D720" s="46">
        <v>1</v>
      </c>
      <c r="E720" s="47">
        <v>0</v>
      </c>
      <c r="F720" t="s">
        <v>398</v>
      </c>
      <c r="K720">
        <f>COUNTIF($A$1:A720,A720)</f>
        <v>2</v>
      </c>
      <c r="L720" t="str">
        <f>VLOOKUP(A720,'Cadastro de Produtos'!A:B,2,0)</f>
        <v>Gabinete Mtek D-09 2b Preto</v>
      </c>
      <c r="M720">
        <f t="shared" si="56"/>
        <v>0</v>
      </c>
      <c r="N720">
        <f t="shared" si="57"/>
        <v>1</v>
      </c>
      <c r="O720">
        <f t="shared" si="58"/>
        <v>-1</v>
      </c>
      <c r="P720">
        <f t="shared" si="59"/>
        <v>-1</v>
      </c>
    </row>
    <row r="721" spans="1:16" x14ac:dyDescent="0.3">
      <c r="A721" t="s">
        <v>50</v>
      </c>
      <c r="B721" t="s">
        <v>17</v>
      </c>
      <c r="C721" s="92">
        <v>42223</v>
      </c>
      <c r="D721" s="46">
        <v>12</v>
      </c>
      <c r="E721" s="47">
        <v>0</v>
      </c>
      <c r="F721" t="s">
        <v>398</v>
      </c>
      <c r="I721" t="s">
        <v>723</v>
      </c>
      <c r="J721" t="s">
        <v>723</v>
      </c>
      <c r="K721">
        <f>COUNTIF($A$1:A721,A721)</f>
        <v>10</v>
      </c>
      <c r="L721" t="str">
        <f>VLOOKUP(A721,'Cadastro de Produtos'!A:B,2,0)</f>
        <v>Conector RJ45 Furucawa</v>
      </c>
      <c r="M721">
        <f t="shared" si="56"/>
        <v>0</v>
      </c>
      <c r="N721">
        <f t="shared" si="57"/>
        <v>12</v>
      </c>
      <c r="O721">
        <f t="shared" si="58"/>
        <v>-12</v>
      </c>
      <c r="P721">
        <f t="shared" si="59"/>
        <v>-12</v>
      </c>
    </row>
    <row r="722" spans="1:16" x14ac:dyDescent="0.3">
      <c r="A722" t="s">
        <v>55</v>
      </c>
      <c r="B722" t="s">
        <v>17</v>
      </c>
      <c r="C722" s="92">
        <v>42223</v>
      </c>
      <c r="D722" s="46">
        <v>6</v>
      </c>
      <c r="E722" s="47">
        <v>0</v>
      </c>
      <c r="F722" t="s">
        <v>398</v>
      </c>
      <c r="I722" t="s">
        <v>724</v>
      </c>
      <c r="J722" t="s">
        <v>724</v>
      </c>
      <c r="K722">
        <f>COUNTIF($A$1:A722,A722)</f>
        <v>9</v>
      </c>
      <c r="L722" t="str">
        <f>VLOOKUP(A722,'Cadastro de Produtos'!A:B,2,0)</f>
        <v>Estabilizador BIVOLT 115V/220V - 300VA - preto</v>
      </c>
      <c r="M722">
        <f t="shared" si="56"/>
        <v>0</v>
      </c>
      <c r="N722">
        <f t="shared" si="57"/>
        <v>6</v>
      </c>
      <c r="O722">
        <f t="shared" si="58"/>
        <v>-6</v>
      </c>
      <c r="P722">
        <f t="shared" si="59"/>
        <v>-6</v>
      </c>
    </row>
    <row r="723" spans="1:16" x14ac:dyDescent="0.3">
      <c r="A723" t="s">
        <v>103</v>
      </c>
      <c r="B723" t="s">
        <v>17</v>
      </c>
      <c r="C723" s="92">
        <v>42223</v>
      </c>
      <c r="D723" s="46">
        <v>1</v>
      </c>
      <c r="E723" s="47">
        <v>0</v>
      </c>
      <c r="F723" t="s">
        <v>398</v>
      </c>
      <c r="K723">
        <f>COUNTIF($A$1:A723,A723)</f>
        <v>2</v>
      </c>
      <c r="L723" t="str">
        <f>VLOOKUP(A723,'Cadastro de Produtos'!A:B,2,0)</f>
        <v>Fonte Zalman 500W ZM500-ST 2.3 80 Plus</v>
      </c>
      <c r="M723">
        <f t="shared" si="56"/>
        <v>0</v>
      </c>
      <c r="N723">
        <f t="shared" si="57"/>
        <v>1</v>
      </c>
      <c r="O723">
        <f t="shared" si="58"/>
        <v>-1</v>
      </c>
      <c r="P723">
        <f t="shared" si="59"/>
        <v>-1</v>
      </c>
    </row>
    <row r="724" spans="1:16" x14ac:dyDescent="0.3">
      <c r="A724" t="s">
        <v>112</v>
      </c>
      <c r="B724" t="s">
        <v>17</v>
      </c>
      <c r="C724" s="92">
        <v>42223</v>
      </c>
      <c r="D724" s="46">
        <v>1</v>
      </c>
      <c r="E724" s="47">
        <v>0</v>
      </c>
      <c r="F724" t="s">
        <v>56</v>
      </c>
      <c r="I724" t="s">
        <v>725</v>
      </c>
      <c r="J724" t="s">
        <v>725</v>
      </c>
      <c r="K724">
        <f>COUNTIF($A$1:A724,A724)</f>
        <v>2</v>
      </c>
      <c r="L724" t="str">
        <f>VLOOKUP(A724,'Cadastro de Produtos'!A:B,2,0)</f>
        <v>Gabinete GMC R2 TOAST ATX Preto (s/ fonte)</v>
      </c>
      <c r="M724">
        <f t="shared" si="56"/>
        <v>0</v>
      </c>
      <c r="N724">
        <f t="shared" si="57"/>
        <v>1</v>
      </c>
      <c r="O724">
        <f t="shared" si="58"/>
        <v>-1</v>
      </c>
      <c r="P724">
        <f t="shared" si="59"/>
        <v>-1</v>
      </c>
    </row>
    <row r="725" spans="1:16" x14ac:dyDescent="0.3">
      <c r="A725" t="s">
        <v>434</v>
      </c>
      <c r="B725" t="s">
        <v>17</v>
      </c>
      <c r="C725" s="92">
        <v>42193</v>
      </c>
      <c r="D725" s="46">
        <v>1</v>
      </c>
      <c r="E725" s="47">
        <v>0</v>
      </c>
      <c r="F725" t="s">
        <v>398</v>
      </c>
      <c r="K725">
        <f>COUNTIF($A$1:A725,A725)</f>
        <v>2</v>
      </c>
      <c r="L725" t="str">
        <f>VLOOKUP(A725,'Cadastro de Produtos'!A:B,2,0)</f>
        <v>WebCam Microsoft LifeCam VX-500 640X480</v>
      </c>
      <c r="M725">
        <f t="shared" si="56"/>
        <v>0</v>
      </c>
      <c r="N725">
        <f t="shared" si="57"/>
        <v>1</v>
      </c>
      <c r="O725">
        <f t="shared" si="58"/>
        <v>-1</v>
      </c>
      <c r="P725">
        <f t="shared" si="59"/>
        <v>-1</v>
      </c>
    </row>
    <row r="726" spans="1:16" x14ac:dyDescent="0.3">
      <c r="A726" t="s">
        <v>726</v>
      </c>
      <c r="B726" t="s">
        <v>17</v>
      </c>
      <c r="C726" s="92">
        <v>42223</v>
      </c>
      <c r="D726" s="46">
        <v>14</v>
      </c>
      <c r="E726" s="47">
        <v>0</v>
      </c>
      <c r="F726" t="s">
        <v>56</v>
      </c>
      <c r="I726" t="s">
        <v>727</v>
      </c>
      <c r="J726" t="s">
        <v>727</v>
      </c>
      <c r="K726">
        <f>COUNTIF($A$1:A726,A726)</f>
        <v>3</v>
      </c>
      <c r="L726" t="str">
        <f>VLOOKUP(A726,'Cadastro de Produtos'!A:B,2,0)</f>
        <v>WebCam Microsoft LifeCam VX-500 640X480</v>
      </c>
      <c r="M726">
        <f t="shared" si="56"/>
        <v>0</v>
      </c>
      <c r="N726">
        <f t="shared" si="57"/>
        <v>14</v>
      </c>
      <c r="O726">
        <f t="shared" si="58"/>
        <v>-14</v>
      </c>
      <c r="P726">
        <f t="shared" si="59"/>
        <v>-14</v>
      </c>
    </row>
  </sheetData>
  <conditionalFormatting sqref="F2:F726">
    <cfRule type="containsText" dxfId="22" priority="3" operator="containsText" text="Saída">
      <formula>NOT(ISERROR(SEARCH("Saída",F2)))</formula>
    </cfRule>
    <cfRule type="containsText" dxfId="21" priority="4" operator="containsText" text="negativo">
      <formula>NOT(ISERROR(SEARCH("negativo",F2)))</formula>
    </cfRule>
    <cfRule type="containsText" dxfId="20" priority="5" operator="containsText" text="Entrada">
      <formula>NOT(ISERROR(SEARCH("Entrada",F2)))</formula>
    </cfRule>
    <cfRule type="containsText" dxfId="19" priority="6" operator="containsText" text="positivo">
      <formula>NOT(ISERROR(SEARCH("positivo",F2)))</formula>
    </cfRule>
  </conditionalFormatting>
  <conditionalFormatting sqref="B2:B726">
    <cfRule type="cellIs" dxfId="18" priority="1" operator="equal">
      <formula>"E"</formula>
    </cfRule>
    <cfRule type="cellIs" dxfId="17" priority="2" operator="equal">
      <formula>"S"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theme="8" tint="0.39997558519241921"/>
  </sheetPr>
  <dimension ref="A1:Q749"/>
  <sheetViews>
    <sheetView showGridLines="0" showRowColHeaders="0" zoomScale="80" zoomScaleNormal="80" workbookViewId="0">
      <pane xSplit="8" ySplit="1" topLeftCell="I29" activePane="bottomRight" state="frozen"/>
      <selection pane="topRight" activeCell="I1" sqref="I1"/>
      <selection pane="bottomLeft" activeCell="A2" sqref="A2"/>
      <selection pane="bottomRight"/>
    </sheetView>
  </sheetViews>
  <sheetFormatPr defaultColWidth="0" defaultRowHeight="14.4" x14ac:dyDescent="0.3"/>
  <cols>
    <col min="1" max="1" width="9.33203125" customWidth="1"/>
    <col min="2" max="2" width="66.5546875" bestFit="1" customWidth="1"/>
    <col min="3" max="3" width="21" customWidth="1"/>
    <col min="4" max="4" width="21.44140625" customWidth="1"/>
    <col min="5" max="5" width="29.5546875" customWidth="1"/>
    <col min="6" max="6" width="17.88671875" style="58" bestFit="1" customWidth="1"/>
    <col min="7" max="7" width="7.5546875" customWidth="1"/>
    <col min="8" max="8" width="6.6640625" bestFit="1" customWidth="1"/>
    <col min="9" max="9" width="0" hidden="1" customWidth="1"/>
    <col min="10" max="10" width="255.44140625" hidden="1" customWidth="1"/>
    <col min="11" max="11" width="10.6640625" hidden="1" customWidth="1"/>
    <col min="12" max="12" width="28" hidden="1" customWidth="1"/>
    <col min="13" max="13" width="10.6640625" hidden="1" customWidth="1"/>
    <col min="14" max="15" width="0" hidden="1" customWidth="1"/>
    <col min="16" max="16" width="17.88671875" hidden="1" customWidth="1"/>
    <col min="17" max="17" width="9.33203125" hidden="1" customWidth="1"/>
    <col min="18" max="16384" width="9.109375" hidden="1"/>
  </cols>
  <sheetData>
    <row r="1" spans="1:17" ht="53.25" customHeight="1" x14ac:dyDescent="0.3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59" t="s">
        <v>8</v>
      </c>
      <c r="G1" s="35" t="s">
        <v>699</v>
      </c>
      <c r="H1" s="100" t="s">
        <v>717</v>
      </c>
      <c r="K1" s="83" t="s">
        <v>0</v>
      </c>
      <c r="L1" s="83" t="s">
        <v>1</v>
      </c>
      <c r="M1" s="83" t="s">
        <v>2</v>
      </c>
      <c r="N1" s="83" t="s">
        <v>3</v>
      </c>
      <c r="O1" s="83" t="s">
        <v>4</v>
      </c>
      <c r="P1" s="84" t="s">
        <v>8</v>
      </c>
      <c r="Q1" s="83" t="s">
        <v>699</v>
      </c>
    </row>
    <row r="2" spans="1:17" x14ac:dyDescent="0.3">
      <c r="A2" s="3" t="s">
        <v>32</v>
      </c>
      <c r="B2" s="3" t="s">
        <v>729</v>
      </c>
      <c r="C2" s="3"/>
      <c r="D2" s="3"/>
      <c r="E2" s="3" t="s">
        <v>1137</v>
      </c>
      <c r="F2" s="56">
        <v>21</v>
      </c>
      <c r="G2" s="3">
        <f>SUMIF(Tabela2[Código],Tabela6[[#This Row],[Código]],Tabela2[Saldo])</f>
        <v>10</v>
      </c>
      <c r="H2" s="3">
        <v>1</v>
      </c>
      <c r="K2" s="2" t="s">
        <v>381</v>
      </c>
      <c r="L2" s="2" t="s">
        <v>741</v>
      </c>
      <c r="M2" s="2"/>
      <c r="N2" s="2"/>
      <c r="O2" s="3" t="s">
        <v>1138</v>
      </c>
      <c r="P2" s="56">
        <v>15.9</v>
      </c>
      <c r="Q2" s="3">
        <v>11</v>
      </c>
    </row>
    <row r="3" spans="1:17" x14ac:dyDescent="0.3">
      <c r="A3" s="2" t="s">
        <v>35</v>
      </c>
      <c r="B3" s="2" t="s">
        <v>730</v>
      </c>
      <c r="C3" s="2"/>
      <c r="D3" s="2"/>
      <c r="E3" s="3" t="s">
        <v>1137</v>
      </c>
      <c r="F3" s="56">
        <v>11.39</v>
      </c>
      <c r="G3" s="3">
        <f>SUMIF(Tabela2[Código],Tabela6[[#This Row],[Código]],Tabela2[Saldo])</f>
        <v>2</v>
      </c>
      <c r="H3" s="2">
        <v>2</v>
      </c>
      <c r="K3" s="2"/>
      <c r="L3" s="2"/>
      <c r="M3" s="2"/>
      <c r="N3" s="2"/>
      <c r="O3" s="3"/>
      <c r="P3" s="56"/>
      <c r="Q3" s="3"/>
    </row>
    <row r="4" spans="1:17" x14ac:dyDescent="0.3">
      <c r="A4" s="2" t="s">
        <v>36</v>
      </c>
      <c r="B4" s="2" t="s">
        <v>729</v>
      </c>
      <c r="C4" s="2"/>
      <c r="D4" s="2"/>
      <c r="E4" s="3" t="s">
        <v>1137</v>
      </c>
      <c r="F4" s="56">
        <v>31.9</v>
      </c>
      <c r="G4" s="3">
        <f>SUMIF(Tabela2[Código],Tabela6[[#This Row],[Código]],Tabela2[Saldo])</f>
        <v>22</v>
      </c>
      <c r="H4" s="2">
        <v>3</v>
      </c>
      <c r="K4" s="2"/>
      <c r="L4" s="2"/>
      <c r="M4" s="2"/>
      <c r="N4" s="2"/>
      <c r="O4" s="3"/>
      <c r="P4" s="56"/>
      <c r="Q4" s="3"/>
    </row>
    <row r="5" spans="1:17" x14ac:dyDescent="0.3">
      <c r="A5" s="2" t="s">
        <v>37</v>
      </c>
      <c r="B5" s="2" t="s">
        <v>731</v>
      </c>
      <c r="C5" s="2"/>
      <c r="D5" s="2"/>
      <c r="E5" s="3" t="s">
        <v>1137</v>
      </c>
      <c r="F5" s="56">
        <v>30</v>
      </c>
      <c r="G5" s="3">
        <f>SUMIF(Tabela2[Código],Tabela6[[#This Row],[Código]],Tabela2[Saldo])</f>
        <v>2</v>
      </c>
      <c r="H5" s="3">
        <v>4</v>
      </c>
      <c r="K5" s="2"/>
      <c r="L5" s="2"/>
      <c r="M5" s="2"/>
      <c r="N5" s="2"/>
      <c r="O5" s="3"/>
      <c r="P5" s="56"/>
      <c r="Q5" s="3"/>
    </row>
    <row r="6" spans="1:17" x14ac:dyDescent="0.3">
      <c r="A6" s="2" t="s">
        <v>38</v>
      </c>
      <c r="B6" s="2" t="s">
        <v>732</v>
      </c>
      <c r="C6" s="2"/>
      <c r="D6" s="2"/>
      <c r="E6" s="3" t="s">
        <v>1137</v>
      </c>
      <c r="F6" s="56">
        <v>30</v>
      </c>
      <c r="G6" s="3">
        <f>SUMIF(Tabela2[Código],Tabela6[[#This Row],[Código]],Tabela2[Saldo])</f>
        <v>4</v>
      </c>
      <c r="H6" s="2">
        <v>5</v>
      </c>
      <c r="K6" s="2"/>
      <c r="L6" s="2"/>
      <c r="M6" s="2"/>
      <c r="N6" s="2"/>
      <c r="O6" s="3"/>
      <c r="P6" s="56"/>
      <c r="Q6" s="3"/>
    </row>
    <row r="7" spans="1:17" x14ac:dyDescent="0.3">
      <c r="A7" s="2" t="s">
        <v>39</v>
      </c>
      <c r="B7" s="2" t="s">
        <v>733</v>
      </c>
      <c r="C7" s="2"/>
      <c r="D7" s="2"/>
      <c r="E7" s="3" t="s">
        <v>1137</v>
      </c>
      <c r="F7" s="56">
        <v>30</v>
      </c>
      <c r="G7" s="3">
        <f>SUMIF(Tabela2[Código],Tabela6[[#This Row],[Código]],Tabela2[Saldo])</f>
        <v>8</v>
      </c>
      <c r="H7" s="2">
        <v>6</v>
      </c>
      <c r="K7" s="2"/>
      <c r="L7" s="2"/>
      <c r="M7" s="2"/>
      <c r="N7" s="2"/>
      <c r="O7" s="3"/>
      <c r="P7" s="56"/>
      <c r="Q7" s="3"/>
    </row>
    <row r="8" spans="1:17" x14ac:dyDescent="0.3">
      <c r="A8" s="2" t="s">
        <v>40</v>
      </c>
      <c r="B8" s="2" t="s">
        <v>734</v>
      </c>
      <c r="C8" s="2"/>
      <c r="D8" s="2"/>
      <c r="E8" s="3" t="s">
        <v>1137</v>
      </c>
      <c r="F8" s="56">
        <v>30</v>
      </c>
      <c r="G8" s="3">
        <f>SUMIF(Tabela2[Código],Tabela6[[#This Row],[Código]],Tabela2[Saldo])</f>
        <v>5</v>
      </c>
      <c r="H8" s="3">
        <v>7</v>
      </c>
      <c r="K8" s="2"/>
      <c r="L8" s="2"/>
      <c r="M8" s="2"/>
      <c r="N8" s="2"/>
      <c r="O8" s="3"/>
      <c r="P8" s="56"/>
      <c r="Q8" s="3"/>
    </row>
    <row r="9" spans="1:17" x14ac:dyDescent="0.3">
      <c r="A9" s="2" t="s">
        <v>41</v>
      </c>
      <c r="B9" s="2" t="s">
        <v>735</v>
      </c>
      <c r="C9" s="2"/>
      <c r="D9" s="2"/>
      <c r="E9" s="3" t="s">
        <v>1137</v>
      </c>
      <c r="F9" s="56">
        <v>30</v>
      </c>
      <c r="G9" s="3">
        <f>SUMIF(Tabela2[Código],Tabela6[[#This Row],[Código]],Tabela2[Saldo])</f>
        <v>5</v>
      </c>
      <c r="H9" s="2">
        <v>8</v>
      </c>
      <c r="K9" s="2"/>
      <c r="L9" s="2"/>
      <c r="M9" s="2"/>
      <c r="N9" s="2"/>
      <c r="O9" s="3"/>
      <c r="P9" s="56"/>
      <c r="Q9" s="3"/>
    </row>
    <row r="10" spans="1:17" x14ac:dyDescent="0.3">
      <c r="A10" s="2" t="s">
        <v>42</v>
      </c>
      <c r="B10" s="2" t="s">
        <v>736</v>
      </c>
      <c r="C10" s="2"/>
      <c r="D10" s="2"/>
      <c r="E10" s="3" t="s">
        <v>1138</v>
      </c>
      <c r="F10" s="56">
        <v>30</v>
      </c>
      <c r="G10" s="3">
        <f>SUMIF(Tabela2[Código],Tabela6[[#This Row],[Código]],Tabela2[Saldo])</f>
        <v>8</v>
      </c>
      <c r="H10" s="2">
        <v>9</v>
      </c>
      <c r="K10" s="2"/>
      <c r="L10" s="2"/>
      <c r="M10" s="2"/>
      <c r="N10" s="2"/>
      <c r="O10" s="3"/>
      <c r="P10" s="56"/>
      <c r="Q10" s="3"/>
    </row>
    <row r="11" spans="1:17" x14ac:dyDescent="0.3">
      <c r="A11" s="2" t="s">
        <v>43</v>
      </c>
      <c r="B11" s="2" t="s">
        <v>737</v>
      </c>
      <c r="C11" s="2"/>
      <c r="D11" s="2"/>
      <c r="E11" s="3" t="s">
        <v>1138</v>
      </c>
      <c r="F11" s="56">
        <v>30</v>
      </c>
      <c r="G11" s="3">
        <f>SUMIF(Tabela2[Código],Tabela6[[#This Row],[Código]],Tabela2[Saldo])</f>
        <v>1</v>
      </c>
      <c r="H11" s="3">
        <v>10</v>
      </c>
      <c r="K11" s="2"/>
      <c r="L11" s="2"/>
      <c r="M11" s="2"/>
      <c r="N11" s="2"/>
      <c r="O11" s="3"/>
      <c r="P11" s="56"/>
      <c r="Q11" s="3"/>
    </row>
    <row r="12" spans="1:17" x14ac:dyDescent="0.3">
      <c r="A12" s="2" t="s">
        <v>44</v>
      </c>
      <c r="B12" s="2" t="s">
        <v>738</v>
      </c>
      <c r="C12" s="2"/>
      <c r="D12" s="2"/>
      <c r="E12" s="3" t="s">
        <v>1138</v>
      </c>
      <c r="F12" s="56">
        <v>30</v>
      </c>
      <c r="G12" s="3">
        <f>SUMIF(Tabela2[Código],Tabela6[[#This Row],[Código]],Tabela2[Saldo])</f>
        <v>0</v>
      </c>
      <c r="H12" s="2">
        <v>11</v>
      </c>
      <c r="K12" s="2"/>
      <c r="L12" s="2"/>
      <c r="M12" s="2"/>
      <c r="N12" s="2"/>
      <c r="O12" s="3"/>
      <c r="P12" s="56"/>
      <c r="Q12" s="3"/>
    </row>
    <row r="13" spans="1:17" x14ac:dyDescent="0.3">
      <c r="A13" s="2" t="s">
        <v>60</v>
      </c>
      <c r="B13" s="2" t="s">
        <v>739</v>
      </c>
      <c r="C13" s="2"/>
      <c r="D13" s="2"/>
      <c r="E13" s="3" t="s">
        <v>1138</v>
      </c>
      <c r="F13" s="56">
        <v>0.01</v>
      </c>
      <c r="G13" s="3">
        <f>SUMIF(Tabela2[Código],Tabela6[[#This Row],[Código]],Tabela2[Saldo])</f>
        <v>6</v>
      </c>
      <c r="H13" s="2">
        <v>12</v>
      </c>
      <c r="K13" s="2"/>
      <c r="L13" s="2"/>
      <c r="M13" s="2"/>
      <c r="N13" s="2"/>
      <c r="O13" s="3"/>
      <c r="P13" s="56"/>
      <c r="Q13" s="3"/>
    </row>
    <row r="14" spans="1:17" x14ac:dyDescent="0.3">
      <c r="A14" s="2" t="s">
        <v>61</v>
      </c>
      <c r="B14" s="2" t="s">
        <v>740</v>
      </c>
      <c r="C14" s="2"/>
      <c r="D14" s="2"/>
      <c r="E14" s="3" t="s">
        <v>1138</v>
      </c>
      <c r="F14" s="56">
        <v>0.01</v>
      </c>
      <c r="G14" s="3">
        <f>SUMIF(Tabela2[Código],Tabela6[[#This Row],[Código]],Tabela2[Saldo])</f>
        <v>1</v>
      </c>
      <c r="H14" s="3">
        <v>13</v>
      </c>
      <c r="K14" s="2"/>
      <c r="L14" s="2"/>
      <c r="M14" s="2"/>
      <c r="N14" s="2"/>
      <c r="O14" s="3"/>
      <c r="P14" s="56"/>
      <c r="Q14" s="3"/>
    </row>
    <row r="15" spans="1:17" x14ac:dyDescent="0.3">
      <c r="A15" s="2" t="s">
        <v>381</v>
      </c>
      <c r="B15" s="2" t="s">
        <v>741</v>
      </c>
      <c r="C15" s="2"/>
      <c r="D15" s="2"/>
      <c r="E15" s="3" t="s">
        <v>1138</v>
      </c>
      <c r="F15" s="56">
        <v>15.9</v>
      </c>
      <c r="G15" s="3">
        <f>SUMIF(Tabela2[Código],Tabela6[[#This Row],[Código]],Tabela2[Saldo])</f>
        <v>11</v>
      </c>
      <c r="H15" s="2">
        <v>14</v>
      </c>
      <c r="K15" s="2"/>
      <c r="L15" s="2"/>
      <c r="M15" s="2"/>
      <c r="N15" s="2"/>
      <c r="O15" s="3"/>
      <c r="P15" s="56"/>
      <c r="Q15" s="3"/>
    </row>
    <row r="16" spans="1:17" x14ac:dyDescent="0.3">
      <c r="A16" s="2" t="s">
        <v>79</v>
      </c>
      <c r="B16" s="2" t="s">
        <v>742</v>
      </c>
      <c r="C16" s="2"/>
      <c r="D16" s="2"/>
      <c r="E16" s="3" t="s">
        <v>1139</v>
      </c>
      <c r="F16" s="56">
        <v>15.9</v>
      </c>
      <c r="G16" s="3">
        <f>SUMIF(Tabela2[Código],Tabela6[[#This Row],[Código]],Tabela2[Saldo])</f>
        <v>9</v>
      </c>
      <c r="H16" s="2">
        <v>15</v>
      </c>
      <c r="K16" s="2"/>
      <c r="L16" s="2"/>
      <c r="M16" s="2"/>
      <c r="N16" s="2"/>
      <c r="O16" s="3"/>
      <c r="P16" s="56"/>
      <c r="Q16" s="3"/>
    </row>
    <row r="17" spans="1:17" x14ac:dyDescent="0.3">
      <c r="A17" s="2" t="s">
        <v>57</v>
      </c>
      <c r="B17" s="2" t="s">
        <v>743</v>
      </c>
      <c r="C17" s="2"/>
      <c r="D17" s="2"/>
      <c r="E17" s="3" t="s">
        <v>1140</v>
      </c>
      <c r="F17" s="56">
        <v>23.9</v>
      </c>
      <c r="G17" s="3">
        <f>SUMIF(Tabela2[Código],Tabela6[[#This Row],[Código]],Tabela2[Saldo])</f>
        <v>19</v>
      </c>
      <c r="H17" s="3">
        <v>16</v>
      </c>
      <c r="K17" s="2"/>
      <c r="L17" s="2"/>
      <c r="M17" s="2"/>
      <c r="N17" s="2"/>
      <c r="O17" s="3"/>
      <c r="P17" s="56"/>
      <c r="Q17" s="3"/>
    </row>
    <row r="18" spans="1:17" x14ac:dyDescent="0.3">
      <c r="A18" s="2" t="s">
        <v>58</v>
      </c>
      <c r="B18" s="2" t="s">
        <v>744</v>
      </c>
      <c r="C18" s="2"/>
      <c r="D18" s="2"/>
      <c r="E18" s="3" t="s">
        <v>1141</v>
      </c>
      <c r="F18" s="56">
        <v>23.9</v>
      </c>
      <c r="G18" s="3">
        <f>SUMIF(Tabela2[Código],Tabela6[[#This Row],[Código]],Tabela2[Saldo])</f>
        <v>17</v>
      </c>
      <c r="H18" s="2">
        <v>17</v>
      </c>
      <c r="K18" s="2"/>
      <c r="L18" s="2"/>
      <c r="M18" s="2"/>
      <c r="N18" s="2"/>
      <c r="O18" s="3"/>
      <c r="P18" s="56"/>
      <c r="Q18" s="3"/>
    </row>
    <row r="19" spans="1:17" x14ac:dyDescent="0.3">
      <c r="A19" s="2" t="s">
        <v>59</v>
      </c>
      <c r="B19" s="2" t="s">
        <v>745</v>
      </c>
      <c r="C19" s="2"/>
      <c r="D19" s="2"/>
      <c r="E19" s="3" t="s">
        <v>1141</v>
      </c>
      <c r="F19" s="56">
        <v>23.9</v>
      </c>
      <c r="G19" s="3">
        <f>SUMIF(Tabela2[Código],Tabela6[[#This Row],[Código]],Tabela2[Saldo])</f>
        <v>25</v>
      </c>
      <c r="H19" s="2">
        <v>18</v>
      </c>
      <c r="K19" s="2"/>
      <c r="L19" s="2"/>
      <c r="M19" s="2"/>
      <c r="N19" s="2"/>
      <c r="O19" s="3"/>
      <c r="P19" s="56"/>
      <c r="Q19" s="3"/>
    </row>
    <row r="20" spans="1:17" x14ac:dyDescent="0.3">
      <c r="A20" s="2" t="s">
        <v>70</v>
      </c>
      <c r="B20" s="2" t="s">
        <v>746</v>
      </c>
      <c r="C20" s="2"/>
      <c r="D20" s="2"/>
      <c r="E20" s="3" t="s">
        <v>1141</v>
      </c>
      <c r="F20" s="56">
        <v>0.01</v>
      </c>
      <c r="G20" s="3">
        <f>SUMIF(Tabela2[Código],Tabela6[[#This Row],[Código]],Tabela2[Saldo])</f>
        <v>5</v>
      </c>
      <c r="H20" s="3">
        <v>19</v>
      </c>
      <c r="K20" s="2"/>
      <c r="L20" s="2"/>
      <c r="M20" s="2"/>
      <c r="N20" s="2"/>
      <c r="O20" s="3"/>
      <c r="P20" s="56"/>
      <c r="Q20" s="3"/>
    </row>
    <row r="21" spans="1:17" x14ac:dyDescent="0.3">
      <c r="A21" s="2" t="s">
        <v>71</v>
      </c>
      <c r="B21" s="2" t="s">
        <v>747</v>
      </c>
      <c r="C21" s="2"/>
      <c r="D21" s="2"/>
      <c r="E21" s="3" t="s">
        <v>1142</v>
      </c>
      <c r="F21" s="56">
        <v>0.01</v>
      </c>
      <c r="G21" s="3">
        <f>SUMIF(Tabela2[Código],Tabela6[[#This Row],[Código]],Tabela2[Saldo])</f>
        <v>2</v>
      </c>
      <c r="H21" s="2">
        <v>20</v>
      </c>
      <c r="K21" s="2"/>
      <c r="L21" s="2"/>
      <c r="M21" s="2"/>
      <c r="N21" s="2"/>
      <c r="O21" s="3"/>
      <c r="P21" s="56"/>
      <c r="Q21" s="3"/>
    </row>
    <row r="22" spans="1:17" x14ac:dyDescent="0.3">
      <c r="A22" s="2" t="s">
        <v>72</v>
      </c>
      <c r="B22" s="2" t="s">
        <v>748</v>
      </c>
      <c r="C22" s="2"/>
      <c r="D22" s="2"/>
      <c r="E22" s="3" t="s">
        <v>1141</v>
      </c>
      <c r="F22" s="56">
        <v>15.9</v>
      </c>
      <c r="G22" s="3">
        <f>SUMIF(Tabela2[Código],Tabela6[[#This Row],[Código]],Tabela2[Saldo])</f>
        <v>10</v>
      </c>
      <c r="H22" s="2">
        <v>21</v>
      </c>
      <c r="K22" s="2"/>
      <c r="L22" s="2"/>
      <c r="M22" s="2"/>
      <c r="N22" s="2"/>
      <c r="O22" s="3"/>
      <c r="P22" s="56"/>
      <c r="Q22" s="3"/>
    </row>
    <row r="23" spans="1:17" x14ac:dyDescent="0.3">
      <c r="A23" s="36" t="s">
        <v>73</v>
      </c>
      <c r="B23" s="36" t="s">
        <v>749</v>
      </c>
      <c r="C23" s="36"/>
      <c r="D23" s="36"/>
      <c r="E23" s="3" t="s">
        <v>1143</v>
      </c>
      <c r="F23" s="56">
        <v>15.9</v>
      </c>
      <c r="G23" s="3">
        <f>SUMIF(Tabela2[Código],Tabela6[[#This Row],[Código]],Tabela2[Saldo])</f>
        <v>11</v>
      </c>
      <c r="H23" s="3">
        <v>22</v>
      </c>
      <c r="K23" s="36"/>
      <c r="L23" s="36"/>
      <c r="M23" s="36"/>
      <c r="N23" s="36"/>
      <c r="O23" s="3"/>
      <c r="P23" s="56"/>
      <c r="Q23" s="3"/>
    </row>
    <row r="24" spans="1:17" x14ac:dyDescent="0.3">
      <c r="A24" s="2" t="s">
        <v>64</v>
      </c>
      <c r="B24" s="2" t="s">
        <v>750</v>
      </c>
      <c r="C24" s="2"/>
      <c r="D24" s="2"/>
      <c r="E24" s="3" t="s">
        <v>1143</v>
      </c>
      <c r="F24" s="56">
        <v>15.9</v>
      </c>
      <c r="G24" s="3">
        <f>SUMIF(Tabela2[Código],Tabela6[[#This Row],[Código]],Tabela2[Saldo])</f>
        <v>6</v>
      </c>
      <c r="H24" s="2">
        <v>23</v>
      </c>
      <c r="K24" s="2"/>
      <c r="L24" s="2"/>
      <c r="M24" s="2"/>
      <c r="N24" s="2"/>
      <c r="O24" s="3"/>
      <c r="P24" s="56"/>
      <c r="Q24" s="3"/>
    </row>
    <row r="25" spans="1:17" x14ac:dyDescent="0.3">
      <c r="A25" s="2" t="s">
        <v>65</v>
      </c>
      <c r="B25" s="2" t="s">
        <v>751</v>
      </c>
      <c r="C25" s="2"/>
      <c r="D25" s="2"/>
      <c r="E25" s="3" t="s">
        <v>1144</v>
      </c>
      <c r="F25" s="56">
        <v>15.9</v>
      </c>
      <c r="G25" s="3">
        <f>SUMIF(Tabela2[Código],Tabela6[[#This Row],[Código]],Tabela2[Saldo])</f>
        <v>7</v>
      </c>
      <c r="H25" s="2">
        <v>24</v>
      </c>
      <c r="K25" s="2"/>
      <c r="L25" s="2"/>
      <c r="M25" s="2"/>
      <c r="N25" s="2"/>
      <c r="O25" s="3"/>
      <c r="P25" s="56"/>
      <c r="Q25" s="3"/>
    </row>
    <row r="26" spans="1:17" x14ac:dyDescent="0.3">
      <c r="A26" s="2" t="s">
        <v>66</v>
      </c>
      <c r="B26" s="2" t="s">
        <v>752</v>
      </c>
      <c r="C26" s="2"/>
      <c r="D26" s="2"/>
      <c r="E26" s="3" t="s">
        <v>1144</v>
      </c>
      <c r="F26" s="56">
        <v>15.9</v>
      </c>
      <c r="G26" s="3">
        <f>SUMIF(Tabela2[Código],Tabela6[[#This Row],[Código]],Tabela2[Saldo])</f>
        <v>10</v>
      </c>
      <c r="H26" s="3">
        <v>25</v>
      </c>
      <c r="K26" s="2"/>
      <c r="L26" s="2"/>
      <c r="M26" s="2"/>
      <c r="N26" s="2"/>
      <c r="O26" s="3"/>
      <c r="P26" s="56"/>
      <c r="Q26" s="3"/>
    </row>
    <row r="27" spans="1:17" x14ac:dyDescent="0.3">
      <c r="A27" s="2" t="s">
        <v>67</v>
      </c>
      <c r="B27" s="2" t="s">
        <v>753</v>
      </c>
      <c r="C27" s="2"/>
      <c r="D27" s="2"/>
      <c r="E27" s="3" t="s">
        <v>1145</v>
      </c>
      <c r="F27" s="56">
        <v>15.9</v>
      </c>
      <c r="G27" s="3">
        <f>SUMIF(Tabela2[Código],Tabela6[[#This Row],[Código]],Tabela2[Saldo])</f>
        <v>9</v>
      </c>
      <c r="H27" s="2">
        <v>26</v>
      </c>
      <c r="K27" s="2"/>
      <c r="L27" s="2"/>
      <c r="M27" s="2"/>
      <c r="N27" s="2"/>
      <c r="O27" s="3"/>
      <c r="P27" s="56"/>
      <c r="Q27" s="3"/>
    </row>
    <row r="28" spans="1:17" x14ac:dyDescent="0.3">
      <c r="A28" s="2" t="s">
        <v>68</v>
      </c>
      <c r="B28" s="2" t="s">
        <v>754</v>
      </c>
      <c r="C28" s="2"/>
      <c r="D28" s="2"/>
      <c r="E28" s="3" t="s">
        <v>1146</v>
      </c>
      <c r="F28" s="56">
        <v>15.9</v>
      </c>
      <c r="G28" s="3">
        <f>SUMIF(Tabela2[Código],Tabela6[[#This Row],[Código]],Tabela2[Saldo])</f>
        <v>10</v>
      </c>
      <c r="H28" s="2">
        <v>27</v>
      </c>
      <c r="K28" s="2"/>
      <c r="L28" s="2"/>
      <c r="M28" s="2"/>
      <c r="N28" s="2"/>
      <c r="O28" s="3"/>
      <c r="P28" s="56"/>
      <c r="Q28" s="3"/>
    </row>
    <row r="29" spans="1:17" x14ac:dyDescent="0.3">
      <c r="A29" s="2" t="s">
        <v>69</v>
      </c>
      <c r="B29" s="2" t="s">
        <v>755</v>
      </c>
      <c r="C29" s="2"/>
      <c r="D29" s="2"/>
      <c r="E29" s="3" t="s">
        <v>1146</v>
      </c>
      <c r="F29" s="56">
        <v>15.9</v>
      </c>
      <c r="G29" s="3">
        <f>SUMIF(Tabela2[Código],Tabela6[[#This Row],[Código]],Tabela2[Saldo])</f>
        <v>18</v>
      </c>
      <c r="H29" s="3">
        <v>28</v>
      </c>
      <c r="K29" s="2"/>
      <c r="L29" s="2"/>
      <c r="M29" s="2"/>
      <c r="N29" s="2"/>
      <c r="O29" s="3"/>
      <c r="P29" s="56"/>
      <c r="Q29" s="3"/>
    </row>
    <row r="30" spans="1:17" x14ac:dyDescent="0.3">
      <c r="A30" s="2" t="s">
        <v>45</v>
      </c>
      <c r="B30" s="2" t="s">
        <v>756</v>
      </c>
      <c r="C30" s="2"/>
      <c r="D30" s="2"/>
      <c r="E30" s="3" t="s">
        <v>1146</v>
      </c>
      <c r="F30" s="56">
        <v>21.9</v>
      </c>
      <c r="G30" s="3">
        <f>SUMIF(Tabela2[Código],Tabela6[[#This Row],[Código]],Tabela2[Saldo])</f>
        <v>4</v>
      </c>
      <c r="H30" s="2">
        <v>29</v>
      </c>
      <c r="K30" s="2"/>
      <c r="L30" s="2"/>
      <c r="M30" s="2"/>
      <c r="N30" s="2"/>
      <c r="O30" s="3"/>
      <c r="P30" s="56"/>
      <c r="Q30" s="3"/>
    </row>
    <row r="31" spans="1:17" x14ac:dyDescent="0.3">
      <c r="A31" s="2" t="s">
        <v>46</v>
      </c>
      <c r="B31" s="2" t="s">
        <v>757</v>
      </c>
      <c r="C31" s="2"/>
      <c r="D31" s="2"/>
      <c r="E31" s="3" t="s">
        <v>1146</v>
      </c>
      <c r="F31" s="56">
        <v>19.5</v>
      </c>
      <c r="G31" s="3">
        <f>SUMIF(Tabela2[Código],Tabela6[[#This Row],[Código]],Tabela2[Saldo])</f>
        <v>24</v>
      </c>
      <c r="H31" s="2">
        <v>30</v>
      </c>
      <c r="K31" s="2"/>
      <c r="L31" s="2"/>
      <c r="M31" s="2"/>
      <c r="N31" s="2"/>
      <c r="O31" s="3"/>
      <c r="P31" s="56"/>
      <c r="Q31" s="3"/>
    </row>
    <row r="32" spans="1:17" x14ac:dyDescent="0.3">
      <c r="A32" s="2" t="s">
        <v>382</v>
      </c>
      <c r="B32" s="2" t="s">
        <v>758</v>
      </c>
      <c r="C32" s="2"/>
      <c r="D32" s="2"/>
      <c r="E32" s="3" t="s">
        <v>1146</v>
      </c>
      <c r="F32" s="56">
        <v>160</v>
      </c>
      <c r="G32" s="3">
        <f>SUMIF(Tabela2[Código],Tabela6[[#This Row],[Código]],Tabela2[Saldo])</f>
        <v>0</v>
      </c>
      <c r="H32" s="3">
        <v>31</v>
      </c>
      <c r="K32" s="2"/>
      <c r="L32" s="2"/>
      <c r="M32" s="2"/>
      <c r="N32" s="2"/>
      <c r="O32" s="3"/>
      <c r="P32" s="56"/>
      <c r="Q32" s="3"/>
    </row>
    <row r="33" spans="1:17" x14ac:dyDescent="0.3">
      <c r="A33" s="2" t="s">
        <v>47</v>
      </c>
      <c r="B33" s="2" t="s">
        <v>759</v>
      </c>
      <c r="C33" s="2"/>
      <c r="D33" s="2"/>
      <c r="E33" s="3" t="s">
        <v>1146</v>
      </c>
      <c r="F33" s="56">
        <v>24.9</v>
      </c>
      <c r="G33" s="3">
        <f>SUMIF(Tabela2[Código],Tabela6[[#This Row],[Código]],Tabela2[Saldo])</f>
        <v>15</v>
      </c>
      <c r="H33" s="2">
        <v>32</v>
      </c>
      <c r="K33" s="2"/>
      <c r="L33" s="2"/>
      <c r="M33" s="2"/>
      <c r="N33" s="2"/>
      <c r="O33" s="3"/>
      <c r="P33" s="56"/>
      <c r="Q33" s="3"/>
    </row>
    <row r="34" spans="1:17" x14ac:dyDescent="0.3">
      <c r="A34" s="2" t="s">
        <v>48</v>
      </c>
      <c r="B34" s="2" t="s">
        <v>760</v>
      </c>
      <c r="C34" s="2"/>
      <c r="D34" s="2"/>
      <c r="E34" s="3" t="s">
        <v>1146</v>
      </c>
      <c r="F34" s="56">
        <v>15</v>
      </c>
      <c r="G34" s="3">
        <f>SUMIF(Tabela2[Código],Tabela6[[#This Row],[Código]],Tabela2[Saldo])</f>
        <v>10</v>
      </c>
      <c r="H34" s="2">
        <v>33</v>
      </c>
      <c r="K34" s="2"/>
      <c r="L34" s="2"/>
      <c r="M34" s="2"/>
      <c r="N34" s="2"/>
      <c r="O34" s="3"/>
      <c r="P34" s="56"/>
      <c r="Q34" s="3"/>
    </row>
    <row r="35" spans="1:17" x14ac:dyDescent="0.3">
      <c r="A35" s="2" t="s">
        <v>49</v>
      </c>
      <c r="B35" s="2" t="s">
        <v>761</v>
      </c>
      <c r="C35" s="2"/>
      <c r="D35" s="2"/>
      <c r="E35" s="3" t="s">
        <v>1146</v>
      </c>
      <c r="F35" s="56">
        <v>15.19</v>
      </c>
      <c r="G35" s="3">
        <f>SUMIF(Tabela2[Código],Tabela6[[#This Row],[Código]],Tabela2[Saldo])</f>
        <v>2</v>
      </c>
      <c r="H35" s="3">
        <v>34</v>
      </c>
      <c r="K35" s="2"/>
      <c r="L35" s="2"/>
      <c r="M35" s="2"/>
      <c r="N35" s="2"/>
      <c r="O35" s="3"/>
      <c r="P35" s="56"/>
      <c r="Q35" s="3"/>
    </row>
    <row r="36" spans="1:17" x14ac:dyDescent="0.3">
      <c r="A36" s="2" t="s">
        <v>50</v>
      </c>
      <c r="B36" s="2" t="s">
        <v>762</v>
      </c>
      <c r="C36" s="2"/>
      <c r="D36" s="2"/>
      <c r="E36" s="3" t="s">
        <v>1147</v>
      </c>
      <c r="F36" s="56">
        <v>1.6</v>
      </c>
      <c r="G36" s="3">
        <f>SUMIF(Tabela2[Código],Tabela6[[#This Row],[Código]],Tabela2[Saldo])</f>
        <v>282</v>
      </c>
      <c r="H36" s="2">
        <v>35</v>
      </c>
      <c r="K36" s="2"/>
      <c r="L36" s="2"/>
      <c r="M36" s="2"/>
      <c r="N36" s="2"/>
      <c r="O36" s="3"/>
      <c r="P36" s="56"/>
      <c r="Q36" s="3"/>
    </row>
    <row r="37" spans="1:17" x14ac:dyDescent="0.3">
      <c r="A37" s="2" t="s">
        <v>51</v>
      </c>
      <c r="B37" s="2" t="s">
        <v>763</v>
      </c>
      <c r="C37" s="2"/>
      <c r="D37" s="2"/>
      <c r="E37" s="3" t="s">
        <v>1148</v>
      </c>
      <c r="F37" s="56">
        <v>23.9</v>
      </c>
      <c r="G37" s="3">
        <f>SUMIF(Tabela2[Código],Tabela6[[#This Row],[Código]],Tabela2[Saldo])</f>
        <v>10</v>
      </c>
      <c r="H37" s="2">
        <v>36</v>
      </c>
      <c r="K37" s="2"/>
      <c r="L37" s="2"/>
      <c r="M37" s="2"/>
      <c r="N37" s="2"/>
      <c r="O37" s="3"/>
      <c r="P37" s="56"/>
      <c r="Q37" s="3"/>
    </row>
    <row r="38" spans="1:17" x14ac:dyDescent="0.3">
      <c r="A38" s="2" t="s">
        <v>52</v>
      </c>
      <c r="B38" s="2" t="s">
        <v>764</v>
      </c>
      <c r="C38" s="2"/>
      <c r="D38" s="2"/>
      <c r="E38" s="3" t="s">
        <v>1149</v>
      </c>
      <c r="F38" s="56">
        <v>2.6</v>
      </c>
      <c r="G38" s="3">
        <f>SUMIF(Tabela2[Código],Tabela6[[#This Row],[Código]],Tabela2[Saldo])</f>
        <v>22</v>
      </c>
      <c r="H38" s="3">
        <v>37</v>
      </c>
      <c r="K38" s="2"/>
      <c r="L38" s="2"/>
      <c r="M38" s="2"/>
      <c r="N38" s="2"/>
      <c r="O38" s="3"/>
      <c r="P38" s="56"/>
      <c r="Q38" s="3"/>
    </row>
    <row r="39" spans="1:17" x14ac:dyDescent="0.3">
      <c r="A39" s="2" t="s">
        <v>53</v>
      </c>
      <c r="B39" s="2" t="s">
        <v>765</v>
      </c>
      <c r="C39" s="2"/>
      <c r="D39" s="2"/>
      <c r="E39" s="3" t="s">
        <v>1149</v>
      </c>
      <c r="F39" s="56">
        <v>0.8</v>
      </c>
      <c r="G39" s="3">
        <f>SUMIF(Tabela2[Código],Tabela6[[#This Row],[Código]],Tabela2[Saldo])</f>
        <v>56</v>
      </c>
      <c r="H39" s="2">
        <v>38</v>
      </c>
      <c r="K39" s="2"/>
      <c r="L39" s="2"/>
      <c r="M39" s="2"/>
      <c r="N39" s="2"/>
      <c r="O39" s="3"/>
      <c r="P39" s="56"/>
      <c r="Q39" s="3"/>
    </row>
    <row r="40" spans="1:17" x14ac:dyDescent="0.3">
      <c r="A40" s="2" t="s">
        <v>55</v>
      </c>
      <c r="B40" s="2" t="s">
        <v>766</v>
      </c>
      <c r="C40" s="2"/>
      <c r="D40" s="2"/>
      <c r="E40" s="3" t="s">
        <v>1150</v>
      </c>
      <c r="F40" s="56">
        <v>1.8</v>
      </c>
      <c r="G40" s="3">
        <f>SUMIF(Tabela2[Código],Tabela6[[#This Row],[Código]],Tabela2[Saldo])</f>
        <v>202</v>
      </c>
      <c r="H40" s="2">
        <v>39</v>
      </c>
      <c r="K40" s="2"/>
      <c r="L40" s="2"/>
      <c r="M40" s="2"/>
      <c r="N40" s="2"/>
      <c r="O40" s="3"/>
      <c r="P40" s="56"/>
      <c r="Q40" s="3"/>
    </row>
    <row r="41" spans="1:17" x14ac:dyDescent="0.3">
      <c r="A41" s="2" t="s">
        <v>54</v>
      </c>
      <c r="B41" s="2" t="s">
        <v>767</v>
      </c>
      <c r="C41" s="2"/>
      <c r="D41" s="2"/>
      <c r="E41" s="3" t="s">
        <v>1150</v>
      </c>
      <c r="F41" s="56">
        <v>17.5</v>
      </c>
      <c r="G41" s="3">
        <f>SUMIF(Tabela2[Código],Tabela6[[#This Row],[Código]],Tabela2[Saldo])</f>
        <v>3</v>
      </c>
      <c r="H41" s="3">
        <v>40</v>
      </c>
      <c r="K41" s="2"/>
      <c r="L41" s="2"/>
      <c r="M41" s="2"/>
      <c r="N41" s="2"/>
      <c r="O41" s="3"/>
      <c r="P41" s="56"/>
      <c r="Q41" s="3"/>
    </row>
    <row r="42" spans="1:17" x14ac:dyDescent="0.3">
      <c r="A42" s="2" t="s">
        <v>74</v>
      </c>
      <c r="B42" s="2" t="s">
        <v>768</v>
      </c>
      <c r="C42" s="2"/>
      <c r="D42" s="2"/>
      <c r="E42" s="3" t="s">
        <v>1151</v>
      </c>
      <c r="F42" s="56">
        <v>52</v>
      </c>
      <c r="G42" s="3">
        <f>SUMIF(Tabela2[Código],Tabela6[[#This Row],[Código]],Tabela2[Saldo])</f>
        <v>4</v>
      </c>
      <c r="H42" s="2">
        <v>41</v>
      </c>
      <c r="K42" s="2"/>
      <c r="L42" s="2"/>
      <c r="M42" s="2"/>
      <c r="N42" s="2"/>
      <c r="O42" s="3"/>
      <c r="P42" s="56"/>
      <c r="Q42" s="3"/>
    </row>
    <row r="43" spans="1:17" x14ac:dyDescent="0.3">
      <c r="A43" s="2" t="s">
        <v>75</v>
      </c>
      <c r="B43" s="2" t="s">
        <v>769</v>
      </c>
      <c r="C43" s="2"/>
      <c r="D43" s="2"/>
      <c r="E43" s="3" t="s">
        <v>1152</v>
      </c>
      <c r="F43" s="56">
        <v>8.6999999999999993</v>
      </c>
      <c r="G43" s="3">
        <f>SUMIF(Tabela2[Código],Tabela6[[#This Row],[Código]],Tabela2[Saldo])</f>
        <v>1</v>
      </c>
      <c r="H43" s="2">
        <v>42</v>
      </c>
      <c r="K43" s="2"/>
      <c r="L43" s="2"/>
      <c r="M43" s="2"/>
      <c r="N43" s="2"/>
      <c r="O43" s="3"/>
      <c r="P43" s="56"/>
      <c r="Q43" s="3"/>
    </row>
    <row r="44" spans="1:17" x14ac:dyDescent="0.3">
      <c r="A44" s="2" t="s">
        <v>76</v>
      </c>
      <c r="B44" s="2" t="s">
        <v>770</v>
      </c>
      <c r="C44" s="2"/>
      <c r="D44" s="2"/>
      <c r="E44" s="3" t="s">
        <v>1153</v>
      </c>
      <c r="F44" s="56">
        <v>64.900000000000006</v>
      </c>
      <c r="G44" s="3">
        <f>SUMIF(Tabela2[Código],Tabela6[[#This Row],[Código]],Tabela2[Saldo])</f>
        <v>1</v>
      </c>
      <c r="H44" s="3">
        <v>43</v>
      </c>
      <c r="K44" s="2"/>
      <c r="L44" s="2"/>
      <c r="M44" s="2"/>
      <c r="N44" s="2"/>
      <c r="O44" s="3"/>
      <c r="P44" s="56"/>
      <c r="Q44" s="3"/>
    </row>
    <row r="45" spans="1:17" x14ac:dyDescent="0.3">
      <c r="A45" s="2" t="s">
        <v>77</v>
      </c>
      <c r="B45" s="2" t="s">
        <v>771</v>
      </c>
      <c r="C45" s="2"/>
      <c r="D45" s="2"/>
      <c r="E45" s="3" t="s">
        <v>1154</v>
      </c>
      <c r="F45" s="56">
        <v>1.58</v>
      </c>
      <c r="G45" s="3">
        <f>SUMIF(Tabela2[Código],Tabela6[[#This Row],[Código]],Tabela2[Saldo])</f>
        <v>10</v>
      </c>
      <c r="H45" s="2">
        <v>44</v>
      </c>
      <c r="K45" s="2"/>
      <c r="L45" s="2"/>
      <c r="M45" s="2"/>
      <c r="N45" s="2"/>
      <c r="O45" s="3"/>
      <c r="P45" s="56"/>
      <c r="Q45" s="3"/>
    </row>
    <row r="46" spans="1:17" x14ac:dyDescent="0.3">
      <c r="A46" s="2" t="s">
        <v>80</v>
      </c>
      <c r="B46" s="2" t="s">
        <v>772</v>
      </c>
      <c r="C46" s="2"/>
      <c r="D46" s="2"/>
      <c r="E46" s="3" t="s">
        <v>1155</v>
      </c>
      <c r="F46" s="56">
        <v>15.9</v>
      </c>
      <c r="G46" s="3">
        <f>SUMIF(Tabela2[Código],Tabela6[[#This Row],[Código]],Tabela2[Saldo])</f>
        <v>9</v>
      </c>
      <c r="H46" s="2">
        <v>45</v>
      </c>
      <c r="K46" s="2"/>
      <c r="L46" s="2"/>
      <c r="M46" s="2"/>
      <c r="N46" s="2"/>
      <c r="O46" s="3"/>
      <c r="P46" s="56"/>
      <c r="Q46" s="3"/>
    </row>
    <row r="47" spans="1:17" x14ac:dyDescent="0.3">
      <c r="A47" s="2" t="s">
        <v>81</v>
      </c>
      <c r="B47" s="2" t="s">
        <v>773</v>
      </c>
      <c r="C47" s="2"/>
      <c r="D47" s="2"/>
      <c r="E47" s="3" t="s">
        <v>1156</v>
      </c>
      <c r="F47" s="56">
        <v>15.9</v>
      </c>
      <c r="G47" s="3">
        <f>SUMIF(Tabela2[Código],Tabela6[[#This Row],[Código]],Tabela2[Saldo])</f>
        <v>9</v>
      </c>
      <c r="H47" s="3">
        <v>46</v>
      </c>
      <c r="K47" s="2"/>
      <c r="L47" s="2"/>
      <c r="M47" s="2"/>
      <c r="N47" s="2"/>
      <c r="O47" s="3"/>
      <c r="P47" s="56"/>
      <c r="Q47" s="3"/>
    </row>
    <row r="48" spans="1:17" x14ac:dyDescent="0.3">
      <c r="A48" s="2" t="s">
        <v>82</v>
      </c>
      <c r="B48" s="2" t="s">
        <v>774</v>
      </c>
      <c r="C48" s="2"/>
      <c r="D48" s="2"/>
      <c r="E48" s="3" t="s">
        <v>1156</v>
      </c>
      <c r="F48" s="56">
        <v>2</v>
      </c>
      <c r="G48" s="3">
        <f>SUMIF(Tabela2[Código],Tabela6[[#This Row],[Código]],Tabela2[Saldo])</f>
        <v>10</v>
      </c>
      <c r="H48" s="2">
        <v>47</v>
      </c>
      <c r="K48" s="2"/>
      <c r="L48" s="2"/>
      <c r="M48" s="2"/>
      <c r="N48" s="2"/>
      <c r="O48" s="3"/>
      <c r="P48" s="56"/>
      <c r="Q48" s="3"/>
    </row>
    <row r="49" spans="1:17" x14ac:dyDescent="0.3">
      <c r="A49" s="2" t="s">
        <v>83</v>
      </c>
      <c r="B49" s="2" t="s">
        <v>775</v>
      </c>
      <c r="C49" s="2"/>
      <c r="D49" s="2"/>
      <c r="E49" s="3" t="s">
        <v>1156</v>
      </c>
      <c r="F49" s="56">
        <v>279.89999999999998</v>
      </c>
      <c r="G49" s="3">
        <f>SUMIF(Tabela2[Código],Tabela6[[#This Row],[Código]],Tabela2[Saldo])</f>
        <v>1</v>
      </c>
      <c r="H49" s="2">
        <v>48</v>
      </c>
      <c r="K49" s="2"/>
      <c r="L49" s="2"/>
      <c r="M49" s="2"/>
      <c r="N49" s="2"/>
      <c r="O49" s="3"/>
      <c r="P49" s="56"/>
      <c r="Q49" s="3"/>
    </row>
    <row r="50" spans="1:17" x14ac:dyDescent="0.3">
      <c r="A50" s="2" t="s">
        <v>84</v>
      </c>
      <c r="B50" s="2" t="s">
        <v>776</v>
      </c>
      <c r="C50" s="2"/>
      <c r="D50" s="2"/>
      <c r="E50" s="3" t="s">
        <v>1156</v>
      </c>
      <c r="F50" s="56">
        <v>679</v>
      </c>
      <c r="G50" s="3">
        <f>SUMIF(Tabela2[Código],Tabela6[[#This Row],[Código]],Tabela2[Saldo])</f>
        <v>1</v>
      </c>
      <c r="H50" s="3">
        <v>49</v>
      </c>
      <c r="K50" s="2"/>
      <c r="L50" s="2"/>
      <c r="M50" s="2"/>
      <c r="N50" s="2"/>
      <c r="O50" s="3"/>
      <c r="P50" s="56"/>
      <c r="Q50" s="3"/>
    </row>
    <row r="51" spans="1:17" x14ac:dyDescent="0.3">
      <c r="A51" s="2" t="s">
        <v>85</v>
      </c>
      <c r="B51" s="2" t="s">
        <v>777</v>
      </c>
      <c r="C51" s="2"/>
      <c r="D51" s="2"/>
      <c r="E51" s="3" t="s">
        <v>1156</v>
      </c>
      <c r="F51" s="56">
        <v>4468</v>
      </c>
      <c r="G51" s="3">
        <f>SUMIF(Tabela2[Código],Tabela6[[#This Row],[Código]],Tabela2[Saldo])</f>
        <v>0</v>
      </c>
      <c r="H51" s="2">
        <v>50</v>
      </c>
      <c r="K51" s="2"/>
      <c r="L51" s="2"/>
      <c r="M51" s="2"/>
      <c r="N51" s="2"/>
      <c r="O51" s="3"/>
      <c r="P51" s="56"/>
      <c r="Q51" s="3"/>
    </row>
    <row r="52" spans="1:17" x14ac:dyDescent="0.3">
      <c r="A52" s="2" t="s">
        <v>86</v>
      </c>
      <c r="B52" s="2" t="s">
        <v>778</v>
      </c>
      <c r="C52" s="2"/>
      <c r="D52" s="2"/>
      <c r="E52" s="3" t="s">
        <v>1156</v>
      </c>
      <c r="F52" s="56">
        <v>483.9</v>
      </c>
      <c r="G52" s="3">
        <f>SUMIF(Tabela2[Código],Tabela6[[#This Row],[Código]],Tabela2[Saldo])</f>
        <v>0</v>
      </c>
      <c r="H52" s="2">
        <v>51</v>
      </c>
      <c r="K52" s="2"/>
      <c r="L52" s="2"/>
      <c r="M52" s="2"/>
      <c r="N52" s="2"/>
      <c r="O52" s="3"/>
      <c r="P52" s="56"/>
      <c r="Q52" s="3"/>
    </row>
    <row r="53" spans="1:17" x14ac:dyDescent="0.3">
      <c r="A53" s="2" t="s">
        <v>87</v>
      </c>
      <c r="B53" s="2" t="s">
        <v>779</v>
      </c>
      <c r="C53" s="2"/>
      <c r="D53" s="2"/>
      <c r="E53" s="3" t="s">
        <v>1156</v>
      </c>
      <c r="F53" s="56">
        <v>483.9</v>
      </c>
      <c r="G53" s="3">
        <f>SUMIF(Tabela2[Código],Tabela6[[#This Row],[Código]],Tabela2[Saldo])</f>
        <v>1</v>
      </c>
      <c r="H53" s="3">
        <v>52</v>
      </c>
      <c r="K53" s="2"/>
      <c r="L53" s="2"/>
      <c r="M53" s="2"/>
      <c r="N53" s="2"/>
      <c r="O53" s="3"/>
      <c r="P53" s="56"/>
      <c r="Q53" s="3"/>
    </row>
    <row r="54" spans="1:17" x14ac:dyDescent="0.3">
      <c r="A54" s="2" t="s">
        <v>88</v>
      </c>
      <c r="B54" s="2" t="s">
        <v>780</v>
      </c>
      <c r="C54" s="2"/>
      <c r="D54" s="2"/>
      <c r="E54" s="3" t="s">
        <v>1156</v>
      </c>
      <c r="F54" s="56">
        <v>259.91000000000003</v>
      </c>
      <c r="G54" s="3">
        <f>SUMIF(Tabela2[Código],Tabela6[[#This Row],[Código]],Tabela2[Saldo])</f>
        <v>1</v>
      </c>
      <c r="H54" s="2">
        <v>53</v>
      </c>
      <c r="K54" s="2"/>
      <c r="L54" s="2"/>
      <c r="M54" s="2"/>
      <c r="N54" s="2"/>
      <c r="O54" s="3"/>
      <c r="P54" s="56"/>
      <c r="Q54" s="3"/>
    </row>
    <row r="55" spans="1:17" x14ac:dyDescent="0.3">
      <c r="A55" s="2" t="s">
        <v>89</v>
      </c>
      <c r="B55" s="2" t="s">
        <v>781</v>
      </c>
      <c r="C55" s="2"/>
      <c r="D55" s="2"/>
      <c r="E55" s="3" t="s">
        <v>1156</v>
      </c>
      <c r="F55" s="56">
        <v>2630</v>
      </c>
      <c r="G55" s="3">
        <f>SUMIF(Tabela2[Código],Tabela6[[#This Row],[Código]],Tabela2[Saldo])</f>
        <v>0</v>
      </c>
      <c r="H55" s="2">
        <v>54</v>
      </c>
      <c r="K55" s="2"/>
      <c r="L55" s="2"/>
      <c r="M55" s="2"/>
      <c r="N55" s="2"/>
      <c r="O55" s="3"/>
      <c r="P55" s="56"/>
      <c r="Q55" s="3"/>
    </row>
    <row r="56" spans="1:17" x14ac:dyDescent="0.3">
      <c r="A56" s="2" t="s">
        <v>90</v>
      </c>
      <c r="B56" s="2" t="s">
        <v>782</v>
      </c>
      <c r="C56" s="2"/>
      <c r="D56" s="2"/>
      <c r="E56" s="3" t="s">
        <v>1156</v>
      </c>
      <c r="F56" s="56">
        <v>2630</v>
      </c>
      <c r="G56" s="3">
        <f>SUMIF(Tabela2[Código],Tabela6[[#This Row],[Código]],Tabela2[Saldo])</f>
        <v>1</v>
      </c>
      <c r="H56" s="3">
        <v>55</v>
      </c>
      <c r="K56" s="2"/>
      <c r="L56" s="2"/>
      <c r="M56" s="2"/>
      <c r="N56" s="2"/>
      <c r="O56" s="3"/>
      <c r="P56" s="56"/>
      <c r="Q56" s="3"/>
    </row>
    <row r="57" spans="1:17" x14ac:dyDescent="0.3">
      <c r="A57" s="2" t="s">
        <v>91</v>
      </c>
      <c r="B57" s="2" t="s">
        <v>783</v>
      </c>
      <c r="C57" s="2"/>
      <c r="D57" s="2"/>
      <c r="E57" s="3" t="s">
        <v>1156</v>
      </c>
      <c r="F57" s="56">
        <v>582</v>
      </c>
      <c r="G57" s="3">
        <f>SUMIF(Tabela2[Código],Tabela6[[#This Row],[Código]],Tabela2[Saldo])</f>
        <v>1</v>
      </c>
      <c r="H57" s="2">
        <v>56</v>
      </c>
      <c r="K57" s="2"/>
      <c r="L57" s="2"/>
      <c r="M57" s="2"/>
      <c r="N57" s="2"/>
      <c r="O57" s="3"/>
      <c r="P57" s="56"/>
      <c r="Q57" s="3"/>
    </row>
    <row r="58" spans="1:17" x14ac:dyDescent="0.3">
      <c r="A58" s="2" t="s">
        <v>92</v>
      </c>
      <c r="B58" s="2" t="s">
        <v>784</v>
      </c>
      <c r="C58" s="2"/>
      <c r="D58" s="2"/>
      <c r="E58" s="3" t="s">
        <v>1156</v>
      </c>
      <c r="F58" s="56">
        <v>0.01</v>
      </c>
      <c r="G58" s="3">
        <f>SUMIF(Tabela2[Código],Tabela6[[#This Row],[Código]],Tabela2[Saldo])</f>
        <v>1</v>
      </c>
      <c r="H58" s="2">
        <v>57</v>
      </c>
      <c r="K58" s="2"/>
      <c r="L58" s="2"/>
      <c r="M58" s="2"/>
      <c r="N58" s="2"/>
      <c r="O58" s="3"/>
      <c r="P58" s="56"/>
      <c r="Q58" s="3"/>
    </row>
    <row r="59" spans="1:17" x14ac:dyDescent="0.3">
      <c r="A59" s="2" t="s">
        <v>93</v>
      </c>
      <c r="B59" s="2" t="s">
        <v>785</v>
      </c>
      <c r="C59" s="2"/>
      <c r="D59" s="2"/>
      <c r="E59" s="3" t="s">
        <v>1156</v>
      </c>
      <c r="F59" s="56">
        <v>1799</v>
      </c>
      <c r="G59" s="3">
        <f>SUMIF(Tabela2[Código],Tabela6[[#This Row],[Código]],Tabela2[Saldo])</f>
        <v>1</v>
      </c>
      <c r="H59" s="3">
        <v>58</v>
      </c>
      <c r="K59" s="2"/>
      <c r="L59" s="2"/>
      <c r="M59" s="2"/>
      <c r="N59" s="2"/>
      <c r="O59" s="3"/>
      <c r="P59" s="56"/>
      <c r="Q59" s="3"/>
    </row>
    <row r="60" spans="1:17" x14ac:dyDescent="0.3">
      <c r="A60" s="2" t="s">
        <v>94</v>
      </c>
      <c r="B60" s="2" t="s">
        <v>786</v>
      </c>
      <c r="C60" s="2"/>
      <c r="D60" s="2"/>
      <c r="E60" s="3" t="s">
        <v>1156</v>
      </c>
      <c r="F60" s="56">
        <v>586.04</v>
      </c>
      <c r="G60" s="3">
        <f>SUMIF(Tabela2[Código],Tabela6[[#This Row],[Código]],Tabela2[Saldo])</f>
        <v>1</v>
      </c>
      <c r="H60" s="2">
        <v>59</v>
      </c>
      <c r="K60" s="2"/>
      <c r="L60" s="2"/>
      <c r="M60" s="2"/>
      <c r="N60" s="2"/>
      <c r="O60" s="3"/>
      <c r="P60" s="56"/>
      <c r="Q60" s="3"/>
    </row>
    <row r="61" spans="1:17" x14ac:dyDescent="0.3">
      <c r="A61" s="2" t="s">
        <v>95</v>
      </c>
      <c r="B61" s="2" t="s">
        <v>787</v>
      </c>
      <c r="C61" s="2"/>
      <c r="D61" s="2"/>
      <c r="E61" s="3" t="s">
        <v>1156</v>
      </c>
      <c r="F61" s="56">
        <v>5676</v>
      </c>
      <c r="G61" s="3">
        <f>SUMIF(Tabela2[Código],Tabela6[[#This Row],[Código]],Tabela2[Saldo])</f>
        <v>0</v>
      </c>
      <c r="H61" s="2">
        <v>60</v>
      </c>
      <c r="K61" s="2"/>
      <c r="L61" s="2"/>
      <c r="M61" s="2"/>
      <c r="N61" s="2"/>
      <c r="O61" s="3"/>
      <c r="P61" s="56"/>
      <c r="Q61" s="3"/>
    </row>
    <row r="62" spans="1:17" x14ac:dyDescent="0.3">
      <c r="A62" s="2" t="s">
        <v>96</v>
      </c>
      <c r="B62" s="2" t="s">
        <v>788</v>
      </c>
      <c r="C62" s="2"/>
      <c r="D62" s="2"/>
      <c r="E62" s="3" t="s">
        <v>1156</v>
      </c>
      <c r="F62" s="56">
        <v>5676</v>
      </c>
      <c r="G62" s="3">
        <f>SUMIF(Tabela2[Código],Tabela6[[#This Row],[Código]],Tabela2[Saldo])</f>
        <v>1</v>
      </c>
      <c r="H62" s="3">
        <v>61</v>
      </c>
      <c r="K62" s="2"/>
      <c r="L62" s="2"/>
      <c r="M62" s="2"/>
      <c r="N62" s="2"/>
      <c r="O62" s="3"/>
      <c r="P62" s="56"/>
      <c r="Q62" s="3"/>
    </row>
    <row r="63" spans="1:17" x14ac:dyDescent="0.3">
      <c r="A63" s="2" t="s">
        <v>97</v>
      </c>
      <c r="B63" s="2" t="s">
        <v>789</v>
      </c>
      <c r="C63" s="2"/>
      <c r="D63" s="2"/>
      <c r="E63" s="3" t="s">
        <v>1156</v>
      </c>
      <c r="F63" s="56">
        <v>959</v>
      </c>
      <c r="G63" s="3">
        <f>SUMIF(Tabela2[Código],Tabela6[[#This Row],[Código]],Tabela2[Saldo])</f>
        <v>1</v>
      </c>
      <c r="H63" s="2">
        <v>62</v>
      </c>
      <c r="K63" s="2"/>
      <c r="L63" s="2"/>
      <c r="M63" s="2"/>
      <c r="N63" s="2"/>
      <c r="O63" s="3"/>
      <c r="P63" s="56"/>
      <c r="Q63" s="3"/>
    </row>
    <row r="64" spans="1:17" x14ac:dyDescent="0.3">
      <c r="A64" s="2" t="s">
        <v>98</v>
      </c>
      <c r="B64" s="2" t="s">
        <v>790</v>
      </c>
      <c r="C64" s="2"/>
      <c r="D64" s="2"/>
      <c r="E64" s="3" t="s">
        <v>1156</v>
      </c>
      <c r="F64" s="56">
        <v>259</v>
      </c>
      <c r="G64" s="3">
        <f>SUMIF(Tabela2[Código],Tabela6[[#This Row],[Código]],Tabela2[Saldo])</f>
        <v>0</v>
      </c>
      <c r="H64" s="2">
        <v>63</v>
      </c>
      <c r="K64" s="2"/>
      <c r="L64" s="2"/>
      <c r="M64" s="2"/>
      <c r="N64" s="2"/>
      <c r="O64" s="3"/>
      <c r="P64" s="56"/>
      <c r="Q64" s="3"/>
    </row>
    <row r="65" spans="1:17" x14ac:dyDescent="0.3">
      <c r="A65" s="2" t="s">
        <v>99</v>
      </c>
      <c r="B65" s="2" t="s">
        <v>791</v>
      </c>
      <c r="C65" s="2"/>
      <c r="D65" s="2"/>
      <c r="E65" s="3" t="s">
        <v>1156</v>
      </c>
      <c r="F65" s="56">
        <v>0</v>
      </c>
      <c r="G65" s="3">
        <f>SUMIF(Tabela2[Código],Tabela6[[#This Row],[Código]],Tabela2[Saldo])</f>
        <v>0</v>
      </c>
      <c r="H65" s="3">
        <v>64</v>
      </c>
      <c r="K65" s="2"/>
      <c r="L65" s="2"/>
      <c r="M65" s="2"/>
      <c r="N65" s="2"/>
      <c r="O65" s="3"/>
      <c r="P65" s="56"/>
      <c r="Q65" s="3"/>
    </row>
    <row r="66" spans="1:17" x14ac:dyDescent="0.3">
      <c r="A66" s="2" t="s">
        <v>100</v>
      </c>
      <c r="B66" s="2" t="s">
        <v>792</v>
      </c>
      <c r="C66" s="2"/>
      <c r="D66" s="2"/>
      <c r="E66" s="3" t="s">
        <v>1156</v>
      </c>
      <c r="F66" s="56">
        <v>1374</v>
      </c>
      <c r="G66" s="3">
        <f>SUMIF(Tabela2[Código],Tabela6[[#This Row],[Código]],Tabela2[Saldo])</f>
        <v>1</v>
      </c>
      <c r="H66" s="2">
        <v>65</v>
      </c>
      <c r="K66" s="2"/>
      <c r="L66" s="2"/>
      <c r="M66" s="2"/>
      <c r="N66" s="2"/>
      <c r="O66" s="3"/>
      <c r="P66" s="56"/>
      <c r="Q66" s="3"/>
    </row>
    <row r="67" spans="1:17" x14ac:dyDescent="0.3">
      <c r="A67" s="2" t="s">
        <v>101</v>
      </c>
      <c r="B67" s="2" t="s">
        <v>793</v>
      </c>
      <c r="C67" s="2"/>
      <c r="D67" s="2"/>
      <c r="E67" s="3" t="s">
        <v>1156</v>
      </c>
      <c r="F67" s="56">
        <v>700</v>
      </c>
      <c r="G67" s="3">
        <f>SUMIF(Tabela2[Código],Tabela6[[#This Row],[Código]],Tabela2[Saldo])</f>
        <v>1</v>
      </c>
      <c r="H67" s="2">
        <v>66</v>
      </c>
      <c r="K67" s="2"/>
      <c r="L67" s="2"/>
      <c r="M67" s="2"/>
      <c r="N67" s="2"/>
      <c r="O67" s="3"/>
      <c r="P67" s="56"/>
      <c r="Q67" s="3"/>
    </row>
    <row r="68" spans="1:17" x14ac:dyDescent="0.3">
      <c r="A68" s="2" t="s">
        <v>102</v>
      </c>
      <c r="B68" s="2" t="s">
        <v>794</v>
      </c>
      <c r="C68" s="2"/>
      <c r="D68" s="2"/>
      <c r="E68" s="3" t="s">
        <v>1156</v>
      </c>
      <c r="F68" s="56">
        <v>17.37</v>
      </c>
      <c r="G68" s="3">
        <f>SUMIF(Tabela2[Código],Tabela6[[#This Row],[Código]],Tabela2[Saldo])</f>
        <v>2</v>
      </c>
      <c r="H68" s="3">
        <v>67</v>
      </c>
      <c r="K68" s="2"/>
      <c r="L68" s="2"/>
      <c r="M68" s="2"/>
      <c r="N68" s="2"/>
      <c r="O68" s="3"/>
      <c r="P68" s="56"/>
      <c r="Q68" s="3"/>
    </row>
    <row r="69" spans="1:17" x14ac:dyDescent="0.3">
      <c r="A69" s="2" t="s">
        <v>103</v>
      </c>
      <c r="B69" s="2" t="s">
        <v>795</v>
      </c>
      <c r="C69" s="2"/>
      <c r="D69" s="2"/>
      <c r="E69" s="3" t="s">
        <v>1156</v>
      </c>
      <c r="F69" s="56">
        <v>25.21</v>
      </c>
      <c r="G69" s="3">
        <f>SUMIF(Tabela2[Código],Tabela6[[#This Row],[Código]],Tabela2[Saldo])</f>
        <v>2</v>
      </c>
      <c r="H69" s="2">
        <v>68</v>
      </c>
      <c r="K69" s="2"/>
      <c r="L69" s="2"/>
      <c r="M69" s="2"/>
      <c r="N69" s="2"/>
      <c r="O69" s="3"/>
      <c r="P69" s="56"/>
      <c r="Q69" s="3"/>
    </row>
    <row r="70" spans="1:17" x14ac:dyDescent="0.3">
      <c r="A70" s="2" t="s">
        <v>104</v>
      </c>
      <c r="B70" s="2" t="s">
        <v>796</v>
      </c>
      <c r="C70" s="2"/>
      <c r="D70" s="2"/>
      <c r="E70" s="3" t="s">
        <v>1156</v>
      </c>
      <c r="F70" s="56">
        <v>19.899999999999999</v>
      </c>
      <c r="G70" s="3">
        <f>SUMIF(Tabela2[Código],Tabela6[[#This Row],[Código]],Tabela2[Saldo])</f>
        <v>1</v>
      </c>
      <c r="H70" s="2">
        <v>69</v>
      </c>
      <c r="K70" s="2"/>
      <c r="L70" s="2"/>
      <c r="M70" s="2"/>
      <c r="N70" s="2"/>
      <c r="O70" s="3"/>
      <c r="P70" s="56"/>
      <c r="Q70" s="3"/>
    </row>
    <row r="71" spans="1:17" x14ac:dyDescent="0.3">
      <c r="A71" s="2" t="s">
        <v>105</v>
      </c>
      <c r="B71" s="2" t="s">
        <v>797</v>
      </c>
      <c r="C71" s="2"/>
      <c r="D71" s="2"/>
      <c r="E71" s="3" t="s">
        <v>1156</v>
      </c>
      <c r="F71" s="56">
        <v>7.9</v>
      </c>
      <c r="G71" s="3">
        <f>SUMIF(Tabela2[Código],Tabela6[[#This Row],[Código]],Tabela2[Saldo])</f>
        <v>1</v>
      </c>
      <c r="H71" s="3">
        <v>70</v>
      </c>
      <c r="K71" s="2"/>
      <c r="L71" s="2"/>
      <c r="M71" s="2"/>
      <c r="N71" s="2"/>
      <c r="O71" s="3"/>
      <c r="P71" s="56"/>
      <c r="Q71" s="3"/>
    </row>
    <row r="72" spans="1:17" x14ac:dyDescent="0.3">
      <c r="A72" s="2" t="s">
        <v>106</v>
      </c>
      <c r="B72" s="2" t="s">
        <v>798</v>
      </c>
      <c r="C72" s="2"/>
      <c r="D72" s="2"/>
      <c r="E72" s="3" t="s">
        <v>1156</v>
      </c>
      <c r="F72" s="56">
        <v>89.9</v>
      </c>
      <c r="G72" s="3">
        <f>SUMIF(Tabela2[Código],Tabela6[[#This Row],[Código]],Tabela2[Saldo])</f>
        <v>0</v>
      </c>
      <c r="H72" s="2">
        <v>71</v>
      </c>
      <c r="K72" s="2"/>
      <c r="L72" s="2"/>
      <c r="M72" s="2"/>
      <c r="N72" s="2"/>
      <c r="O72" s="3"/>
      <c r="P72" s="56"/>
      <c r="Q72" s="3"/>
    </row>
    <row r="73" spans="1:17" x14ac:dyDescent="0.3">
      <c r="A73" s="2" t="s">
        <v>107</v>
      </c>
      <c r="B73" s="2" t="s">
        <v>799</v>
      </c>
      <c r="C73" s="2"/>
      <c r="D73" s="2"/>
      <c r="E73" s="3" t="s">
        <v>1156</v>
      </c>
      <c r="F73" s="56">
        <v>51.9</v>
      </c>
      <c r="G73" s="3">
        <f>SUMIF(Tabela2[Código],Tabela6[[#This Row],[Código]],Tabela2[Saldo])</f>
        <v>3</v>
      </c>
      <c r="H73" s="2">
        <v>72</v>
      </c>
      <c r="K73" s="2"/>
      <c r="L73" s="2"/>
      <c r="M73" s="2"/>
      <c r="N73" s="2"/>
      <c r="O73" s="3"/>
      <c r="P73" s="56"/>
      <c r="Q73" s="3"/>
    </row>
    <row r="74" spans="1:17" x14ac:dyDescent="0.3">
      <c r="A74" s="2" t="s">
        <v>108</v>
      </c>
      <c r="B74" s="2" t="s">
        <v>800</v>
      </c>
      <c r="C74" s="2"/>
      <c r="D74" s="2"/>
      <c r="E74" s="3" t="s">
        <v>1157</v>
      </c>
      <c r="F74" s="56">
        <v>34.9</v>
      </c>
      <c r="G74" s="3">
        <f>SUMIF(Tabela2[Código],Tabela6[[#This Row],[Código]],Tabela2[Saldo])</f>
        <v>2</v>
      </c>
      <c r="H74" s="3">
        <v>73</v>
      </c>
      <c r="K74" s="2"/>
      <c r="L74" s="2"/>
      <c r="M74" s="2"/>
      <c r="N74" s="2"/>
      <c r="O74" s="3"/>
      <c r="P74" s="56"/>
      <c r="Q74" s="3"/>
    </row>
    <row r="75" spans="1:17" x14ac:dyDescent="0.3">
      <c r="A75" s="2" t="s">
        <v>109</v>
      </c>
      <c r="B75" s="2" t="s">
        <v>801</v>
      </c>
      <c r="C75" s="2"/>
      <c r="D75" s="2"/>
      <c r="E75" s="3" t="s">
        <v>1158</v>
      </c>
      <c r="F75" s="56">
        <v>190.9</v>
      </c>
      <c r="G75" s="3">
        <f>SUMIF(Tabela2[Código],Tabela6[[#This Row],[Código]],Tabela2[Saldo])</f>
        <v>1</v>
      </c>
      <c r="H75" s="2">
        <v>74</v>
      </c>
      <c r="K75" s="2"/>
      <c r="L75" s="2"/>
      <c r="M75" s="2"/>
      <c r="N75" s="2"/>
      <c r="O75" s="3"/>
      <c r="P75" s="56"/>
      <c r="Q75" s="3"/>
    </row>
    <row r="76" spans="1:17" x14ac:dyDescent="0.3">
      <c r="A76" s="2" t="s">
        <v>110</v>
      </c>
      <c r="B76" s="2" t="s">
        <v>802</v>
      </c>
      <c r="C76" s="2"/>
      <c r="D76" s="2"/>
      <c r="E76" s="3" t="s">
        <v>1158</v>
      </c>
      <c r="F76" s="56">
        <v>203.18</v>
      </c>
      <c r="G76" s="3">
        <f>SUMIF(Tabela2[Código],Tabela6[[#This Row],[Código]],Tabela2[Saldo])</f>
        <v>1</v>
      </c>
      <c r="H76" s="2">
        <v>75</v>
      </c>
      <c r="K76" s="2"/>
      <c r="L76" s="2"/>
      <c r="M76" s="2"/>
      <c r="N76" s="2"/>
      <c r="O76" s="3"/>
      <c r="P76" s="56"/>
      <c r="Q76" s="3"/>
    </row>
    <row r="77" spans="1:17" x14ac:dyDescent="0.3">
      <c r="A77" s="2" t="s">
        <v>111</v>
      </c>
      <c r="B77" s="2" t="s">
        <v>803</v>
      </c>
      <c r="C77" s="2"/>
      <c r="D77" s="2"/>
      <c r="E77" s="3" t="s">
        <v>1158</v>
      </c>
      <c r="F77" s="56">
        <v>44.04</v>
      </c>
      <c r="G77" s="3">
        <f>SUMIF(Tabela2[Código],Tabela6[[#This Row],[Código]],Tabela2[Saldo])</f>
        <v>0</v>
      </c>
      <c r="H77" s="3">
        <v>76</v>
      </c>
      <c r="K77" s="2"/>
      <c r="L77" s="2"/>
      <c r="M77" s="2"/>
      <c r="N77" s="2"/>
      <c r="O77" s="3"/>
      <c r="P77" s="56"/>
      <c r="Q77" s="3"/>
    </row>
    <row r="78" spans="1:17" x14ac:dyDescent="0.3">
      <c r="A78" s="2" t="s">
        <v>112</v>
      </c>
      <c r="B78" s="2" t="s">
        <v>804</v>
      </c>
      <c r="C78" s="2"/>
      <c r="D78" s="2"/>
      <c r="E78" s="3" t="s">
        <v>1158</v>
      </c>
      <c r="F78" s="56">
        <v>17.88</v>
      </c>
      <c r="G78" s="3">
        <f>SUMIF(Tabela2[Código],Tabela6[[#This Row],[Código]],Tabela2[Saldo])</f>
        <v>0</v>
      </c>
      <c r="H78" s="2">
        <v>77</v>
      </c>
      <c r="K78" s="2"/>
      <c r="L78" s="2"/>
      <c r="M78" s="2"/>
      <c r="N78" s="2"/>
      <c r="O78" s="3"/>
      <c r="P78" s="56"/>
      <c r="Q78" s="3"/>
    </row>
    <row r="79" spans="1:17" x14ac:dyDescent="0.3">
      <c r="A79" s="2" t="s">
        <v>113</v>
      </c>
      <c r="B79" s="2" t="s">
        <v>805</v>
      </c>
      <c r="C79" s="2"/>
      <c r="D79" s="2"/>
      <c r="E79" s="3" t="s">
        <v>1158</v>
      </c>
      <c r="F79" s="56">
        <v>149.99</v>
      </c>
      <c r="G79" s="3">
        <f>SUMIF(Tabela2[Código],Tabela6[[#This Row],[Código]],Tabela2[Saldo])</f>
        <v>1</v>
      </c>
      <c r="H79" s="2">
        <v>78</v>
      </c>
      <c r="K79" s="2"/>
      <c r="L79" s="2"/>
      <c r="M79" s="2"/>
      <c r="N79" s="2"/>
      <c r="O79" s="3"/>
      <c r="P79" s="56"/>
      <c r="Q79" s="3"/>
    </row>
    <row r="80" spans="1:17" x14ac:dyDescent="0.3">
      <c r="A80" s="2" t="s">
        <v>114</v>
      </c>
      <c r="B80" s="2" t="s">
        <v>806</v>
      </c>
      <c r="C80" s="2"/>
      <c r="D80" s="2"/>
      <c r="E80" s="3" t="s">
        <v>1158</v>
      </c>
      <c r="F80" s="56">
        <v>9.11</v>
      </c>
      <c r="G80" s="3">
        <f>SUMIF(Tabela2[Código],Tabela6[[#This Row],[Código]],Tabela2[Saldo])</f>
        <v>5</v>
      </c>
      <c r="H80" s="3">
        <v>79</v>
      </c>
      <c r="K80" s="2"/>
      <c r="L80" s="2"/>
      <c r="M80" s="2"/>
      <c r="N80" s="2"/>
      <c r="O80" s="3"/>
      <c r="P80" s="56"/>
      <c r="Q80" s="3"/>
    </row>
    <row r="81" spans="1:17" x14ac:dyDescent="0.3">
      <c r="A81" s="2" t="s">
        <v>115</v>
      </c>
      <c r="B81" s="2" t="s">
        <v>807</v>
      </c>
      <c r="C81" s="2"/>
      <c r="D81" s="2"/>
      <c r="E81" s="3" t="s">
        <v>1158</v>
      </c>
      <c r="F81" s="56">
        <v>5.75</v>
      </c>
      <c r="G81" s="3">
        <f>SUMIF(Tabela2[Código],Tabela6[[#This Row],[Código]],Tabela2[Saldo])</f>
        <v>1</v>
      </c>
      <c r="H81" s="2">
        <v>80</v>
      </c>
      <c r="K81" s="2"/>
      <c r="L81" s="2"/>
      <c r="M81" s="2"/>
      <c r="N81" s="2"/>
      <c r="O81" s="3"/>
      <c r="P81" s="56"/>
      <c r="Q81" s="3"/>
    </row>
    <row r="82" spans="1:17" x14ac:dyDescent="0.3">
      <c r="A82" s="2" t="s">
        <v>116</v>
      </c>
      <c r="B82" s="2" t="s">
        <v>808</v>
      </c>
      <c r="C82" s="2"/>
      <c r="D82" s="2"/>
      <c r="E82" s="3" t="s">
        <v>1158</v>
      </c>
      <c r="F82" s="56">
        <v>5.68</v>
      </c>
      <c r="G82" s="3">
        <f>SUMIF(Tabela2[Código],Tabela6[[#This Row],[Código]],Tabela2[Saldo])</f>
        <v>0</v>
      </c>
      <c r="H82" s="2">
        <v>81</v>
      </c>
      <c r="K82" s="2"/>
      <c r="L82" s="2"/>
      <c r="M82" s="2"/>
      <c r="N82" s="2"/>
      <c r="O82" s="3"/>
      <c r="P82" s="56"/>
      <c r="Q82" s="3"/>
    </row>
    <row r="83" spans="1:17" x14ac:dyDescent="0.3">
      <c r="A83" s="2" t="s">
        <v>117</v>
      </c>
      <c r="B83" s="2" t="s">
        <v>809</v>
      </c>
      <c r="C83" s="2"/>
      <c r="D83" s="2"/>
      <c r="E83" s="3" t="s">
        <v>1158</v>
      </c>
      <c r="F83" s="56">
        <v>46.9</v>
      </c>
      <c r="G83" s="3">
        <f>SUMIF(Tabela2[Código],Tabela6[[#This Row],[Código]],Tabela2[Saldo])</f>
        <v>3</v>
      </c>
      <c r="H83" s="3">
        <v>82</v>
      </c>
      <c r="K83" s="2"/>
      <c r="L83" s="2"/>
      <c r="M83" s="2"/>
      <c r="N83" s="2"/>
      <c r="O83" s="3"/>
      <c r="P83" s="56"/>
      <c r="Q83" s="3"/>
    </row>
    <row r="84" spans="1:17" x14ac:dyDescent="0.3">
      <c r="A84" s="2" t="s">
        <v>118</v>
      </c>
      <c r="B84" s="2" t="s">
        <v>810</v>
      </c>
      <c r="C84" s="2"/>
      <c r="D84" s="2"/>
      <c r="E84" s="3" t="s">
        <v>1158</v>
      </c>
      <c r="F84" s="56">
        <v>25.44</v>
      </c>
      <c r="G84" s="3">
        <f>SUMIF(Tabela2[Código],Tabela6[[#This Row],[Código]],Tabela2[Saldo])</f>
        <v>5</v>
      </c>
      <c r="H84" s="2">
        <v>83</v>
      </c>
      <c r="K84" s="2"/>
      <c r="L84" s="2"/>
      <c r="M84" s="2"/>
      <c r="N84" s="2"/>
      <c r="O84" s="3"/>
      <c r="P84" s="56"/>
      <c r="Q84" s="3"/>
    </row>
    <row r="85" spans="1:17" x14ac:dyDescent="0.3">
      <c r="A85" s="2" t="s">
        <v>119</v>
      </c>
      <c r="B85" s="2" t="s">
        <v>811</v>
      </c>
      <c r="C85" s="2"/>
      <c r="D85" s="2"/>
      <c r="E85" s="3" t="s">
        <v>1158</v>
      </c>
      <c r="F85" s="56">
        <v>2.09</v>
      </c>
      <c r="G85" s="3">
        <f>SUMIF(Tabela2[Código],Tabela6[[#This Row],[Código]],Tabela2[Saldo])</f>
        <v>1</v>
      </c>
      <c r="H85" s="2">
        <v>84</v>
      </c>
      <c r="K85" s="2"/>
      <c r="L85" s="2"/>
      <c r="M85" s="2"/>
      <c r="N85" s="2"/>
      <c r="O85" s="3"/>
      <c r="P85" s="56"/>
      <c r="Q85" s="3"/>
    </row>
    <row r="86" spans="1:17" x14ac:dyDescent="0.3">
      <c r="A86" s="2" t="s">
        <v>120</v>
      </c>
      <c r="B86" s="2" t="s">
        <v>812</v>
      </c>
      <c r="C86" s="2"/>
      <c r="D86" s="2"/>
      <c r="E86" s="3" t="s">
        <v>1158</v>
      </c>
      <c r="F86" s="56">
        <v>8.9499999999999993</v>
      </c>
      <c r="G86" s="3">
        <f>SUMIF(Tabela2[Código],Tabela6[[#This Row],[Código]],Tabela2[Saldo])</f>
        <v>0</v>
      </c>
      <c r="H86" s="3">
        <v>85</v>
      </c>
      <c r="K86" s="2"/>
      <c r="L86" s="2"/>
      <c r="M86" s="2"/>
      <c r="N86" s="2"/>
      <c r="O86" s="3"/>
      <c r="P86" s="56"/>
      <c r="Q86" s="3"/>
    </row>
    <row r="87" spans="1:17" x14ac:dyDescent="0.3">
      <c r="A87" s="2" t="s">
        <v>121</v>
      </c>
      <c r="B87" s="2" t="s">
        <v>813</v>
      </c>
      <c r="C87" s="2"/>
      <c r="D87" s="2"/>
      <c r="E87" s="3" t="s">
        <v>1158</v>
      </c>
      <c r="F87" s="56">
        <v>19.989999999999998</v>
      </c>
      <c r="G87" s="3">
        <f>SUMIF(Tabela2[Código],Tabela6[[#This Row],[Código]],Tabela2[Saldo])</f>
        <v>0</v>
      </c>
      <c r="H87" s="2">
        <v>86</v>
      </c>
      <c r="K87" s="2"/>
      <c r="L87" s="2"/>
      <c r="M87" s="2"/>
      <c r="N87" s="2"/>
      <c r="O87" s="3"/>
      <c r="P87" s="56"/>
      <c r="Q87" s="3"/>
    </row>
    <row r="88" spans="1:17" x14ac:dyDescent="0.3">
      <c r="A88" s="2" t="s">
        <v>122</v>
      </c>
      <c r="B88" s="2" t="s">
        <v>814</v>
      </c>
      <c r="C88" s="2"/>
      <c r="D88" s="2"/>
      <c r="E88" s="3" t="s">
        <v>1158</v>
      </c>
      <c r="F88" s="56">
        <v>51.9</v>
      </c>
      <c r="G88" s="3">
        <f>SUMIF(Tabela2[Código],Tabela6[[#This Row],[Código]],Tabela2[Saldo])</f>
        <v>2</v>
      </c>
      <c r="H88" s="2">
        <v>87</v>
      </c>
      <c r="K88" s="2"/>
      <c r="L88" s="2"/>
      <c r="M88" s="2"/>
      <c r="N88" s="2"/>
      <c r="O88" s="3"/>
      <c r="P88" s="56"/>
      <c r="Q88" s="3"/>
    </row>
    <row r="89" spans="1:17" x14ac:dyDescent="0.3">
      <c r="A89" s="2" t="s">
        <v>123</v>
      </c>
      <c r="B89" s="2" t="s">
        <v>815</v>
      </c>
      <c r="C89" s="2"/>
      <c r="D89" s="2"/>
      <c r="E89" s="3" t="s">
        <v>1158</v>
      </c>
      <c r="F89" s="56">
        <v>241</v>
      </c>
      <c r="G89" s="3">
        <f>SUMIF(Tabela2[Código],Tabela6[[#This Row],[Código]],Tabela2[Saldo])</f>
        <v>1</v>
      </c>
      <c r="H89" s="3">
        <v>88</v>
      </c>
      <c r="K89" s="2"/>
      <c r="L89" s="2"/>
      <c r="M89" s="2"/>
      <c r="N89" s="2"/>
      <c r="O89" s="3"/>
      <c r="P89" s="56"/>
      <c r="Q89" s="3"/>
    </row>
    <row r="90" spans="1:17" x14ac:dyDescent="0.3">
      <c r="A90" s="2" t="s">
        <v>124</v>
      </c>
      <c r="B90" s="2" t="s">
        <v>816</v>
      </c>
      <c r="C90" s="2"/>
      <c r="D90" s="2"/>
      <c r="E90" s="3" t="s">
        <v>1158</v>
      </c>
      <c r="F90" s="56">
        <v>2</v>
      </c>
      <c r="G90" s="3">
        <f>SUMIF(Tabela2[Código],Tabela6[[#This Row],[Código]],Tabela2[Saldo])</f>
        <v>0</v>
      </c>
      <c r="H90" s="2">
        <v>89</v>
      </c>
      <c r="K90" s="2"/>
      <c r="L90" s="2"/>
      <c r="M90" s="2"/>
      <c r="N90" s="2"/>
      <c r="O90" s="3"/>
      <c r="P90" s="56"/>
      <c r="Q90" s="3"/>
    </row>
    <row r="91" spans="1:17" x14ac:dyDescent="0.3">
      <c r="A91" s="2" t="s">
        <v>125</v>
      </c>
      <c r="B91" s="2" t="s">
        <v>817</v>
      </c>
      <c r="C91" s="2"/>
      <c r="D91" s="2"/>
      <c r="E91" s="3" t="s">
        <v>1158</v>
      </c>
      <c r="F91" s="56">
        <v>4.2</v>
      </c>
      <c r="G91" s="3">
        <f>SUMIF(Tabela2[Código],Tabela6[[#This Row],[Código]],Tabela2[Saldo])</f>
        <v>0</v>
      </c>
      <c r="H91" s="2">
        <v>90</v>
      </c>
      <c r="K91" s="2"/>
      <c r="L91" s="2"/>
      <c r="M91" s="2"/>
      <c r="N91" s="2"/>
      <c r="O91" s="3"/>
      <c r="P91" s="56"/>
      <c r="Q91" s="3"/>
    </row>
    <row r="92" spans="1:17" x14ac:dyDescent="0.3">
      <c r="A92" s="2" t="s">
        <v>126</v>
      </c>
      <c r="B92" s="2" t="s">
        <v>818</v>
      </c>
      <c r="C92" s="2"/>
      <c r="D92" s="2"/>
      <c r="E92" s="3" t="s">
        <v>1158</v>
      </c>
      <c r="F92" s="56">
        <v>48.9</v>
      </c>
      <c r="G92" s="3">
        <f>SUMIF(Tabela2[Código],Tabela6[[#This Row],[Código]],Tabela2[Saldo])</f>
        <v>1</v>
      </c>
      <c r="H92" s="3">
        <v>91</v>
      </c>
      <c r="K92" s="2"/>
      <c r="L92" s="2"/>
      <c r="M92" s="2"/>
      <c r="N92" s="2"/>
      <c r="O92" s="3"/>
      <c r="P92" s="56"/>
      <c r="Q92" s="3"/>
    </row>
    <row r="93" spans="1:17" x14ac:dyDescent="0.3">
      <c r="A93" s="2" t="s">
        <v>127</v>
      </c>
      <c r="B93" s="2" t="s">
        <v>819</v>
      </c>
      <c r="C93" s="2"/>
      <c r="D93" s="2"/>
      <c r="E93" s="3" t="s">
        <v>1158</v>
      </c>
      <c r="F93" s="56">
        <v>19.79</v>
      </c>
      <c r="G93" s="3">
        <f>SUMIF(Tabela2[Código],Tabela6[[#This Row],[Código]],Tabela2[Saldo])</f>
        <v>2</v>
      </c>
      <c r="H93" s="2">
        <v>92</v>
      </c>
      <c r="K93" s="2"/>
      <c r="L93" s="2"/>
      <c r="M93" s="2"/>
      <c r="N93" s="2"/>
      <c r="O93" s="3"/>
      <c r="P93" s="56"/>
      <c r="Q93" s="3"/>
    </row>
    <row r="94" spans="1:17" x14ac:dyDescent="0.3">
      <c r="A94" s="2" t="s">
        <v>128</v>
      </c>
      <c r="B94" s="2" t="s">
        <v>820</v>
      </c>
      <c r="C94" s="2"/>
      <c r="D94" s="2"/>
      <c r="E94" s="3" t="s">
        <v>1158</v>
      </c>
      <c r="F94" s="56">
        <v>63.09</v>
      </c>
      <c r="G94" s="3">
        <f>SUMIF(Tabela2[Código],Tabela6[[#This Row],[Código]],Tabela2[Saldo])</f>
        <v>0</v>
      </c>
      <c r="H94" s="2">
        <v>93</v>
      </c>
      <c r="K94" s="2"/>
      <c r="L94" s="2"/>
      <c r="M94" s="2"/>
      <c r="N94" s="2"/>
      <c r="O94" s="3"/>
      <c r="P94" s="56"/>
      <c r="Q94" s="3"/>
    </row>
    <row r="95" spans="1:17" x14ac:dyDescent="0.3">
      <c r="A95" s="2" t="s">
        <v>129</v>
      </c>
      <c r="B95" s="2" t="s">
        <v>821</v>
      </c>
      <c r="C95" s="2"/>
      <c r="D95" s="2"/>
      <c r="E95" s="3" t="s">
        <v>1159</v>
      </c>
      <c r="F95" s="56">
        <v>12.49</v>
      </c>
      <c r="G95" s="3">
        <f>SUMIF(Tabela2[Código],Tabela6[[#This Row],[Código]],Tabela2[Saldo])</f>
        <v>1</v>
      </c>
      <c r="H95" s="3">
        <v>94</v>
      </c>
      <c r="K95" s="2"/>
      <c r="L95" s="2"/>
      <c r="M95" s="2"/>
      <c r="N95" s="2"/>
      <c r="O95" s="3"/>
      <c r="P95" s="56"/>
      <c r="Q95" s="3"/>
    </row>
    <row r="96" spans="1:17" x14ac:dyDescent="0.3">
      <c r="A96" s="2" t="s">
        <v>130</v>
      </c>
      <c r="B96" s="2" t="s">
        <v>822</v>
      </c>
      <c r="C96" s="2"/>
      <c r="D96" s="2"/>
      <c r="E96" s="3" t="s">
        <v>1159</v>
      </c>
      <c r="F96" s="56">
        <v>220</v>
      </c>
      <c r="G96" s="3">
        <f>SUMIF(Tabela2[Código],Tabela6[[#This Row],[Código]],Tabela2[Saldo])</f>
        <v>2</v>
      </c>
      <c r="H96" s="2">
        <v>95</v>
      </c>
      <c r="K96" s="2"/>
      <c r="L96" s="2"/>
      <c r="M96" s="2"/>
      <c r="N96" s="2"/>
      <c r="O96" s="3"/>
      <c r="P96" s="56"/>
      <c r="Q96" s="3"/>
    </row>
    <row r="97" spans="1:17" x14ac:dyDescent="0.3">
      <c r="A97" s="2" t="s">
        <v>131</v>
      </c>
      <c r="B97" s="2" t="s">
        <v>823</v>
      </c>
      <c r="C97" s="2"/>
      <c r="D97" s="2"/>
      <c r="E97" s="3" t="s">
        <v>1159</v>
      </c>
      <c r="F97" s="56">
        <v>9.9499999999999993</v>
      </c>
      <c r="G97" s="3">
        <f>SUMIF(Tabela2[Código],Tabela6[[#This Row],[Código]],Tabela2[Saldo])</f>
        <v>3</v>
      </c>
      <c r="H97" s="2">
        <v>96</v>
      </c>
      <c r="K97" s="2"/>
      <c r="L97" s="2"/>
      <c r="M97" s="2"/>
      <c r="N97" s="2"/>
      <c r="O97" s="3"/>
      <c r="P97" s="56"/>
      <c r="Q97" s="3"/>
    </row>
    <row r="98" spans="1:17" x14ac:dyDescent="0.3">
      <c r="A98" s="2" t="s">
        <v>132</v>
      </c>
      <c r="B98" s="2" t="s">
        <v>824</v>
      </c>
      <c r="C98" s="2"/>
      <c r="D98" s="2"/>
      <c r="E98" s="3" t="s">
        <v>1159</v>
      </c>
      <c r="F98" s="56">
        <v>12.95</v>
      </c>
      <c r="G98" s="3">
        <f>SUMIF(Tabela2[Código],Tabela6[[#This Row],[Código]],Tabela2[Saldo])</f>
        <v>2</v>
      </c>
      <c r="H98" s="3">
        <v>97</v>
      </c>
      <c r="K98" s="2"/>
      <c r="L98" s="2"/>
      <c r="M98" s="2"/>
      <c r="N98" s="2"/>
      <c r="O98" s="3"/>
      <c r="P98" s="56"/>
      <c r="Q98" s="3"/>
    </row>
    <row r="99" spans="1:17" x14ac:dyDescent="0.3">
      <c r="A99" s="2" t="s">
        <v>133</v>
      </c>
      <c r="B99" s="2" t="s">
        <v>825</v>
      </c>
      <c r="C99" s="2"/>
      <c r="D99" s="2"/>
      <c r="E99" s="3" t="s">
        <v>1159</v>
      </c>
      <c r="F99" s="56">
        <v>0.01</v>
      </c>
      <c r="G99" s="3">
        <f>SUMIF(Tabela2[Código],Tabela6[[#This Row],[Código]],Tabela2[Saldo])</f>
        <v>1</v>
      </c>
      <c r="H99" s="2">
        <v>98</v>
      </c>
      <c r="K99" s="2"/>
      <c r="L99" s="2"/>
      <c r="M99" s="2"/>
      <c r="N99" s="2"/>
      <c r="O99" s="3"/>
      <c r="P99" s="56"/>
      <c r="Q99" s="3"/>
    </row>
    <row r="100" spans="1:17" x14ac:dyDescent="0.3">
      <c r="A100" s="2" t="s">
        <v>134</v>
      </c>
      <c r="B100" s="2" t="s">
        <v>826</v>
      </c>
      <c r="C100" s="2"/>
      <c r="D100" s="2"/>
      <c r="E100" s="3" t="s">
        <v>1159</v>
      </c>
      <c r="F100" s="56">
        <v>26.05</v>
      </c>
      <c r="G100" s="3">
        <f>SUMIF(Tabela2[Código],Tabela6[[#This Row],[Código]],Tabela2[Saldo])</f>
        <v>0</v>
      </c>
      <c r="H100" s="2">
        <v>99</v>
      </c>
      <c r="K100" s="2"/>
      <c r="L100" s="2"/>
      <c r="M100" s="2"/>
      <c r="N100" s="2"/>
      <c r="O100" s="3"/>
      <c r="P100" s="56"/>
      <c r="Q100" s="3"/>
    </row>
    <row r="101" spans="1:17" x14ac:dyDescent="0.3">
      <c r="A101" s="2" t="s">
        <v>135</v>
      </c>
      <c r="B101" s="2" t="s">
        <v>827</v>
      </c>
      <c r="C101" s="2"/>
      <c r="D101" s="2"/>
      <c r="E101" s="3" t="s">
        <v>1160</v>
      </c>
      <c r="F101" s="56">
        <v>1.04</v>
      </c>
      <c r="G101" s="3">
        <f>SUMIF(Tabela2[Código],Tabela6[[#This Row],[Código]],Tabela2[Saldo])</f>
        <v>5</v>
      </c>
      <c r="H101" s="3">
        <v>100</v>
      </c>
      <c r="K101" s="2"/>
      <c r="L101" s="2"/>
      <c r="M101" s="2"/>
      <c r="N101" s="2"/>
      <c r="O101" s="3"/>
      <c r="P101" s="56"/>
      <c r="Q101" s="3"/>
    </row>
    <row r="102" spans="1:17" x14ac:dyDescent="0.3">
      <c r="A102" s="2" t="s">
        <v>136</v>
      </c>
      <c r="B102" s="2" t="s">
        <v>828</v>
      </c>
      <c r="C102" s="2"/>
      <c r="D102" s="2"/>
      <c r="E102" s="3" t="s">
        <v>1160</v>
      </c>
      <c r="F102" s="56">
        <v>20.79</v>
      </c>
      <c r="G102" s="3">
        <f>SUMIF(Tabela2[Código],Tabela6[[#This Row],[Código]],Tabela2[Saldo])</f>
        <v>1</v>
      </c>
      <c r="H102" s="2">
        <v>101</v>
      </c>
      <c r="K102" s="2"/>
      <c r="L102" s="2"/>
      <c r="M102" s="2"/>
      <c r="N102" s="2"/>
      <c r="O102" s="3"/>
      <c r="P102" s="56"/>
      <c r="Q102" s="3"/>
    </row>
    <row r="103" spans="1:17" x14ac:dyDescent="0.3">
      <c r="A103" s="2" t="s">
        <v>137</v>
      </c>
      <c r="B103" s="2" t="s">
        <v>829</v>
      </c>
      <c r="C103" s="2"/>
      <c r="D103" s="2"/>
      <c r="E103" s="3" t="s">
        <v>1160</v>
      </c>
      <c r="F103" s="56">
        <v>31.09</v>
      </c>
      <c r="G103" s="3">
        <f>SUMIF(Tabela2[Código],Tabela6[[#This Row],[Código]],Tabela2[Saldo])</f>
        <v>4</v>
      </c>
      <c r="H103" s="2">
        <v>102</v>
      </c>
      <c r="K103" s="2"/>
      <c r="L103" s="2"/>
      <c r="M103" s="2"/>
      <c r="N103" s="2"/>
      <c r="O103" s="3"/>
      <c r="P103" s="56"/>
      <c r="Q103" s="3"/>
    </row>
    <row r="104" spans="1:17" x14ac:dyDescent="0.3">
      <c r="A104" s="2" t="s">
        <v>138</v>
      </c>
      <c r="B104" s="2" t="s">
        <v>830</v>
      </c>
      <c r="C104" s="2"/>
      <c r="D104" s="2"/>
      <c r="E104" s="3" t="s">
        <v>1160</v>
      </c>
      <c r="F104" s="56">
        <v>84</v>
      </c>
      <c r="G104" s="3">
        <f>SUMIF(Tabela2[Código],Tabela6[[#This Row],[Código]],Tabela2[Saldo])</f>
        <v>1</v>
      </c>
      <c r="H104" s="3">
        <v>103</v>
      </c>
      <c r="K104" s="2"/>
      <c r="L104" s="2"/>
      <c r="M104" s="2"/>
      <c r="N104" s="2"/>
      <c r="O104" s="3"/>
      <c r="P104" s="56"/>
      <c r="Q104" s="3"/>
    </row>
    <row r="105" spans="1:17" x14ac:dyDescent="0.3">
      <c r="A105" s="2" t="s">
        <v>139</v>
      </c>
      <c r="B105" s="2" t="s">
        <v>831</v>
      </c>
      <c r="C105" s="2"/>
      <c r="D105" s="2"/>
      <c r="E105" s="3" t="s">
        <v>1160</v>
      </c>
      <c r="F105" s="56">
        <v>15.68</v>
      </c>
      <c r="G105" s="3">
        <f>SUMIF(Tabela2[Código],Tabela6[[#This Row],[Código]],Tabela2[Saldo])</f>
        <v>5</v>
      </c>
      <c r="H105" s="2">
        <v>104</v>
      </c>
      <c r="K105" s="2"/>
      <c r="L105" s="2"/>
      <c r="M105" s="2"/>
      <c r="N105" s="2"/>
      <c r="O105" s="3"/>
      <c r="P105" s="56"/>
      <c r="Q105" s="3"/>
    </row>
    <row r="106" spans="1:17" x14ac:dyDescent="0.3">
      <c r="A106" s="2" t="s">
        <v>140</v>
      </c>
      <c r="B106" s="2" t="s">
        <v>832</v>
      </c>
      <c r="C106" s="2"/>
      <c r="D106" s="2"/>
      <c r="E106" s="3" t="s">
        <v>1160</v>
      </c>
      <c r="F106" s="56">
        <v>43.09</v>
      </c>
      <c r="G106" s="3">
        <f>SUMIF(Tabela2[Código],Tabela6[[#This Row],[Código]],Tabela2[Saldo])</f>
        <v>1</v>
      </c>
      <c r="H106" s="2">
        <v>105</v>
      </c>
      <c r="K106" s="2"/>
      <c r="L106" s="2"/>
      <c r="M106" s="2"/>
      <c r="N106" s="2"/>
      <c r="O106" s="3"/>
      <c r="P106" s="56"/>
      <c r="Q106" s="3"/>
    </row>
    <row r="107" spans="1:17" x14ac:dyDescent="0.3">
      <c r="A107" s="2" t="s">
        <v>141</v>
      </c>
      <c r="B107" s="2" t="s">
        <v>833</v>
      </c>
      <c r="C107" s="2"/>
      <c r="D107" s="2"/>
      <c r="E107" s="3" t="s">
        <v>1160</v>
      </c>
      <c r="F107" s="56">
        <v>94.09</v>
      </c>
      <c r="G107" s="3">
        <f>SUMIF(Tabela2[Código],Tabela6[[#This Row],[Código]],Tabela2[Saldo])</f>
        <v>1</v>
      </c>
      <c r="H107" s="3">
        <v>106</v>
      </c>
      <c r="K107" s="2"/>
      <c r="L107" s="2"/>
      <c r="M107" s="2"/>
      <c r="N107" s="2"/>
      <c r="O107" s="3"/>
      <c r="P107" s="56"/>
      <c r="Q107" s="3"/>
    </row>
    <row r="108" spans="1:17" x14ac:dyDescent="0.3">
      <c r="A108" s="2" t="s">
        <v>142</v>
      </c>
      <c r="B108" s="2" t="s">
        <v>834</v>
      </c>
      <c r="C108" s="2"/>
      <c r="D108" s="2"/>
      <c r="E108" s="3" t="s">
        <v>1160</v>
      </c>
      <c r="F108" s="56">
        <v>43.09</v>
      </c>
      <c r="G108" s="3">
        <f>SUMIF(Tabela2[Código],Tabela6[[#This Row],[Código]],Tabela2[Saldo])</f>
        <v>3</v>
      </c>
      <c r="H108" s="2">
        <v>107</v>
      </c>
      <c r="K108" s="2"/>
      <c r="L108" s="2"/>
      <c r="M108" s="2"/>
      <c r="N108" s="2"/>
      <c r="O108" s="3"/>
      <c r="P108" s="56"/>
      <c r="Q108" s="3"/>
    </row>
    <row r="109" spans="1:17" x14ac:dyDescent="0.3">
      <c r="A109" s="2" t="s">
        <v>143</v>
      </c>
      <c r="B109" s="2" t="s">
        <v>835</v>
      </c>
      <c r="C109" s="2"/>
      <c r="D109" s="2"/>
      <c r="E109" s="3" t="s">
        <v>1160</v>
      </c>
      <c r="F109" s="56">
        <v>94.09</v>
      </c>
      <c r="G109" s="3">
        <f>SUMIF(Tabela2[Código],Tabela6[[#This Row],[Código]],Tabela2[Saldo])</f>
        <v>1</v>
      </c>
      <c r="H109" s="2">
        <v>108</v>
      </c>
      <c r="K109" s="2"/>
      <c r="L109" s="2"/>
      <c r="M109" s="2"/>
      <c r="N109" s="2"/>
      <c r="O109" s="3"/>
      <c r="P109" s="56"/>
      <c r="Q109" s="3"/>
    </row>
    <row r="110" spans="1:17" x14ac:dyDescent="0.3">
      <c r="A110" s="2" t="s">
        <v>144</v>
      </c>
      <c r="B110" s="2" t="s">
        <v>836</v>
      </c>
      <c r="C110" s="2"/>
      <c r="D110" s="2"/>
      <c r="E110" s="3" t="s">
        <v>1161</v>
      </c>
      <c r="F110" s="56">
        <v>48.84</v>
      </c>
      <c r="G110" s="3">
        <f>SUMIF(Tabela2[Código],Tabela6[[#This Row],[Código]],Tabela2[Saldo])</f>
        <v>2</v>
      </c>
      <c r="H110" s="3">
        <v>109</v>
      </c>
      <c r="K110" s="2"/>
      <c r="L110" s="2"/>
      <c r="M110" s="2"/>
      <c r="N110" s="2"/>
      <c r="O110" s="3"/>
      <c r="P110" s="56"/>
      <c r="Q110" s="3"/>
    </row>
    <row r="111" spans="1:17" x14ac:dyDescent="0.3">
      <c r="A111" s="2" t="s">
        <v>145</v>
      </c>
      <c r="B111" s="2" t="s">
        <v>837</v>
      </c>
      <c r="C111" s="2"/>
      <c r="D111" s="2"/>
      <c r="E111" s="3" t="s">
        <v>1161</v>
      </c>
      <c r="F111" s="56">
        <v>8.99</v>
      </c>
      <c r="G111" s="3">
        <f>SUMIF(Tabela2[Código],Tabela6[[#This Row],[Código]],Tabela2[Saldo])</f>
        <v>13</v>
      </c>
      <c r="H111" s="2">
        <v>110</v>
      </c>
      <c r="K111" s="2"/>
      <c r="L111" s="2"/>
      <c r="M111" s="2"/>
      <c r="N111" s="2"/>
      <c r="O111" s="3"/>
      <c r="P111" s="56"/>
      <c r="Q111" s="3"/>
    </row>
    <row r="112" spans="1:17" x14ac:dyDescent="0.3">
      <c r="A112" s="2" t="s">
        <v>146</v>
      </c>
      <c r="B112" s="2" t="s">
        <v>838</v>
      </c>
      <c r="C112" s="2"/>
      <c r="D112" s="2"/>
      <c r="E112" s="3" t="s">
        <v>1161</v>
      </c>
      <c r="F112" s="56">
        <v>22.09</v>
      </c>
      <c r="G112" s="3">
        <f>SUMIF(Tabela2[Código],Tabela6[[#This Row],[Código]],Tabela2[Saldo])</f>
        <v>0</v>
      </c>
      <c r="H112" s="2">
        <v>111</v>
      </c>
      <c r="K112" s="2"/>
      <c r="L112" s="2"/>
      <c r="M112" s="2"/>
      <c r="N112" s="2"/>
      <c r="O112" s="3"/>
      <c r="P112" s="56"/>
      <c r="Q112" s="3"/>
    </row>
    <row r="113" spans="1:17" x14ac:dyDescent="0.3">
      <c r="A113" s="2" t="s">
        <v>147</v>
      </c>
      <c r="B113" s="2" t="s">
        <v>839</v>
      </c>
      <c r="C113" s="2"/>
      <c r="D113" s="2"/>
      <c r="E113" s="3" t="s">
        <v>1161</v>
      </c>
      <c r="F113" s="56">
        <v>17.989999999999998</v>
      </c>
      <c r="G113" s="3">
        <f>SUMIF(Tabela2[Código],Tabela6[[#This Row],[Código]],Tabela2[Saldo])</f>
        <v>0</v>
      </c>
      <c r="H113" s="3">
        <v>112</v>
      </c>
      <c r="K113" s="2"/>
      <c r="L113" s="2"/>
      <c r="M113" s="2"/>
      <c r="N113" s="2"/>
      <c r="O113" s="3"/>
      <c r="P113" s="56"/>
      <c r="Q113" s="3"/>
    </row>
    <row r="114" spans="1:17" x14ac:dyDescent="0.3">
      <c r="A114" s="2" t="s">
        <v>148</v>
      </c>
      <c r="B114" s="2" t="s">
        <v>840</v>
      </c>
      <c r="C114" s="2"/>
      <c r="D114" s="2"/>
      <c r="E114" s="3" t="s">
        <v>1161</v>
      </c>
      <c r="F114" s="56">
        <v>17.989999999999998</v>
      </c>
      <c r="G114" s="3">
        <f>SUMIF(Tabela2[Código],Tabela6[[#This Row],[Código]],Tabela2[Saldo])</f>
        <v>1</v>
      </c>
      <c r="H114" s="2">
        <v>113</v>
      </c>
      <c r="K114" s="2"/>
      <c r="L114" s="2"/>
      <c r="M114" s="2"/>
      <c r="N114" s="2"/>
      <c r="O114" s="3"/>
      <c r="P114" s="56"/>
      <c r="Q114" s="3"/>
    </row>
    <row r="115" spans="1:17" x14ac:dyDescent="0.3">
      <c r="A115" s="2" t="s">
        <v>149</v>
      </c>
      <c r="B115" s="2" t="s">
        <v>841</v>
      </c>
      <c r="C115" s="2"/>
      <c r="D115" s="2"/>
      <c r="E115" s="3" t="s">
        <v>1161</v>
      </c>
      <c r="F115" s="56">
        <v>14.68</v>
      </c>
      <c r="G115" s="3">
        <f>SUMIF(Tabela2[Código],Tabela6[[#This Row],[Código]],Tabela2[Saldo])</f>
        <v>15</v>
      </c>
      <c r="H115" s="2">
        <v>114</v>
      </c>
      <c r="K115" s="2"/>
      <c r="L115" s="2"/>
      <c r="M115" s="2"/>
      <c r="N115" s="2"/>
      <c r="O115" s="3"/>
      <c r="P115" s="56"/>
      <c r="Q115" s="3"/>
    </row>
    <row r="116" spans="1:17" x14ac:dyDescent="0.3">
      <c r="A116" s="2" t="s">
        <v>150</v>
      </c>
      <c r="B116" s="2" t="s">
        <v>842</v>
      </c>
      <c r="C116" s="2"/>
      <c r="D116" s="2"/>
      <c r="E116" s="3" t="s">
        <v>1161</v>
      </c>
      <c r="F116" s="56">
        <v>29.37</v>
      </c>
      <c r="G116" s="3">
        <f>SUMIF(Tabela2[Código],Tabela6[[#This Row],[Código]],Tabela2[Saldo])</f>
        <v>4</v>
      </c>
      <c r="H116" s="3">
        <v>115</v>
      </c>
      <c r="K116" s="2"/>
      <c r="L116" s="2"/>
      <c r="M116" s="2"/>
      <c r="N116" s="2"/>
      <c r="O116" s="3"/>
      <c r="P116" s="56"/>
      <c r="Q116" s="3"/>
    </row>
    <row r="117" spans="1:17" x14ac:dyDescent="0.3">
      <c r="A117" s="2" t="s">
        <v>151</v>
      </c>
      <c r="B117" s="2" t="s">
        <v>843</v>
      </c>
      <c r="C117" s="2"/>
      <c r="D117" s="2"/>
      <c r="E117" s="3" t="s">
        <v>1161</v>
      </c>
      <c r="F117" s="56">
        <v>24.9</v>
      </c>
      <c r="G117" s="3">
        <f>SUMIF(Tabela2[Código],Tabela6[[#This Row],[Código]],Tabela2[Saldo])</f>
        <v>1</v>
      </c>
      <c r="H117" s="2">
        <v>116</v>
      </c>
      <c r="K117" s="2"/>
      <c r="L117" s="2"/>
      <c r="M117" s="2"/>
      <c r="N117" s="2"/>
      <c r="O117" s="3"/>
      <c r="P117" s="56"/>
      <c r="Q117" s="3"/>
    </row>
    <row r="118" spans="1:17" x14ac:dyDescent="0.3">
      <c r="A118" s="2" t="s">
        <v>152</v>
      </c>
      <c r="B118" s="2" t="s">
        <v>844</v>
      </c>
      <c r="C118" s="2"/>
      <c r="D118" s="2"/>
      <c r="E118" s="3" t="s">
        <v>1161</v>
      </c>
      <c r="F118" s="56">
        <v>11.39</v>
      </c>
      <c r="G118" s="3">
        <f>SUMIF(Tabela2[Código],Tabela6[[#This Row],[Código]],Tabela2[Saldo])</f>
        <v>4</v>
      </c>
      <c r="H118" s="2">
        <v>117</v>
      </c>
      <c r="K118" s="2"/>
      <c r="L118" s="2"/>
      <c r="M118" s="2"/>
      <c r="N118" s="2"/>
      <c r="O118" s="3"/>
      <c r="P118" s="56"/>
      <c r="Q118" s="3"/>
    </row>
    <row r="119" spans="1:17" x14ac:dyDescent="0.3">
      <c r="A119" s="2" t="s">
        <v>153</v>
      </c>
      <c r="B119" s="2" t="s">
        <v>845</v>
      </c>
      <c r="C119" s="2"/>
      <c r="D119" s="2"/>
      <c r="E119" s="3" t="s">
        <v>1161</v>
      </c>
      <c r="F119" s="56">
        <v>194</v>
      </c>
      <c r="G119" s="3">
        <f>SUMIF(Tabela2[Código],Tabela6[[#This Row],[Código]],Tabela2[Saldo])</f>
        <v>3</v>
      </c>
      <c r="H119" s="3">
        <v>118</v>
      </c>
      <c r="K119" s="2"/>
      <c r="L119" s="2"/>
      <c r="M119" s="2"/>
      <c r="N119" s="2"/>
      <c r="O119" s="3"/>
      <c r="P119" s="56"/>
      <c r="Q119" s="3"/>
    </row>
    <row r="120" spans="1:17" x14ac:dyDescent="0.3">
      <c r="A120" s="2" t="s">
        <v>154</v>
      </c>
      <c r="B120" s="2" t="s">
        <v>846</v>
      </c>
      <c r="C120" s="2"/>
      <c r="D120" s="2"/>
      <c r="E120" s="3" t="s">
        <v>1161</v>
      </c>
      <c r="F120" s="56">
        <v>51</v>
      </c>
      <c r="G120" s="3">
        <f>SUMIF(Tabela2[Código],Tabela6[[#This Row],[Código]],Tabela2[Saldo])</f>
        <v>1</v>
      </c>
      <c r="H120" s="2">
        <v>119</v>
      </c>
      <c r="K120" s="2"/>
      <c r="L120" s="2"/>
      <c r="M120" s="2"/>
      <c r="N120" s="2"/>
      <c r="O120" s="3"/>
      <c r="P120" s="56"/>
      <c r="Q120" s="3"/>
    </row>
    <row r="121" spans="1:17" x14ac:dyDescent="0.3">
      <c r="A121" s="2" t="s">
        <v>155</v>
      </c>
      <c r="B121" s="2" t="s">
        <v>847</v>
      </c>
      <c r="C121" s="2"/>
      <c r="D121" s="2"/>
      <c r="E121" s="3" t="s">
        <v>1161</v>
      </c>
      <c r="F121" s="56">
        <v>8.3699999999999992</v>
      </c>
      <c r="G121" s="3">
        <f>SUMIF(Tabela2[Código],Tabela6[[#This Row],[Código]],Tabela2[Saldo])</f>
        <v>3</v>
      </c>
      <c r="H121" s="2">
        <v>120</v>
      </c>
      <c r="K121" s="2"/>
      <c r="L121" s="2"/>
      <c r="M121" s="2"/>
      <c r="N121" s="2"/>
      <c r="O121" s="3"/>
      <c r="P121" s="56"/>
      <c r="Q121" s="3"/>
    </row>
    <row r="122" spans="1:17" x14ac:dyDescent="0.3">
      <c r="A122" s="2" t="s">
        <v>156</v>
      </c>
      <c r="B122" s="2" t="s">
        <v>848</v>
      </c>
      <c r="C122" s="2"/>
      <c r="D122" s="2"/>
      <c r="E122" s="3" t="s">
        <v>1161</v>
      </c>
      <c r="F122" s="56">
        <v>32.090000000000003</v>
      </c>
      <c r="G122" s="3">
        <f>SUMIF(Tabela2[Código],Tabela6[[#This Row],[Código]],Tabela2[Saldo])</f>
        <v>0</v>
      </c>
      <c r="H122" s="3">
        <v>121</v>
      </c>
      <c r="K122" s="2"/>
      <c r="L122" s="2"/>
      <c r="M122" s="2"/>
      <c r="N122" s="2"/>
      <c r="O122" s="3"/>
      <c r="P122" s="56"/>
      <c r="Q122" s="3"/>
    </row>
    <row r="123" spans="1:17" x14ac:dyDescent="0.3">
      <c r="A123" s="2" t="s">
        <v>157</v>
      </c>
      <c r="B123" s="2" t="s">
        <v>849</v>
      </c>
      <c r="C123" s="2"/>
      <c r="D123" s="2"/>
      <c r="E123" s="3" t="s">
        <v>1161</v>
      </c>
      <c r="F123" s="56">
        <v>31.09</v>
      </c>
      <c r="G123" s="3">
        <f>SUMIF(Tabela2[Código],Tabela6[[#This Row],[Código]],Tabela2[Saldo])</f>
        <v>2</v>
      </c>
      <c r="H123" s="2">
        <v>122</v>
      </c>
      <c r="K123" s="2"/>
      <c r="L123" s="2"/>
      <c r="M123" s="2"/>
      <c r="N123" s="2"/>
      <c r="O123" s="3"/>
      <c r="P123" s="56"/>
      <c r="Q123" s="3"/>
    </row>
    <row r="124" spans="1:17" x14ac:dyDescent="0.3">
      <c r="A124" s="2" t="s">
        <v>158</v>
      </c>
      <c r="B124" s="2" t="s">
        <v>850</v>
      </c>
      <c r="C124" s="2"/>
      <c r="D124" s="2"/>
      <c r="E124" s="3" t="s">
        <v>1161</v>
      </c>
      <c r="F124" s="56">
        <v>15.09</v>
      </c>
      <c r="G124" s="3">
        <f>SUMIF(Tabela2[Código],Tabela6[[#This Row],[Código]],Tabela2[Saldo])</f>
        <v>1</v>
      </c>
      <c r="H124" s="2">
        <v>123</v>
      </c>
      <c r="K124" s="2"/>
      <c r="L124" s="2"/>
      <c r="M124" s="2"/>
      <c r="N124" s="2"/>
      <c r="O124" s="3"/>
      <c r="P124" s="56"/>
      <c r="Q124" s="3"/>
    </row>
    <row r="125" spans="1:17" x14ac:dyDescent="0.3">
      <c r="A125" s="2" t="s">
        <v>159</v>
      </c>
      <c r="B125" s="2" t="s">
        <v>851</v>
      </c>
      <c r="C125" s="2"/>
      <c r="D125" s="2"/>
      <c r="E125" s="3" t="s">
        <v>1161</v>
      </c>
      <c r="F125" s="56">
        <v>149.9</v>
      </c>
      <c r="G125" s="3">
        <f>SUMIF(Tabela2[Código],Tabela6[[#This Row],[Código]],Tabela2[Saldo])</f>
        <v>2</v>
      </c>
      <c r="H125" s="3">
        <v>124</v>
      </c>
      <c r="K125" s="2"/>
      <c r="L125" s="2"/>
      <c r="M125" s="2"/>
      <c r="N125" s="2"/>
      <c r="O125" s="3"/>
      <c r="P125" s="56"/>
      <c r="Q125" s="3"/>
    </row>
    <row r="126" spans="1:17" x14ac:dyDescent="0.3">
      <c r="A126" s="2" t="s">
        <v>160</v>
      </c>
      <c r="B126" s="2" t="s">
        <v>852</v>
      </c>
      <c r="C126" s="2"/>
      <c r="D126" s="2"/>
      <c r="E126" s="3" t="s">
        <v>1161</v>
      </c>
      <c r="F126" s="56">
        <v>99.9</v>
      </c>
      <c r="G126" s="3">
        <f>SUMIF(Tabela2[Código],Tabela6[[#This Row],[Código]],Tabela2[Saldo])</f>
        <v>0</v>
      </c>
      <c r="H126" s="2">
        <v>125</v>
      </c>
      <c r="K126" s="2"/>
      <c r="L126" s="2"/>
      <c r="M126" s="2"/>
      <c r="N126" s="2"/>
      <c r="O126" s="3"/>
      <c r="P126" s="56"/>
      <c r="Q126" s="3"/>
    </row>
    <row r="127" spans="1:17" x14ac:dyDescent="0.3">
      <c r="A127" s="2" t="s">
        <v>161</v>
      </c>
      <c r="B127" s="2" t="s">
        <v>853</v>
      </c>
      <c r="C127" s="2"/>
      <c r="D127" s="2"/>
      <c r="E127" s="3" t="s">
        <v>1161</v>
      </c>
      <c r="F127" s="56">
        <v>138.91</v>
      </c>
      <c r="G127" s="3">
        <f>SUMIF(Tabela2[Código],Tabela6[[#This Row],[Código]],Tabela2[Saldo])</f>
        <v>3</v>
      </c>
      <c r="H127" s="2">
        <v>126</v>
      </c>
      <c r="K127" s="2"/>
      <c r="L127" s="2"/>
      <c r="M127" s="2"/>
      <c r="N127" s="2"/>
      <c r="O127" s="3"/>
      <c r="P127" s="56"/>
      <c r="Q127" s="3"/>
    </row>
    <row r="128" spans="1:17" x14ac:dyDescent="0.3">
      <c r="A128" s="2" t="s">
        <v>162</v>
      </c>
      <c r="B128" s="2" t="s">
        <v>854</v>
      </c>
      <c r="C128" s="2"/>
      <c r="D128" s="2"/>
      <c r="E128" s="3" t="s">
        <v>1161</v>
      </c>
      <c r="F128" s="56">
        <v>18.34</v>
      </c>
      <c r="G128" s="3">
        <f>SUMIF(Tabela2[Código],Tabela6[[#This Row],[Código]],Tabela2[Saldo])</f>
        <v>3</v>
      </c>
      <c r="H128" s="3">
        <v>127</v>
      </c>
      <c r="K128" s="2"/>
      <c r="L128" s="2"/>
      <c r="M128" s="2"/>
      <c r="N128" s="2"/>
      <c r="O128" s="3"/>
      <c r="P128" s="56"/>
      <c r="Q128" s="3"/>
    </row>
    <row r="129" spans="1:17" x14ac:dyDescent="0.3">
      <c r="A129" s="2" t="s">
        <v>163</v>
      </c>
      <c r="B129" s="2" t="s">
        <v>855</v>
      </c>
      <c r="C129" s="2"/>
      <c r="D129" s="2"/>
      <c r="E129" s="3" t="s">
        <v>1161</v>
      </c>
      <c r="F129" s="56">
        <v>57</v>
      </c>
      <c r="G129" s="3">
        <f>SUMIF(Tabela2[Código],Tabela6[[#This Row],[Código]],Tabela2[Saldo])</f>
        <v>1</v>
      </c>
      <c r="H129" s="2">
        <v>128</v>
      </c>
      <c r="K129" s="2"/>
      <c r="L129" s="2"/>
      <c r="M129" s="2"/>
      <c r="N129" s="2"/>
      <c r="O129" s="3"/>
      <c r="P129" s="56"/>
      <c r="Q129" s="3"/>
    </row>
    <row r="130" spans="1:17" x14ac:dyDescent="0.3">
      <c r="A130" s="2" t="s">
        <v>164</v>
      </c>
      <c r="B130" s="2" t="s">
        <v>856</v>
      </c>
      <c r="C130" s="2"/>
      <c r="D130" s="2"/>
      <c r="E130" s="3" t="s">
        <v>1161</v>
      </c>
      <c r="F130" s="56">
        <v>39.9</v>
      </c>
      <c r="G130" s="3">
        <f>SUMIF(Tabela2[Código],Tabela6[[#This Row],[Código]],Tabela2[Saldo])</f>
        <v>1</v>
      </c>
      <c r="H130" s="2">
        <v>129</v>
      </c>
      <c r="K130" s="2"/>
      <c r="L130" s="2"/>
      <c r="M130" s="2"/>
      <c r="N130" s="2"/>
      <c r="O130" s="3"/>
      <c r="P130" s="56"/>
      <c r="Q130" s="3"/>
    </row>
    <row r="131" spans="1:17" x14ac:dyDescent="0.3">
      <c r="A131" s="2" t="s">
        <v>165</v>
      </c>
      <c r="B131" s="2" t="s">
        <v>857</v>
      </c>
      <c r="C131" s="2"/>
      <c r="D131" s="2"/>
      <c r="E131" s="3" t="s">
        <v>1161</v>
      </c>
      <c r="F131" s="56">
        <v>5.6</v>
      </c>
      <c r="G131" s="3">
        <f>SUMIF(Tabela2[Código],Tabela6[[#This Row],[Código]],Tabela2[Saldo])</f>
        <v>0</v>
      </c>
      <c r="H131" s="3">
        <v>130</v>
      </c>
      <c r="K131" s="2"/>
      <c r="L131" s="2"/>
      <c r="M131" s="2"/>
      <c r="N131" s="2"/>
      <c r="O131" s="3"/>
      <c r="P131" s="56"/>
      <c r="Q131" s="3"/>
    </row>
    <row r="132" spans="1:17" x14ac:dyDescent="0.3">
      <c r="A132" s="2" t="s">
        <v>166</v>
      </c>
      <c r="B132" s="2" t="s">
        <v>858</v>
      </c>
      <c r="C132" s="2"/>
      <c r="D132" s="2"/>
      <c r="E132" s="3" t="s">
        <v>1161</v>
      </c>
      <c r="F132" s="56">
        <v>17</v>
      </c>
      <c r="G132" s="3">
        <f>SUMIF(Tabela2[Código],Tabela6[[#This Row],[Código]],Tabela2[Saldo])</f>
        <v>1</v>
      </c>
      <c r="H132" s="2">
        <v>131</v>
      </c>
      <c r="K132" s="2"/>
      <c r="L132" s="2"/>
      <c r="M132" s="2"/>
      <c r="N132" s="2"/>
      <c r="O132" s="3"/>
      <c r="P132" s="56"/>
      <c r="Q132" s="3"/>
    </row>
    <row r="133" spans="1:17" x14ac:dyDescent="0.3">
      <c r="A133" s="2" t="s">
        <v>167</v>
      </c>
      <c r="B133" s="2" t="s">
        <v>859</v>
      </c>
      <c r="C133" s="2"/>
      <c r="D133" s="2"/>
      <c r="E133" s="3" t="s">
        <v>1161</v>
      </c>
      <c r="F133" s="56">
        <v>109.9</v>
      </c>
      <c r="G133" s="3">
        <f>SUMIF(Tabela2[Código],Tabela6[[#This Row],[Código]],Tabela2[Saldo])</f>
        <v>0</v>
      </c>
      <c r="H133" s="2">
        <v>132</v>
      </c>
      <c r="K133" s="2"/>
      <c r="L133" s="2"/>
      <c r="M133" s="2"/>
      <c r="N133" s="2"/>
      <c r="O133" s="3"/>
      <c r="P133" s="56"/>
      <c r="Q133" s="3"/>
    </row>
    <row r="134" spans="1:17" x14ac:dyDescent="0.3">
      <c r="A134" s="2" t="s">
        <v>168</v>
      </c>
      <c r="B134" s="2" t="s">
        <v>860</v>
      </c>
      <c r="C134" s="2"/>
      <c r="D134" s="2"/>
      <c r="E134" s="3" t="s">
        <v>1161</v>
      </c>
      <c r="F134" s="56">
        <v>0.01</v>
      </c>
      <c r="G134" s="3">
        <f>SUMIF(Tabela2[Código],Tabela6[[#This Row],[Código]],Tabela2[Saldo])</f>
        <v>3</v>
      </c>
      <c r="H134" s="3">
        <v>133</v>
      </c>
      <c r="K134" s="2"/>
      <c r="L134" s="2"/>
      <c r="M134" s="2"/>
      <c r="N134" s="2"/>
      <c r="O134" s="3"/>
      <c r="P134" s="56"/>
      <c r="Q134" s="3"/>
    </row>
    <row r="135" spans="1:17" x14ac:dyDescent="0.3">
      <c r="A135" s="2" t="s">
        <v>169</v>
      </c>
      <c r="B135" s="2" t="s">
        <v>861</v>
      </c>
      <c r="C135" s="2"/>
      <c r="D135" s="2"/>
      <c r="E135" s="3" t="s">
        <v>1161</v>
      </c>
      <c r="F135" s="56">
        <v>0.01</v>
      </c>
      <c r="G135" s="3">
        <f>SUMIF(Tabela2[Código],Tabela6[[#This Row],[Código]],Tabela2[Saldo])</f>
        <v>1</v>
      </c>
      <c r="H135" s="2">
        <v>134</v>
      </c>
      <c r="K135" s="2"/>
      <c r="L135" s="2"/>
      <c r="M135" s="2"/>
      <c r="N135" s="2"/>
      <c r="O135" s="3"/>
      <c r="P135" s="56"/>
      <c r="Q135" s="3"/>
    </row>
    <row r="136" spans="1:17" x14ac:dyDescent="0.3">
      <c r="A136" s="2" t="s">
        <v>170</v>
      </c>
      <c r="B136" s="2" t="s">
        <v>862</v>
      </c>
      <c r="C136" s="2"/>
      <c r="D136" s="2"/>
      <c r="E136" s="3" t="s">
        <v>1161</v>
      </c>
      <c r="F136" s="56">
        <v>0.01</v>
      </c>
      <c r="G136" s="3">
        <f>SUMIF(Tabela2[Código],Tabela6[[#This Row],[Código]],Tabela2[Saldo])</f>
        <v>24</v>
      </c>
      <c r="H136" s="2">
        <v>135</v>
      </c>
      <c r="K136" s="2"/>
      <c r="L136" s="2"/>
      <c r="M136" s="2"/>
      <c r="N136" s="2"/>
      <c r="O136" s="3"/>
      <c r="P136" s="56"/>
      <c r="Q136" s="3"/>
    </row>
    <row r="137" spans="1:17" x14ac:dyDescent="0.3">
      <c r="A137" s="2" t="s">
        <v>171</v>
      </c>
      <c r="B137" s="2" t="s">
        <v>863</v>
      </c>
      <c r="C137" s="2"/>
      <c r="D137" s="2"/>
      <c r="E137" s="3" t="s">
        <v>1161</v>
      </c>
      <c r="F137" s="56">
        <v>126.26</v>
      </c>
      <c r="G137" s="3">
        <f>SUMIF(Tabela2[Código],Tabela6[[#This Row],[Código]],Tabela2[Saldo])</f>
        <v>0</v>
      </c>
      <c r="H137" s="3">
        <v>136</v>
      </c>
      <c r="K137" s="2"/>
      <c r="L137" s="2"/>
      <c r="M137" s="2"/>
      <c r="N137" s="2"/>
      <c r="O137" s="3"/>
      <c r="P137" s="56"/>
      <c r="Q137" s="3"/>
    </row>
    <row r="138" spans="1:17" x14ac:dyDescent="0.3">
      <c r="A138" s="2" t="s">
        <v>172</v>
      </c>
      <c r="B138" s="2" t="s">
        <v>864</v>
      </c>
      <c r="C138" s="2"/>
      <c r="D138" s="2"/>
      <c r="E138" s="3" t="s">
        <v>1161</v>
      </c>
      <c r="F138" s="56">
        <v>562</v>
      </c>
      <c r="G138" s="3">
        <f>SUMIF(Tabela2[Código],Tabela6[[#This Row],[Código]],Tabela2[Saldo])</f>
        <v>0</v>
      </c>
      <c r="H138" s="2">
        <v>137</v>
      </c>
      <c r="K138" s="2"/>
      <c r="L138" s="2"/>
      <c r="M138" s="2"/>
      <c r="N138" s="2"/>
      <c r="O138" s="3"/>
      <c r="P138" s="56"/>
      <c r="Q138" s="3"/>
    </row>
    <row r="139" spans="1:17" x14ac:dyDescent="0.3">
      <c r="A139" s="2" t="s">
        <v>173</v>
      </c>
      <c r="B139" s="2" t="s">
        <v>865</v>
      </c>
      <c r="C139" s="2"/>
      <c r="D139" s="2"/>
      <c r="E139" s="3" t="s">
        <v>1162</v>
      </c>
      <c r="F139" s="56">
        <v>219.9</v>
      </c>
      <c r="G139" s="3">
        <f>SUMIF(Tabela2[Código],Tabela6[[#This Row],[Código]],Tabela2[Saldo])</f>
        <v>0</v>
      </c>
      <c r="H139" s="2">
        <v>138</v>
      </c>
      <c r="K139" s="2"/>
      <c r="L139" s="2"/>
      <c r="M139" s="2"/>
      <c r="N139" s="2"/>
      <c r="O139" s="3"/>
      <c r="P139" s="56"/>
      <c r="Q139" s="3"/>
    </row>
    <row r="140" spans="1:17" x14ac:dyDescent="0.3">
      <c r="A140" s="2" t="s">
        <v>174</v>
      </c>
      <c r="B140" s="2" t="s">
        <v>866</v>
      </c>
      <c r="C140" s="2"/>
      <c r="D140" s="2"/>
      <c r="E140" s="3" t="s">
        <v>1162</v>
      </c>
      <c r="F140" s="56">
        <v>0.01</v>
      </c>
      <c r="G140" s="3">
        <f>SUMIF(Tabela2[Código],Tabela6[[#This Row],[Código]],Tabela2[Saldo])</f>
        <v>1</v>
      </c>
      <c r="H140" s="3">
        <v>139</v>
      </c>
      <c r="K140" s="2"/>
      <c r="L140" s="2"/>
      <c r="M140" s="2"/>
      <c r="N140" s="2"/>
      <c r="O140" s="3"/>
      <c r="P140" s="56"/>
      <c r="Q140" s="3"/>
    </row>
    <row r="141" spans="1:17" x14ac:dyDescent="0.3">
      <c r="A141" s="2" t="s">
        <v>175</v>
      </c>
      <c r="B141" s="2" t="s">
        <v>867</v>
      </c>
      <c r="C141" s="2"/>
      <c r="D141" s="2"/>
      <c r="E141" s="3" t="s">
        <v>1163</v>
      </c>
      <c r="F141" s="56">
        <v>125.8</v>
      </c>
      <c r="G141" s="3">
        <f>SUMIF(Tabela2[Código],Tabela6[[#This Row],[Código]],Tabela2[Saldo])</f>
        <v>2</v>
      </c>
      <c r="H141" s="2">
        <v>140</v>
      </c>
      <c r="K141" s="2"/>
      <c r="L141" s="2"/>
      <c r="M141" s="2"/>
      <c r="N141" s="2"/>
      <c r="O141" s="3"/>
      <c r="P141" s="56"/>
      <c r="Q141" s="3"/>
    </row>
    <row r="142" spans="1:17" x14ac:dyDescent="0.3">
      <c r="A142" s="2" t="s">
        <v>176</v>
      </c>
      <c r="B142" s="2" t="s">
        <v>868</v>
      </c>
      <c r="C142" s="2"/>
      <c r="D142" s="2"/>
      <c r="E142" s="3" t="s">
        <v>1164</v>
      </c>
      <c r="F142" s="56">
        <v>1095</v>
      </c>
      <c r="G142" s="3">
        <f>SUMIF(Tabela2[Código],Tabela6[[#This Row],[Código]],Tabela2[Saldo])</f>
        <v>1</v>
      </c>
      <c r="H142" s="2">
        <v>141</v>
      </c>
      <c r="K142" s="2"/>
      <c r="L142" s="2"/>
      <c r="M142" s="2"/>
      <c r="N142" s="2"/>
      <c r="O142" s="3"/>
      <c r="P142" s="56"/>
      <c r="Q142" s="3"/>
    </row>
    <row r="143" spans="1:17" x14ac:dyDescent="0.3">
      <c r="A143" s="2" t="s">
        <v>177</v>
      </c>
      <c r="B143" s="2" t="s">
        <v>869</v>
      </c>
      <c r="C143" s="2"/>
      <c r="D143" s="2"/>
      <c r="E143" s="3" t="s">
        <v>1164</v>
      </c>
      <c r="F143" s="56">
        <v>0.01</v>
      </c>
      <c r="G143" s="3">
        <f>SUMIF(Tabela2[Código],Tabela6[[#This Row],[Código]],Tabela2[Saldo])</f>
        <v>2</v>
      </c>
      <c r="H143" s="3">
        <v>142</v>
      </c>
      <c r="K143" s="2"/>
      <c r="L143" s="2"/>
      <c r="M143" s="2"/>
      <c r="N143" s="2"/>
      <c r="O143" s="3"/>
      <c r="P143" s="56"/>
      <c r="Q143" s="3"/>
    </row>
    <row r="144" spans="1:17" x14ac:dyDescent="0.3">
      <c r="A144" s="2" t="s">
        <v>178</v>
      </c>
      <c r="B144" s="2" t="s">
        <v>870</v>
      </c>
      <c r="C144" s="2"/>
      <c r="D144" s="2"/>
      <c r="E144" s="3" t="s">
        <v>1164</v>
      </c>
      <c r="F144" s="56">
        <v>82.99</v>
      </c>
      <c r="G144" s="3">
        <f>SUMIF(Tabela2[Código],Tabela6[[#This Row],[Código]],Tabela2[Saldo])</f>
        <v>2</v>
      </c>
      <c r="H144" s="2">
        <v>143</v>
      </c>
      <c r="K144" s="2"/>
      <c r="L144" s="2"/>
      <c r="M144" s="2"/>
      <c r="N144" s="2"/>
      <c r="O144" s="3"/>
      <c r="P144" s="56"/>
      <c r="Q144" s="3"/>
    </row>
    <row r="145" spans="1:17" x14ac:dyDescent="0.3">
      <c r="A145" s="2" t="s">
        <v>179</v>
      </c>
      <c r="B145" s="2" t="s">
        <v>871</v>
      </c>
      <c r="C145" s="2"/>
      <c r="D145" s="2"/>
      <c r="E145" s="3" t="s">
        <v>1164</v>
      </c>
      <c r="F145" s="56">
        <v>20.95</v>
      </c>
      <c r="G145" s="3">
        <f>SUMIF(Tabela2[Código],Tabela6[[#This Row],[Código]],Tabela2[Saldo])</f>
        <v>8</v>
      </c>
      <c r="H145" s="2">
        <v>144</v>
      </c>
      <c r="K145" s="2"/>
      <c r="L145" s="2"/>
      <c r="M145" s="2"/>
      <c r="N145" s="2"/>
      <c r="O145" s="3"/>
      <c r="P145" s="56"/>
      <c r="Q145" s="3"/>
    </row>
    <row r="146" spans="1:17" x14ac:dyDescent="0.3">
      <c r="A146" s="2" t="s">
        <v>180</v>
      </c>
      <c r="B146" s="2" t="s">
        <v>872</v>
      </c>
      <c r="C146" s="2"/>
      <c r="D146" s="2"/>
      <c r="E146" s="3" t="s">
        <v>1164</v>
      </c>
      <c r="F146" s="56">
        <v>6.3</v>
      </c>
      <c r="G146" s="3">
        <f>SUMIF(Tabela2[Código],Tabela6[[#This Row],[Código]],Tabela2[Saldo])</f>
        <v>2</v>
      </c>
      <c r="H146" s="3">
        <v>145</v>
      </c>
      <c r="K146" s="2"/>
      <c r="L146" s="2"/>
      <c r="M146" s="2"/>
      <c r="N146" s="2"/>
      <c r="O146" s="3"/>
      <c r="P146" s="56"/>
      <c r="Q146" s="3"/>
    </row>
    <row r="147" spans="1:17" x14ac:dyDescent="0.3">
      <c r="A147" s="2" t="s">
        <v>181</v>
      </c>
      <c r="B147" s="2" t="s">
        <v>873</v>
      </c>
      <c r="C147" s="2"/>
      <c r="D147" s="2"/>
      <c r="E147" s="3" t="s">
        <v>1164</v>
      </c>
      <c r="F147" s="56">
        <v>13.9</v>
      </c>
      <c r="G147" s="3">
        <f>SUMIF(Tabela2[Código],Tabela6[[#This Row],[Código]],Tabela2[Saldo])</f>
        <v>4</v>
      </c>
      <c r="H147" s="2">
        <v>146</v>
      </c>
      <c r="K147" s="2"/>
      <c r="L147" s="2"/>
      <c r="M147" s="2"/>
      <c r="N147" s="2"/>
      <c r="O147" s="3"/>
      <c r="P147" s="56"/>
      <c r="Q147" s="3"/>
    </row>
    <row r="148" spans="1:17" x14ac:dyDescent="0.3">
      <c r="A148" s="2" t="s">
        <v>182</v>
      </c>
      <c r="B148" s="2" t="s">
        <v>874</v>
      </c>
      <c r="C148" s="2"/>
      <c r="D148" s="2"/>
      <c r="E148" s="3" t="s">
        <v>1164</v>
      </c>
      <c r="F148" s="56">
        <v>16.670000000000002</v>
      </c>
      <c r="G148" s="3">
        <f>SUMIF(Tabela2[Código],Tabela6[[#This Row],[Código]],Tabela2[Saldo])</f>
        <v>2</v>
      </c>
      <c r="H148" s="2">
        <v>147</v>
      </c>
      <c r="K148" s="2"/>
      <c r="L148" s="2"/>
      <c r="M148" s="2"/>
      <c r="N148" s="2"/>
      <c r="O148" s="3"/>
      <c r="P148" s="56"/>
      <c r="Q148" s="3"/>
    </row>
    <row r="149" spans="1:17" x14ac:dyDescent="0.3">
      <c r="A149" s="2" t="s">
        <v>183</v>
      </c>
      <c r="B149" s="2" t="s">
        <v>875</v>
      </c>
      <c r="C149" s="2"/>
      <c r="D149" s="2"/>
      <c r="E149" s="3" t="s">
        <v>1164</v>
      </c>
      <c r="F149" s="56">
        <v>146.9</v>
      </c>
      <c r="G149" s="3">
        <f>SUMIF(Tabela2[Código],Tabela6[[#This Row],[Código]],Tabela2[Saldo])</f>
        <v>0</v>
      </c>
      <c r="H149" s="3">
        <v>148</v>
      </c>
      <c r="K149" s="2"/>
      <c r="L149" s="2"/>
      <c r="M149" s="2"/>
      <c r="N149" s="2"/>
      <c r="O149" s="3"/>
      <c r="P149" s="56"/>
      <c r="Q149" s="3"/>
    </row>
    <row r="150" spans="1:17" x14ac:dyDescent="0.3">
      <c r="A150" s="2" t="s">
        <v>184</v>
      </c>
      <c r="B150" s="2" t="s">
        <v>876</v>
      </c>
      <c r="C150" s="2"/>
      <c r="D150" s="2"/>
      <c r="E150" s="3" t="s">
        <v>1164</v>
      </c>
      <c r="F150" s="56">
        <v>126</v>
      </c>
      <c r="G150" s="3">
        <f>SUMIF(Tabela2[Código],Tabela6[[#This Row],[Código]],Tabela2[Saldo])</f>
        <v>1</v>
      </c>
      <c r="H150" s="2">
        <v>149</v>
      </c>
      <c r="K150" s="2"/>
      <c r="L150" s="2"/>
      <c r="M150" s="2"/>
      <c r="N150" s="2"/>
      <c r="O150" s="3"/>
      <c r="P150" s="56"/>
      <c r="Q150" s="3"/>
    </row>
    <row r="151" spans="1:17" x14ac:dyDescent="0.3">
      <c r="A151" s="2" t="s">
        <v>185</v>
      </c>
      <c r="B151" s="2" t="s">
        <v>877</v>
      </c>
      <c r="C151" s="2"/>
      <c r="D151" s="2"/>
      <c r="E151" s="3" t="s">
        <v>1164</v>
      </c>
      <c r="F151" s="56">
        <v>5.79</v>
      </c>
      <c r="G151" s="3">
        <f>SUMIF(Tabela2[Código],Tabela6[[#This Row],[Código]],Tabela2[Saldo])</f>
        <v>2</v>
      </c>
      <c r="H151" s="2">
        <v>150</v>
      </c>
      <c r="K151" s="2"/>
      <c r="L151" s="2"/>
      <c r="M151" s="2"/>
      <c r="N151" s="2"/>
      <c r="O151" s="3"/>
      <c r="P151" s="56"/>
      <c r="Q151" s="3"/>
    </row>
    <row r="152" spans="1:17" x14ac:dyDescent="0.3">
      <c r="A152" s="2" t="s">
        <v>186</v>
      </c>
      <c r="B152" s="2" t="s">
        <v>878</v>
      </c>
      <c r="C152" s="2"/>
      <c r="D152" s="2"/>
      <c r="E152" s="3" t="s">
        <v>1164</v>
      </c>
      <c r="F152" s="56">
        <v>50</v>
      </c>
      <c r="G152" s="3">
        <f>SUMIF(Tabela2[Código],Tabela6[[#This Row],[Código]],Tabela2[Saldo])</f>
        <v>1</v>
      </c>
      <c r="H152" s="3">
        <v>151</v>
      </c>
      <c r="K152" s="2"/>
      <c r="L152" s="2"/>
      <c r="M152" s="2"/>
      <c r="N152" s="2"/>
      <c r="O152" s="3"/>
      <c r="P152" s="56"/>
      <c r="Q152" s="3"/>
    </row>
    <row r="153" spans="1:17" x14ac:dyDescent="0.3">
      <c r="A153" s="2" t="s">
        <v>187</v>
      </c>
      <c r="B153" s="2" t="s">
        <v>879</v>
      </c>
      <c r="C153" s="2"/>
      <c r="D153" s="2"/>
      <c r="E153" s="3" t="s">
        <v>1164</v>
      </c>
      <c r="F153" s="56">
        <v>30</v>
      </c>
      <c r="G153" s="3">
        <f>SUMIF(Tabela2[Código],Tabela6[[#This Row],[Código]],Tabela2[Saldo])</f>
        <v>2</v>
      </c>
      <c r="H153" s="2">
        <v>152</v>
      </c>
      <c r="K153" s="2"/>
      <c r="L153" s="2"/>
      <c r="M153" s="2"/>
      <c r="N153" s="2"/>
      <c r="O153" s="3"/>
      <c r="P153" s="56"/>
      <c r="Q153" s="3"/>
    </row>
    <row r="154" spans="1:17" x14ac:dyDescent="0.3">
      <c r="A154" s="2" t="s">
        <v>188</v>
      </c>
      <c r="B154" s="2" t="s">
        <v>880</v>
      </c>
      <c r="C154" s="2"/>
      <c r="D154" s="2"/>
      <c r="E154" s="3" t="s">
        <v>1164</v>
      </c>
      <c r="F154" s="56">
        <v>13.09</v>
      </c>
      <c r="G154" s="3">
        <f>SUMIF(Tabela2[Código],Tabela6[[#This Row],[Código]],Tabela2[Saldo])</f>
        <v>2</v>
      </c>
      <c r="H154" s="2">
        <v>153</v>
      </c>
      <c r="K154" s="2"/>
      <c r="L154" s="2"/>
      <c r="M154" s="2"/>
      <c r="N154" s="2"/>
      <c r="O154" s="3"/>
      <c r="P154" s="56"/>
      <c r="Q154" s="3"/>
    </row>
    <row r="155" spans="1:17" x14ac:dyDescent="0.3">
      <c r="A155" s="2" t="s">
        <v>189</v>
      </c>
      <c r="B155" s="2" t="s">
        <v>881</v>
      </c>
      <c r="C155" s="2"/>
      <c r="D155" s="2"/>
      <c r="E155" s="3" t="s">
        <v>1164</v>
      </c>
      <c r="F155" s="56">
        <v>9.7799999999999994</v>
      </c>
      <c r="G155" s="3">
        <f>SUMIF(Tabela2[Código],Tabela6[[#This Row],[Código]],Tabela2[Saldo])</f>
        <v>0</v>
      </c>
      <c r="H155" s="3">
        <v>154</v>
      </c>
      <c r="K155" s="2"/>
      <c r="L155" s="2"/>
      <c r="M155" s="2"/>
      <c r="N155" s="2"/>
      <c r="O155" s="3"/>
      <c r="P155" s="56"/>
      <c r="Q155" s="3"/>
    </row>
    <row r="156" spans="1:17" x14ac:dyDescent="0.3">
      <c r="A156" s="2" t="s">
        <v>190</v>
      </c>
      <c r="B156" s="2" t="s">
        <v>882</v>
      </c>
      <c r="C156" s="2"/>
      <c r="D156" s="2"/>
      <c r="E156" s="3" t="s">
        <v>1164</v>
      </c>
      <c r="F156" s="56">
        <v>0.01</v>
      </c>
      <c r="G156" s="3">
        <f>SUMIF(Tabela2[Código],Tabela6[[#This Row],[Código]],Tabela2[Saldo])</f>
        <v>26</v>
      </c>
      <c r="H156" s="2">
        <v>155</v>
      </c>
      <c r="K156" s="2"/>
      <c r="L156" s="2"/>
      <c r="M156" s="2"/>
      <c r="N156" s="2"/>
      <c r="O156" s="3"/>
      <c r="P156" s="56"/>
      <c r="Q156" s="3"/>
    </row>
    <row r="157" spans="1:17" x14ac:dyDescent="0.3">
      <c r="A157" s="2" t="s">
        <v>191</v>
      </c>
      <c r="B157" s="2" t="s">
        <v>883</v>
      </c>
      <c r="C157" s="2"/>
      <c r="D157" s="2"/>
      <c r="E157" s="3" t="s">
        <v>1164</v>
      </c>
      <c r="F157" s="56">
        <v>5.79</v>
      </c>
      <c r="G157" s="3">
        <f>SUMIF(Tabela2[Código],Tabela6[[#This Row],[Código]],Tabela2[Saldo])</f>
        <v>5</v>
      </c>
      <c r="H157" s="2">
        <v>156</v>
      </c>
      <c r="K157" s="2"/>
      <c r="L157" s="2"/>
      <c r="M157" s="2"/>
      <c r="N157" s="2"/>
      <c r="O157" s="3"/>
      <c r="P157" s="56"/>
      <c r="Q157" s="3"/>
    </row>
    <row r="158" spans="1:17" x14ac:dyDescent="0.3">
      <c r="A158" s="2" t="s">
        <v>192</v>
      </c>
      <c r="B158" s="2" t="s">
        <v>884</v>
      </c>
      <c r="C158" s="2"/>
      <c r="D158" s="2"/>
      <c r="E158" s="3" t="s">
        <v>1165</v>
      </c>
      <c r="F158" s="56">
        <v>4.18</v>
      </c>
      <c r="G158" s="3">
        <f>SUMIF(Tabela2[Código],Tabela6[[#This Row],[Código]],Tabela2[Saldo])</f>
        <v>0</v>
      </c>
      <c r="H158" s="3">
        <v>157</v>
      </c>
      <c r="K158" s="2"/>
      <c r="L158" s="2"/>
      <c r="M158" s="2"/>
      <c r="N158" s="2"/>
      <c r="O158" s="3"/>
      <c r="P158" s="56"/>
      <c r="Q158" s="3"/>
    </row>
    <row r="159" spans="1:17" x14ac:dyDescent="0.3">
      <c r="A159" s="2" t="s">
        <v>193</v>
      </c>
      <c r="B159" s="2" t="s">
        <v>885</v>
      </c>
      <c r="C159" s="2"/>
      <c r="D159" s="2"/>
      <c r="E159" s="3" t="s">
        <v>1166</v>
      </c>
      <c r="F159" s="56">
        <v>4.49</v>
      </c>
      <c r="G159" s="3">
        <f>SUMIF(Tabela2[Código],Tabela6[[#This Row],[Código]],Tabela2[Saldo])</f>
        <v>0</v>
      </c>
      <c r="H159" s="2">
        <v>158</v>
      </c>
      <c r="K159" s="2"/>
      <c r="L159" s="2"/>
      <c r="M159" s="2"/>
      <c r="N159" s="2"/>
      <c r="O159" s="3"/>
      <c r="P159" s="56"/>
      <c r="Q159" s="3"/>
    </row>
    <row r="160" spans="1:17" x14ac:dyDescent="0.3">
      <c r="A160" s="2" t="s">
        <v>194</v>
      </c>
      <c r="B160" s="2" t="s">
        <v>886</v>
      </c>
      <c r="C160" s="2"/>
      <c r="D160" s="2"/>
      <c r="E160" s="3" t="s">
        <v>1166</v>
      </c>
      <c r="F160" s="56">
        <v>3.08</v>
      </c>
      <c r="G160" s="3">
        <f>SUMIF(Tabela2[Código],Tabela6[[#This Row],[Código]],Tabela2[Saldo])</f>
        <v>0</v>
      </c>
      <c r="H160" s="2">
        <v>159</v>
      </c>
      <c r="K160" s="2"/>
      <c r="L160" s="2"/>
      <c r="M160" s="2"/>
      <c r="N160" s="2"/>
      <c r="O160" s="3"/>
      <c r="P160" s="56"/>
      <c r="Q160" s="3"/>
    </row>
    <row r="161" spans="1:17" x14ac:dyDescent="0.3">
      <c r="A161" s="2" t="s">
        <v>195</v>
      </c>
      <c r="B161" s="2" t="s">
        <v>887</v>
      </c>
      <c r="C161" s="2"/>
      <c r="D161" s="2"/>
      <c r="E161" s="3" t="s">
        <v>1166</v>
      </c>
      <c r="F161" s="56">
        <v>7.17</v>
      </c>
      <c r="G161" s="3">
        <f>SUMIF(Tabela2[Código],Tabela6[[#This Row],[Código]],Tabela2[Saldo])</f>
        <v>0</v>
      </c>
      <c r="H161" s="3">
        <v>160</v>
      </c>
      <c r="K161" s="2"/>
      <c r="L161" s="2"/>
      <c r="M161" s="2"/>
      <c r="N161" s="2"/>
      <c r="O161" s="3"/>
      <c r="P161" s="56"/>
      <c r="Q161" s="3"/>
    </row>
    <row r="162" spans="1:17" x14ac:dyDescent="0.3">
      <c r="A162" s="2" t="s">
        <v>196</v>
      </c>
      <c r="B162" s="2" t="s">
        <v>888</v>
      </c>
      <c r="C162" s="2"/>
      <c r="D162" s="2"/>
      <c r="E162" s="3" t="s">
        <v>1166</v>
      </c>
      <c r="F162" s="56">
        <v>8.65</v>
      </c>
      <c r="G162" s="3">
        <f>SUMIF(Tabela2[Código],Tabela6[[#This Row],[Código]],Tabela2[Saldo])</f>
        <v>0</v>
      </c>
      <c r="H162" s="2">
        <v>161</v>
      </c>
      <c r="K162" s="2"/>
      <c r="L162" s="2"/>
      <c r="M162" s="2"/>
      <c r="N162" s="2"/>
      <c r="O162" s="3"/>
      <c r="P162" s="56"/>
      <c r="Q162" s="3"/>
    </row>
    <row r="163" spans="1:17" x14ac:dyDescent="0.3">
      <c r="A163" s="2" t="s">
        <v>197</v>
      </c>
      <c r="B163" s="2" t="s">
        <v>889</v>
      </c>
      <c r="C163" s="2"/>
      <c r="D163" s="2"/>
      <c r="E163" s="3" t="s">
        <v>1166</v>
      </c>
      <c r="F163" s="56">
        <v>15.79</v>
      </c>
      <c r="G163" s="3">
        <f>SUMIF(Tabela2[Código],Tabela6[[#This Row],[Código]],Tabela2[Saldo])</f>
        <v>0</v>
      </c>
      <c r="H163" s="2">
        <v>162</v>
      </c>
      <c r="K163" s="2"/>
      <c r="L163" s="2"/>
      <c r="M163" s="2"/>
      <c r="N163" s="2"/>
      <c r="O163" s="3"/>
      <c r="P163" s="56"/>
      <c r="Q163" s="3"/>
    </row>
    <row r="164" spans="1:17" x14ac:dyDescent="0.3">
      <c r="A164" s="2" t="s">
        <v>198</v>
      </c>
      <c r="B164" s="2" t="s">
        <v>890</v>
      </c>
      <c r="C164" s="2"/>
      <c r="D164" s="2"/>
      <c r="E164" s="3" t="s">
        <v>1166</v>
      </c>
      <c r="F164" s="56">
        <v>13.04</v>
      </c>
      <c r="G164" s="3">
        <f>SUMIF(Tabela2[Código],Tabela6[[#This Row],[Código]],Tabela2[Saldo])</f>
        <v>3</v>
      </c>
      <c r="H164" s="3">
        <v>163</v>
      </c>
      <c r="K164" s="2"/>
      <c r="L164" s="2"/>
      <c r="M164" s="2"/>
      <c r="N164" s="2"/>
      <c r="O164" s="3"/>
      <c r="P164" s="56"/>
      <c r="Q164" s="3"/>
    </row>
    <row r="165" spans="1:17" x14ac:dyDescent="0.3">
      <c r="A165" s="2" t="s">
        <v>199</v>
      </c>
      <c r="B165" s="2" t="s">
        <v>891</v>
      </c>
      <c r="C165" s="2"/>
      <c r="D165" s="2"/>
      <c r="E165" s="3" t="s">
        <v>1166</v>
      </c>
      <c r="F165" s="56">
        <v>79.5</v>
      </c>
      <c r="G165" s="3">
        <f>SUMIF(Tabela2[Código],Tabela6[[#This Row],[Código]],Tabela2[Saldo])</f>
        <v>1</v>
      </c>
      <c r="H165" s="2">
        <v>164</v>
      </c>
      <c r="K165" s="2"/>
      <c r="L165" s="2"/>
      <c r="M165" s="2"/>
      <c r="N165" s="2"/>
      <c r="O165" s="3"/>
      <c r="P165" s="56"/>
      <c r="Q165" s="3"/>
    </row>
    <row r="166" spans="1:17" x14ac:dyDescent="0.3">
      <c r="A166" s="2" t="s">
        <v>200</v>
      </c>
      <c r="B166" s="2" t="s">
        <v>892</v>
      </c>
      <c r="C166" s="2"/>
      <c r="D166" s="2"/>
      <c r="E166" s="3" t="s">
        <v>1166</v>
      </c>
      <c r="F166" s="56">
        <v>129.9</v>
      </c>
      <c r="G166" s="3">
        <f>SUMIF(Tabela2[Código],Tabela6[[#This Row],[Código]],Tabela2[Saldo])</f>
        <v>0</v>
      </c>
      <c r="H166" s="2">
        <v>165</v>
      </c>
      <c r="K166" s="2"/>
      <c r="L166" s="2"/>
      <c r="M166" s="2"/>
      <c r="N166" s="2"/>
      <c r="O166" s="3"/>
      <c r="P166" s="56"/>
      <c r="Q166" s="3"/>
    </row>
    <row r="167" spans="1:17" x14ac:dyDescent="0.3">
      <c r="A167" s="2" t="s">
        <v>201</v>
      </c>
      <c r="B167" s="2" t="s">
        <v>893</v>
      </c>
      <c r="C167" s="2"/>
      <c r="D167" s="2"/>
      <c r="E167" s="3" t="s">
        <v>1167</v>
      </c>
      <c r="F167" s="56">
        <v>72.900000000000006</v>
      </c>
      <c r="G167" s="3">
        <f>SUMIF(Tabela2[Código],Tabela6[[#This Row],[Código]],Tabela2[Saldo])</f>
        <v>2</v>
      </c>
      <c r="H167" s="3">
        <v>166</v>
      </c>
      <c r="K167" s="2"/>
      <c r="L167" s="2"/>
      <c r="M167" s="2"/>
      <c r="N167" s="2"/>
      <c r="O167" s="3"/>
      <c r="P167" s="56"/>
      <c r="Q167" s="3"/>
    </row>
    <row r="168" spans="1:17" x14ac:dyDescent="0.3">
      <c r="A168" s="2" t="s">
        <v>202</v>
      </c>
      <c r="B168" s="2" t="s">
        <v>894</v>
      </c>
      <c r="C168" s="2"/>
      <c r="D168" s="2"/>
      <c r="E168" s="3" t="s">
        <v>1167</v>
      </c>
      <c r="F168" s="56">
        <v>284.73</v>
      </c>
      <c r="G168" s="3">
        <f>SUMIF(Tabela2[Código],Tabela6[[#This Row],[Código]],Tabela2[Saldo])</f>
        <v>1</v>
      </c>
      <c r="H168" s="2">
        <v>167</v>
      </c>
      <c r="K168" s="2"/>
      <c r="L168" s="2"/>
      <c r="M168" s="2"/>
      <c r="N168" s="2"/>
      <c r="O168" s="3"/>
      <c r="P168" s="56"/>
      <c r="Q168" s="3"/>
    </row>
    <row r="169" spans="1:17" x14ac:dyDescent="0.3">
      <c r="A169" s="2" t="s">
        <v>203</v>
      </c>
      <c r="B169" s="2" t="s">
        <v>895</v>
      </c>
      <c r="C169" s="2"/>
      <c r="D169" s="2"/>
      <c r="E169" s="3" t="s">
        <v>1167</v>
      </c>
      <c r="F169" s="56">
        <v>34.68</v>
      </c>
      <c r="G169" s="3">
        <f>SUMIF(Tabela2[Código],Tabela6[[#This Row],[Código]],Tabela2[Saldo])</f>
        <v>2</v>
      </c>
      <c r="H169" s="2">
        <v>168</v>
      </c>
      <c r="K169" s="2"/>
      <c r="L169" s="2"/>
      <c r="M169" s="2"/>
      <c r="N169" s="2"/>
      <c r="O169" s="3"/>
      <c r="P169" s="56"/>
      <c r="Q169" s="3"/>
    </row>
    <row r="170" spans="1:17" x14ac:dyDescent="0.3">
      <c r="A170" s="2" t="s">
        <v>204</v>
      </c>
      <c r="B170" s="2" t="s">
        <v>896</v>
      </c>
      <c r="C170" s="2"/>
      <c r="D170" s="2"/>
      <c r="E170" s="3" t="s">
        <v>1167</v>
      </c>
      <c r="F170" s="56">
        <v>14.33</v>
      </c>
      <c r="G170" s="3">
        <f>SUMIF(Tabela2[Código],Tabela6[[#This Row],[Código]],Tabela2[Saldo])</f>
        <v>11</v>
      </c>
      <c r="H170" s="3">
        <v>169</v>
      </c>
      <c r="K170" s="2"/>
      <c r="L170" s="2"/>
      <c r="M170" s="2"/>
      <c r="N170" s="2"/>
      <c r="O170" s="3"/>
      <c r="P170" s="56"/>
      <c r="Q170" s="3"/>
    </row>
    <row r="171" spans="1:17" x14ac:dyDescent="0.3">
      <c r="A171" s="2" t="s">
        <v>205</v>
      </c>
      <c r="B171" s="2" t="s">
        <v>897</v>
      </c>
      <c r="C171" s="2"/>
      <c r="D171" s="2"/>
      <c r="E171" s="3" t="s">
        <v>1167</v>
      </c>
      <c r="F171" s="56">
        <v>14.33</v>
      </c>
      <c r="G171" s="3">
        <f>SUMIF(Tabela2[Código],Tabela6[[#This Row],[Código]],Tabela2[Saldo])</f>
        <v>3</v>
      </c>
      <c r="H171" s="2">
        <v>170</v>
      </c>
      <c r="K171" s="2"/>
      <c r="L171" s="2"/>
      <c r="M171" s="2"/>
      <c r="N171" s="2"/>
      <c r="O171" s="3"/>
      <c r="P171" s="56"/>
      <c r="Q171" s="3"/>
    </row>
    <row r="172" spans="1:17" x14ac:dyDescent="0.3">
      <c r="A172" s="2" t="s">
        <v>206</v>
      </c>
      <c r="B172" s="2" t="s">
        <v>898</v>
      </c>
      <c r="C172" s="2"/>
      <c r="D172" s="2"/>
      <c r="E172" s="3" t="s">
        <v>1168</v>
      </c>
      <c r="F172" s="56">
        <v>14.33</v>
      </c>
      <c r="G172" s="3">
        <f>SUMIF(Tabela2[Código],Tabela6[[#This Row],[Código]],Tabela2[Saldo])</f>
        <v>2</v>
      </c>
      <c r="H172" s="2">
        <v>171</v>
      </c>
      <c r="K172" s="2"/>
      <c r="L172" s="2"/>
      <c r="M172" s="2"/>
      <c r="N172" s="2"/>
      <c r="O172" s="3"/>
      <c r="P172" s="56"/>
      <c r="Q172" s="3"/>
    </row>
    <row r="173" spans="1:17" x14ac:dyDescent="0.3">
      <c r="A173" s="2" t="s">
        <v>207</v>
      </c>
      <c r="B173" s="2" t="s">
        <v>899</v>
      </c>
      <c r="C173" s="2"/>
      <c r="D173" s="2"/>
      <c r="E173" s="3" t="s">
        <v>1168</v>
      </c>
      <c r="F173" s="56">
        <v>14.33</v>
      </c>
      <c r="G173" s="3">
        <f>SUMIF(Tabela2[Código],Tabela6[[#This Row],[Código]],Tabela2[Saldo])</f>
        <v>18</v>
      </c>
      <c r="H173" s="3">
        <v>172</v>
      </c>
      <c r="K173" s="2"/>
      <c r="L173" s="2"/>
      <c r="M173" s="2"/>
      <c r="N173" s="2"/>
      <c r="O173" s="3"/>
      <c r="P173" s="56"/>
      <c r="Q173" s="3"/>
    </row>
    <row r="174" spans="1:17" x14ac:dyDescent="0.3">
      <c r="A174" s="2" t="s">
        <v>208</v>
      </c>
      <c r="B174" s="2" t="s">
        <v>900</v>
      </c>
      <c r="C174" s="2"/>
      <c r="D174" s="2"/>
      <c r="E174" s="3" t="s">
        <v>1168</v>
      </c>
      <c r="F174" s="56">
        <v>9.9700000000000006</v>
      </c>
      <c r="G174" s="3">
        <f>SUMIF(Tabela2[Código],Tabela6[[#This Row],[Código]],Tabela2[Saldo])</f>
        <v>2</v>
      </c>
      <c r="H174" s="2">
        <v>173</v>
      </c>
      <c r="K174" s="2"/>
      <c r="L174" s="2"/>
      <c r="M174" s="2"/>
      <c r="N174" s="2"/>
      <c r="O174" s="3"/>
      <c r="P174" s="56"/>
      <c r="Q174" s="3"/>
    </row>
    <row r="175" spans="1:17" x14ac:dyDescent="0.3">
      <c r="A175" s="2" t="s">
        <v>209</v>
      </c>
      <c r="B175" s="2" t="s">
        <v>901</v>
      </c>
      <c r="C175" s="2"/>
      <c r="D175" s="2"/>
      <c r="E175" s="3" t="s">
        <v>1168</v>
      </c>
      <c r="F175" s="56">
        <v>12.33</v>
      </c>
      <c r="G175" s="3">
        <f>SUMIF(Tabela2[Código],Tabela6[[#This Row],[Código]],Tabela2[Saldo])</f>
        <v>8</v>
      </c>
      <c r="H175" s="2">
        <v>174</v>
      </c>
      <c r="K175" s="2"/>
      <c r="L175" s="2"/>
      <c r="M175" s="2"/>
      <c r="N175" s="2"/>
      <c r="O175" s="3"/>
      <c r="P175" s="56"/>
      <c r="Q175" s="3"/>
    </row>
    <row r="176" spans="1:17" x14ac:dyDescent="0.3">
      <c r="A176" s="2" t="s">
        <v>210</v>
      </c>
      <c r="B176" s="2" t="s">
        <v>902</v>
      </c>
      <c r="C176" s="2"/>
      <c r="D176" s="2"/>
      <c r="E176" s="3" t="s">
        <v>1168</v>
      </c>
      <c r="F176" s="56">
        <v>12.33</v>
      </c>
      <c r="G176" s="3">
        <f>SUMIF(Tabela2[Código],Tabela6[[#This Row],[Código]],Tabela2[Saldo])</f>
        <v>27</v>
      </c>
      <c r="H176" s="3">
        <v>175</v>
      </c>
      <c r="K176" s="2"/>
      <c r="L176" s="2"/>
      <c r="M176" s="2"/>
      <c r="N176" s="2"/>
      <c r="O176" s="3"/>
      <c r="P176" s="56"/>
      <c r="Q176" s="3"/>
    </row>
    <row r="177" spans="1:17" x14ac:dyDescent="0.3">
      <c r="A177" s="2" t="s">
        <v>211</v>
      </c>
      <c r="B177" s="2" t="s">
        <v>903</v>
      </c>
      <c r="C177" s="2"/>
      <c r="D177" s="2"/>
      <c r="E177" s="3" t="s">
        <v>1168</v>
      </c>
      <c r="F177" s="56">
        <v>8</v>
      </c>
      <c r="G177" s="3">
        <f>SUMIF(Tabela2[Código],Tabela6[[#This Row],[Código]],Tabela2[Saldo])</f>
        <v>14</v>
      </c>
      <c r="H177" s="2">
        <v>176</v>
      </c>
      <c r="K177" s="2"/>
      <c r="L177" s="2"/>
      <c r="M177" s="2"/>
      <c r="N177" s="2"/>
      <c r="O177" s="3"/>
      <c r="P177" s="56"/>
      <c r="Q177" s="3"/>
    </row>
    <row r="178" spans="1:17" x14ac:dyDescent="0.3">
      <c r="A178" s="2" t="s">
        <v>212</v>
      </c>
      <c r="B178" s="2" t="s">
        <v>904</v>
      </c>
      <c r="C178" s="2"/>
      <c r="D178" s="2"/>
      <c r="E178" s="3" t="s">
        <v>1168</v>
      </c>
      <c r="F178" s="56">
        <v>2.36</v>
      </c>
      <c r="G178" s="3">
        <f>SUMIF(Tabela2[Código],Tabela6[[#This Row],[Código]],Tabela2[Saldo])</f>
        <v>36</v>
      </c>
      <c r="H178" s="2">
        <v>177</v>
      </c>
      <c r="K178" s="2"/>
      <c r="L178" s="2"/>
      <c r="M178" s="2"/>
      <c r="N178" s="2"/>
      <c r="O178" s="3"/>
      <c r="P178" s="56"/>
      <c r="Q178" s="3"/>
    </row>
    <row r="179" spans="1:17" x14ac:dyDescent="0.3">
      <c r="A179" s="2" t="s">
        <v>213</v>
      </c>
      <c r="B179" s="2" t="s">
        <v>905</v>
      </c>
      <c r="C179" s="2"/>
      <c r="D179" s="2"/>
      <c r="E179" s="3" t="s">
        <v>1168</v>
      </c>
      <c r="F179" s="56">
        <v>32.049999999999997</v>
      </c>
      <c r="G179" s="3">
        <f>SUMIF(Tabela2[Código],Tabela6[[#This Row],[Código]],Tabela2[Saldo])</f>
        <v>3</v>
      </c>
      <c r="H179" s="3">
        <v>178</v>
      </c>
      <c r="K179" s="2"/>
      <c r="L179" s="2"/>
      <c r="M179" s="2"/>
      <c r="N179" s="2"/>
      <c r="O179" s="3"/>
      <c r="P179" s="56"/>
      <c r="Q179" s="3"/>
    </row>
    <row r="180" spans="1:17" x14ac:dyDescent="0.3">
      <c r="A180" s="2" t="s">
        <v>214</v>
      </c>
      <c r="B180" s="2" t="s">
        <v>906</v>
      </c>
      <c r="C180" s="2"/>
      <c r="D180" s="2"/>
      <c r="E180" s="3" t="s">
        <v>1168</v>
      </c>
      <c r="F180" s="56">
        <v>29.5</v>
      </c>
      <c r="G180" s="3">
        <f>SUMIF(Tabela2[Código],Tabela6[[#This Row],[Código]],Tabela2[Saldo])</f>
        <v>1</v>
      </c>
      <c r="H180" s="2">
        <v>179</v>
      </c>
      <c r="K180" s="2"/>
      <c r="L180" s="2"/>
      <c r="M180" s="2"/>
      <c r="N180" s="2"/>
      <c r="O180" s="3"/>
      <c r="P180" s="56"/>
      <c r="Q180" s="3"/>
    </row>
    <row r="181" spans="1:17" x14ac:dyDescent="0.3">
      <c r="A181" s="2" t="s">
        <v>215</v>
      </c>
      <c r="B181" s="2" t="s">
        <v>907</v>
      </c>
      <c r="C181" s="2"/>
      <c r="D181" s="2"/>
      <c r="E181" s="3" t="s">
        <v>1168</v>
      </c>
      <c r="F181" s="56">
        <v>26.5</v>
      </c>
      <c r="G181" s="3">
        <f>SUMIF(Tabela2[Código],Tabela6[[#This Row],[Código]],Tabela2[Saldo])</f>
        <v>2</v>
      </c>
      <c r="H181" s="2">
        <v>180</v>
      </c>
      <c r="K181" s="2"/>
      <c r="L181" s="2"/>
      <c r="M181" s="2"/>
      <c r="N181" s="2"/>
      <c r="O181" s="3"/>
      <c r="P181" s="56"/>
      <c r="Q181" s="3"/>
    </row>
    <row r="182" spans="1:17" x14ac:dyDescent="0.3">
      <c r="A182" s="2" t="s">
        <v>216</v>
      </c>
      <c r="B182" s="2" t="s">
        <v>908</v>
      </c>
      <c r="C182" s="2"/>
      <c r="D182" s="2"/>
      <c r="E182" s="3" t="s">
        <v>1168</v>
      </c>
      <c r="F182" s="56">
        <v>19.899999999999999</v>
      </c>
      <c r="G182" s="3">
        <f>SUMIF(Tabela2[Código],Tabela6[[#This Row],[Código]],Tabela2[Saldo])</f>
        <v>6</v>
      </c>
      <c r="H182" s="3">
        <v>181</v>
      </c>
      <c r="K182" s="2"/>
      <c r="L182" s="2"/>
      <c r="M182" s="2"/>
      <c r="N182" s="2"/>
      <c r="O182" s="3"/>
      <c r="P182" s="56"/>
      <c r="Q182" s="3"/>
    </row>
    <row r="183" spans="1:17" x14ac:dyDescent="0.3">
      <c r="A183" s="2" t="s">
        <v>217</v>
      </c>
      <c r="B183" s="2" t="s">
        <v>909</v>
      </c>
      <c r="C183" s="2"/>
      <c r="D183" s="2"/>
      <c r="E183" s="3" t="s">
        <v>1168</v>
      </c>
      <c r="F183" s="56">
        <v>440</v>
      </c>
      <c r="G183" s="3">
        <f>SUMIF(Tabela2[Código],Tabela6[[#This Row],[Código]],Tabela2[Saldo])</f>
        <v>1</v>
      </c>
      <c r="H183" s="2">
        <v>182</v>
      </c>
      <c r="K183" s="2"/>
      <c r="L183" s="2"/>
      <c r="M183" s="2"/>
      <c r="N183" s="2"/>
      <c r="O183" s="3"/>
      <c r="P183" s="56"/>
      <c r="Q183" s="3"/>
    </row>
    <row r="184" spans="1:17" x14ac:dyDescent="0.3">
      <c r="A184" s="2" t="s">
        <v>218</v>
      </c>
      <c r="B184" s="2" t="s">
        <v>910</v>
      </c>
      <c r="C184" s="2"/>
      <c r="D184" s="2"/>
      <c r="E184" s="3" t="s">
        <v>1168</v>
      </c>
      <c r="F184" s="56">
        <v>11.9</v>
      </c>
      <c r="G184" s="3">
        <f>SUMIF(Tabela2[Código],Tabela6[[#This Row],[Código]],Tabela2[Saldo])</f>
        <v>4</v>
      </c>
      <c r="H184" s="2">
        <v>183</v>
      </c>
      <c r="K184" s="2"/>
      <c r="L184" s="2"/>
      <c r="M184" s="2"/>
      <c r="N184" s="2"/>
      <c r="O184" s="3"/>
      <c r="P184" s="56"/>
      <c r="Q184" s="3"/>
    </row>
    <row r="185" spans="1:17" x14ac:dyDescent="0.3">
      <c r="A185" s="2" t="s">
        <v>219</v>
      </c>
      <c r="B185" s="2" t="s">
        <v>911</v>
      </c>
      <c r="C185" s="2"/>
      <c r="D185" s="2"/>
      <c r="E185" s="3" t="s">
        <v>1168</v>
      </c>
      <c r="F185" s="56">
        <v>380</v>
      </c>
      <c r="G185" s="3">
        <f>SUMIF(Tabela2[Código],Tabela6[[#This Row],[Código]],Tabela2[Saldo])</f>
        <v>2</v>
      </c>
      <c r="H185" s="3">
        <v>184</v>
      </c>
      <c r="K185" s="2"/>
      <c r="L185" s="2"/>
      <c r="M185" s="2"/>
      <c r="N185" s="2"/>
      <c r="O185" s="3"/>
      <c r="P185" s="56"/>
      <c r="Q185" s="3"/>
    </row>
    <row r="186" spans="1:17" x14ac:dyDescent="0.3">
      <c r="A186" s="2" t="s">
        <v>220</v>
      </c>
      <c r="B186" s="2" t="s">
        <v>912</v>
      </c>
      <c r="C186" s="2"/>
      <c r="D186" s="2"/>
      <c r="E186" s="3" t="s">
        <v>1168</v>
      </c>
      <c r="F186" s="56">
        <v>1.92</v>
      </c>
      <c r="G186" s="3">
        <f>SUMIF(Tabela2[Código],Tabela6[[#This Row],[Código]],Tabela2[Saldo])</f>
        <v>1</v>
      </c>
      <c r="H186" s="2">
        <v>185</v>
      </c>
      <c r="K186" s="2"/>
      <c r="L186" s="2"/>
      <c r="M186" s="2"/>
      <c r="N186" s="2"/>
      <c r="O186" s="3"/>
      <c r="P186" s="56"/>
      <c r="Q186" s="3"/>
    </row>
    <row r="187" spans="1:17" x14ac:dyDescent="0.3">
      <c r="A187" s="2" t="s">
        <v>221</v>
      </c>
      <c r="B187" s="2" t="s">
        <v>913</v>
      </c>
      <c r="C187" s="2"/>
      <c r="D187" s="2"/>
      <c r="E187" s="3" t="s">
        <v>1168</v>
      </c>
      <c r="F187" s="56">
        <v>15.89</v>
      </c>
      <c r="G187" s="3">
        <f>SUMIF(Tabela2[Código],Tabela6[[#This Row],[Código]],Tabela2[Saldo])</f>
        <v>1</v>
      </c>
      <c r="H187" s="2">
        <v>186</v>
      </c>
      <c r="K187" s="2"/>
      <c r="L187" s="2"/>
      <c r="M187" s="2"/>
      <c r="N187" s="2"/>
      <c r="O187" s="3"/>
      <c r="P187" s="56"/>
      <c r="Q187" s="3"/>
    </row>
    <row r="188" spans="1:17" x14ac:dyDescent="0.3">
      <c r="A188" s="2" t="s">
        <v>222</v>
      </c>
      <c r="B188" s="2" t="s">
        <v>914</v>
      </c>
      <c r="C188" s="2"/>
      <c r="D188" s="2"/>
      <c r="E188" s="3" t="s">
        <v>1168</v>
      </c>
      <c r="F188" s="56">
        <v>2.19</v>
      </c>
      <c r="G188" s="3">
        <f>SUMIF(Tabela2[Código],Tabela6[[#This Row],[Código]],Tabela2[Saldo])</f>
        <v>2</v>
      </c>
      <c r="H188" s="3">
        <v>187</v>
      </c>
      <c r="K188" s="2"/>
      <c r="L188" s="2"/>
      <c r="M188" s="2"/>
      <c r="N188" s="2"/>
      <c r="O188" s="3"/>
      <c r="P188" s="56"/>
      <c r="Q188" s="3"/>
    </row>
    <row r="189" spans="1:17" x14ac:dyDescent="0.3">
      <c r="A189" s="2" t="s">
        <v>223</v>
      </c>
      <c r="B189" s="2" t="s">
        <v>915</v>
      </c>
      <c r="C189" s="2"/>
      <c r="D189" s="2"/>
      <c r="E189" s="3" t="s">
        <v>1168</v>
      </c>
      <c r="F189" s="56">
        <v>1.3</v>
      </c>
      <c r="G189" s="3">
        <f>SUMIF(Tabela2[Código],Tabela6[[#This Row],[Código]],Tabela2[Saldo])</f>
        <v>2</v>
      </c>
      <c r="H189" s="2">
        <v>188</v>
      </c>
      <c r="K189" s="2"/>
      <c r="L189" s="2"/>
      <c r="M189" s="2"/>
      <c r="N189" s="2"/>
      <c r="O189" s="3"/>
      <c r="P189" s="56"/>
      <c r="Q189" s="3"/>
    </row>
    <row r="190" spans="1:17" x14ac:dyDescent="0.3">
      <c r="A190" s="2" t="s">
        <v>224</v>
      </c>
      <c r="B190" s="2" t="s">
        <v>916</v>
      </c>
      <c r="C190" s="2"/>
      <c r="D190" s="2"/>
      <c r="E190" s="3" t="s">
        <v>1168</v>
      </c>
      <c r="F190" s="56">
        <v>233.9</v>
      </c>
      <c r="G190" s="3">
        <f>SUMIF(Tabela2[Código],Tabela6[[#This Row],[Código]],Tabela2[Saldo])</f>
        <v>1</v>
      </c>
      <c r="H190" s="2">
        <v>189</v>
      </c>
      <c r="K190" s="2"/>
      <c r="L190" s="2"/>
      <c r="M190" s="2"/>
      <c r="N190" s="2"/>
      <c r="O190" s="3"/>
      <c r="P190" s="56"/>
      <c r="Q190" s="3"/>
    </row>
    <row r="191" spans="1:17" x14ac:dyDescent="0.3">
      <c r="A191" s="2" t="s">
        <v>225</v>
      </c>
      <c r="B191" s="2" t="s">
        <v>917</v>
      </c>
      <c r="C191" s="2"/>
      <c r="D191" s="2"/>
      <c r="E191" s="3" t="s">
        <v>1168</v>
      </c>
      <c r="F191" s="56">
        <v>63.95</v>
      </c>
      <c r="G191" s="3">
        <f>SUMIF(Tabela2[Código],Tabela6[[#This Row],[Código]],Tabela2[Saldo])</f>
        <v>1</v>
      </c>
      <c r="H191" s="3">
        <v>190</v>
      </c>
      <c r="K191" s="2"/>
      <c r="L191" s="2"/>
      <c r="M191" s="2"/>
      <c r="N191" s="2"/>
      <c r="O191" s="3"/>
      <c r="P191" s="56"/>
      <c r="Q191" s="3"/>
    </row>
    <row r="192" spans="1:17" x14ac:dyDescent="0.3">
      <c r="A192" s="2" t="s">
        <v>226</v>
      </c>
      <c r="B192" s="2" t="s">
        <v>918</v>
      </c>
      <c r="C192" s="2"/>
      <c r="D192" s="2"/>
      <c r="E192" s="3" t="s">
        <v>1168</v>
      </c>
      <c r="F192" s="56">
        <v>13.49</v>
      </c>
      <c r="G192" s="3">
        <f>SUMIF(Tabela2[Código],Tabela6[[#This Row],[Código]],Tabela2[Saldo])</f>
        <v>2</v>
      </c>
      <c r="H192" s="2">
        <v>191</v>
      </c>
      <c r="K192" s="2"/>
      <c r="L192" s="2"/>
      <c r="M192" s="2"/>
      <c r="N192" s="2"/>
      <c r="O192" s="3"/>
      <c r="P192" s="56"/>
      <c r="Q192" s="3"/>
    </row>
    <row r="193" spans="1:17" x14ac:dyDescent="0.3">
      <c r="A193" s="2" t="s">
        <v>227</v>
      </c>
      <c r="B193" s="2" t="s">
        <v>919</v>
      </c>
      <c r="C193" s="2"/>
      <c r="D193" s="2"/>
      <c r="E193" s="3" t="s">
        <v>1168</v>
      </c>
      <c r="F193" s="56">
        <v>10.89</v>
      </c>
      <c r="G193" s="3">
        <f>SUMIF(Tabela2[Código],Tabela6[[#This Row],[Código]],Tabela2[Saldo])</f>
        <v>1</v>
      </c>
      <c r="H193" s="2">
        <v>192</v>
      </c>
      <c r="K193" s="2"/>
      <c r="L193" s="2"/>
      <c r="M193" s="2"/>
      <c r="N193" s="2"/>
      <c r="O193" s="3"/>
      <c r="P193" s="56"/>
      <c r="Q193" s="3"/>
    </row>
    <row r="194" spans="1:17" x14ac:dyDescent="0.3">
      <c r="A194" s="2" t="s">
        <v>228</v>
      </c>
      <c r="B194" s="2" t="s">
        <v>920</v>
      </c>
      <c r="C194" s="2"/>
      <c r="D194" s="2"/>
      <c r="E194" s="3" t="s">
        <v>1168</v>
      </c>
      <c r="F194" s="56">
        <v>321.89999999999998</v>
      </c>
      <c r="G194" s="3">
        <f>SUMIF(Tabela2[Código],Tabela6[[#This Row],[Código]],Tabela2[Saldo])</f>
        <v>2</v>
      </c>
      <c r="H194" s="3">
        <v>193</v>
      </c>
      <c r="K194" s="2"/>
      <c r="L194" s="2"/>
      <c r="M194" s="2"/>
      <c r="N194" s="2"/>
      <c r="O194" s="3"/>
      <c r="P194" s="56"/>
      <c r="Q194" s="3"/>
    </row>
    <row r="195" spans="1:17" x14ac:dyDescent="0.3">
      <c r="A195" s="2" t="s">
        <v>229</v>
      </c>
      <c r="B195" s="2" t="s">
        <v>921</v>
      </c>
      <c r="C195" s="2"/>
      <c r="D195" s="2"/>
      <c r="E195" s="3" t="s">
        <v>1168</v>
      </c>
      <c r="F195" s="56">
        <v>389.9</v>
      </c>
      <c r="G195" s="3">
        <f>SUMIF(Tabela2[Código],Tabela6[[#This Row],[Código]],Tabela2[Saldo])</f>
        <v>1</v>
      </c>
      <c r="H195" s="2">
        <v>194</v>
      </c>
      <c r="K195" s="2"/>
      <c r="L195" s="2"/>
      <c r="M195" s="2"/>
      <c r="N195" s="2"/>
      <c r="O195" s="3"/>
      <c r="P195" s="56"/>
      <c r="Q195" s="3"/>
    </row>
    <row r="196" spans="1:17" x14ac:dyDescent="0.3">
      <c r="A196" s="2" t="s">
        <v>230</v>
      </c>
      <c r="B196" s="2" t="s">
        <v>922</v>
      </c>
      <c r="C196" s="2"/>
      <c r="D196" s="2"/>
      <c r="E196" s="3" t="s">
        <v>1168</v>
      </c>
      <c r="F196" s="56">
        <v>236.9</v>
      </c>
      <c r="G196" s="3">
        <f>SUMIF(Tabela2[Código],Tabela6[[#This Row],[Código]],Tabela2[Saldo])</f>
        <v>1</v>
      </c>
      <c r="H196" s="2">
        <v>195</v>
      </c>
      <c r="K196" s="2"/>
      <c r="L196" s="2"/>
      <c r="M196" s="2"/>
      <c r="N196" s="2"/>
      <c r="O196" s="3"/>
      <c r="P196" s="56"/>
      <c r="Q196" s="3"/>
    </row>
    <row r="197" spans="1:17" x14ac:dyDescent="0.3">
      <c r="A197" s="2" t="s">
        <v>231</v>
      </c>
      <c r="B197" s="2" t="s">
        <v>923</v>
      </c>
      <c r="C197" s="2"/>
      <c r="D197" s="2"/>
      <c r="E197" s="3" t="s">
        <v>1168</v>
      </c>
      <c r="F197" s="56">
        <v>182.9</v>
      </c>
      <c r="G197" s="3">
        <f>SUMIF(Tabela2[Código],Tabela6[[#This Row],[Código]],Tabela2[Saldo])</f>
        <v>3</v>
      </c>
      <c r="H197" s="3">
        <v>196</v>
      </c>
      <c r="K197" s="2"/>
      <c r="L197" s="2"/>
      <c r="M197" s="2"/>
      <c r="N197" s="2"/>
      <c r="O197" s="3"/>
      <c r="P197" s="56"/>
      <c r="Q197" s="3"/>
    </row>
    <row r="198" spans="1:17" x14ac:dyDescent="0.3">
      <c r="A198" s="2" t="s">
        <v>232</v>
      </c>
      <c r="B198" s="2" t="s">
        <v>924</v>
      </c>
      <c r="C198" s="2"/>
      <c r="D198" s="2"/>
      <c r="E198" s="3" t="s">
        <v>1168</v>
      </c>
      <c r="F198" s="56">
        <v>3.29</v>
      </c>
      <c r="G198" s="3">
        <f>SUMIF(Tabela2[Código],Tabela6[[#This Row],[Código]],Tabela2[Saldo])</f>
        <v>3</v>
      </c>
      <c r="H198" s="2">
        <v>197</v>
      </c>
      <c r="K198" s="2"/>
      <c r="L198" s="2"/>
      <c r="M198" s="2"/>
      <c r="N198" s="2"/>
      <c r="O198" s="3"/>
      <c r="P198" s="56"/>
      <c r="Q198" s="3"/>
    </row>
    <row r="199" spans="1:17" x14ac:dyDescent="0.3">
      <c r="A199" s="2" t="s">
        <v>233</v>
      </c>
      <c r="B199" s="2" t="s">
        <v>925</v>
      </c>
      <c r="C199" s="2"/>
      <c r="D199" s="2"/>
      <c r="E199" s="3" t="s">
        <v>1169</v>
      </c>
      <c r="F199" s="56">
        <v>4.32</v>
      </c>
      <c r="G199" s="3">
        <f>SUMIF(Tabela2[Código],Tabela6[[#This Row],[Código]],Tabela2[Saldo])</f>
        <v>2</v>
      </c>
      <c r="H199" s="2">
        <v>198</v>
      </c>
      <c r="K199" s="2"/>
      <c r="L199" s="2"/>
      <c r="M199" s="2"/>
      <c r="N199" s="2"/>
      <c r="O199" s="3"/>
      <c r="P199" s="56"/>
      <c r="Q199" s="3"/>
    </row>
    <row r="200" spans="1:17" x14ac:dyDescent="0.3">
      <c r="A200" s="2" t="s">
        <v>234</v>
      </c>
      <c r="B200" s="2" t="s">
        <v>926</v>
      </c>
      <c r="C200" s="2"/>
      <c r="D200" s="2"/>
      <c r="E200" s="3" t="s">
        <v>1170</v>
      </c>
      <c r="F200" s="56">
        <v>4.32</v>
      </c>
      <c r="G200" s="3">
        <f>SUMIF(Tabela2[Código],Tabela6[[#This Row],[Código]],Tabela2[Saldo])</f>
        <v>1</v>
      </c>
      <c r="H200" s="3">
        <v>199</v>
      </c>
      <c r="K200" s="2"/>
      <c r="L200" s="2"/>
      <c r="M200" s="2"/>
      <c r="N200" s="2"/>
      <c r="O200" s="3"/>
      <c r="P200" s="56"/>
      <c r="Q200" s="3"/>
    </row>
    <row r="201" spans="1:17" x14ac:dyDescent="0.3">
      <c r="A201" s="2" t="s">
        <v>235</v>
      </c>
      <c r="B201" s="2" t="s">
        <v>927</v>
      </c>
      <c r="C201" s="2"/>
      <c r="D201" s="2"/>
      <c r="E201" s="3" t="s">
        <v>1171</v>
      </c>
      <c r="F201" s="56">
        <v>3.06</v>
      </c>
      <c r="G201" s="3">
        <f>SUMIF(Tabela2[Código],Tabela6[[#This Row],[Código]],Tabela2[Saldo])</f>
        <v>1</v>
      </c>
      <c r="H201" s="2">
        <v>200</v>
      </c>
      <c r="K201" s="2"/>
      <c r="L201" s="2"/>
      <c r="M201" s="2"/>
      <c r="N201" s="2"/>
      <c r="O201" s="3"/>
      <c r="P201" s="56"/>
      <c r="Q201" s="3"/>
    </row>
    <row r="202" spans="1:17" x14ac:dyDescent="0.3">
      <c r="A202" s="2" t="s">
        <v>236</v>
      </c>
      <c r="B202" s="2" t="s">
        <v>928</v>
      </c>
      <c r="C202" s="2"/>
      <c r="D202" s="2"/>
      <c r="E202" s="3" t="s">
        <v>1172</v>
      </c>
      <c r="F202" s="56">
        <v>3.29</v>
      </c>
      <c r="G202" s="3">
        <f>SUMIF(Tabela2[Código],Tabela6[[#This Row],[Código]],Tabela2[Saldo])</f>
        <v>1</v>
      </c>
      <c r="H202" s="2">
        <v>201</v>
      </c>
      <c r="K202" s="2"/>
      <c r="L202" s="2"/>
      <c r="M202" s="2"/>
      <c r="N202" s="2"/>
      <c r="O202" s="3"/>
      <c r="P202" s="56"/>
      <c r="Q202" s="3"/>
    </row>
    <row r="203" spans="1:17" x14ac:dyDescent="0.3">
      <c r="A203" s="2" t="s">
        <v>237</v>
      </c>
      <c r="B203" s="2" t="s">
        <v>929</v>
      </c>
      <c r="C203" s="2"/>
      <c r="D203" s="2"/>
      <c r="E203" s="3" t="s">
        <v>1172</v>
      </c>
      <c r="F203" s="56">
        <v>25.9</v>
      </c>
      <c r="G203" s="3">
        <f>SUMIF(Tabela2[Código],Tabela6[[#This Row],[Código]],Tabela2[Saldo])</f>
        <v>1</v>
      </c>
      <c r="H203" s="3">
        <v>202</v>
      </c>
      <c r="K203" s="2"/>
      <c r="L203" s="2"/>
      <c r="M203" s="2"/>
      <c r="N203" s="2"/>
      <c r="O203" s="3"/>
      <c r="P203" s="56"/>
      <c r="Q203" s="3"/>
    </row>
    <row r="204" spans="1:17" x14ac:dyDescent="0.3">
      <c r="A204" s="2" t="s">
        <v>238</v>
      </c>
      <c r="B204" s="2" t="s">
        <v>930</v>
      </c>
      <c r="C204" s="2"/>
      <c r="D204" s="2"/>
      <c r="E204" s="3" t="s">
        <v>1172</v>
      </c>
      <c r="F204" s="56">
        <v>88.16</v>
      </c>
      <c r="G204" s="3">
        <f>SUMIF(Tabela2[Código],Tabela6[[#This Row],[Código]],Tabela2[Saldo])</f>
        <v>11</v>
      </c>
      <c r="H204" s="2">
        <v>203</v>
      </c>
      <c r="K204" s="2"/>
      <c r="L204" s="2"/>
      <c r="M204" s="2"/>
      <c r="N204" s="2"/>
      <c r="O204" s="3"/>
      <c r="P204" s="56"/>
      <c r="Q204" s="3"/>
    </row>
    <row r="205" spans="1:17" x14ac:dyDescent="0.3">
      <c r="A205" s="2" t="s">
        <v>239</v>
      </c>
      <c r="B205" s="2" t="s">
        <v>931</v>
      </c>
      <c r="C205" s="2"/>
      <c r="D205" s="2"/>
      <c r="E205" s="3" t="s">
        <v>1172</v>
      </c>
      <c r="F205" s="56">
        <v>56.3</v>
      </c>
      <c r="G205" s="3">
        <f>SUMIF(Tabela2[Código],Tabela6[[#This Row],[Código]],Tabela2[Saldo])</f>
        <v>3</v>
      </c>
      <c r="H205" s="2">
        <v>204</v>
      </c>
      <c r="K205" s="2"/>
      <c r="L205" s="2"/>
      <c r="M205" s="2"/>
      <c r="N205" s="2"/>
      <c r="O205" s="3"/>
      <c r="P205" s="56"/>
      <c r="Q205" s="3"/>
    </row>
    <row r="206" spans="1:17" x14ac:dyDescent="0.3">
      <c r="A206" s="2" t="s">
        <v>240</v>
      </c>
      <c r="B206" s="2" t="s">
        <v>932</v>
      </c>
      <c r="C206" s="2"/>
      <c r="D206" s="2"/>
      <c r="E206" s="3" t="s">
        <v>1172</v>
      </c>
      <c r="F206" s="56">
        <v>0.01</v>
      </c>
      <c r="G206" s="3">
        <f>SUMIF(Tabela2[Código],Tabela6[[#This Row],[Código]],Tabela2[Saldo])</f>
        <v>1</v>
      </c>
      <c r="H206" s="3">
        <v>205</v>
      </c>
      <c r="K206" s="2"/>
      <c r="L206" s="2"/>
      <c r="M206" s="2"/>
      <c r="N206" s="2"/>
      <c r="O206" s="3"/>
      <c r="P206" s="56"/>
      <c r="Q206" s="3"/>
    </row>
    <row r="207" spans="1:17" x14ac:dyDescent="0.3">
      <c r="A207" s="2" t="s">
        <v>241</v>
      </c>
      <c r="B207" s="2" t="s">
        <v>933</v>
      </c>
      <c r="C207" s="2"/>
      <c r="D207" s="2"/>
      <c r="E207" s="3" t="s">
        <v>1172</v>
      </c>
      <c r="F207" s="56">
        <v>281.89999999999998</v>
      </c>
      <c r="G207" s="3">
        <f>SUMIF(Tabela2[Código],Tabela6[[#This Row],[Código]],Tabela2[Saldo])</f>
        <v>3</v>
      </c>
      <c r="H207" s="2">
        <v>206</v>
      </c>
      <c r="K207" s="2"/>
      <c r="L207" s="2"/>
      <c r="M207" s="2"/>
      <c r="N207" s="2"/>
      <c r="O207" s="3"/>
      <c r="P207" s="56"/>
      <c r="Q207" s="3"/>
    </row>
    <row r="208" spans="1:17" x14ac:dyDescent="0.3">
      <c r="A208" s="2" t="s">
        <v>242</v>
      </c>
      <c r="B208" s="2" t="s">
        <v>934</v>
      </c>
      <c r="C208" s="2"/>
      <c r="D208" s="2"/>
      <c r="E208" s="3" t="s">
        <v>1172</v>
      </c>
      <c r="F208" s="56">
        <v>55.9</v>
      </c>
      <c r="G208" s="3">
        <f>SUMIF(Tabela2[Código],Tabela6[[#This Row],[Código]],Tabela2[Saldo])</f>
        <v>5</v>
      </c>
      <c r="H208" s="2">
        <v>207</v>
      </c>
      <c r="K208" s="2"/>
      <c r="L208" s="2"/>
      <c r="M208" s="2"/>
      <c r="N208" s="2"/>
      <c r="O208" s="3"/>
      <c r="P208" s="56"/>
      <c r="Q208" s="3"/>
    </row>
    <row r="209" spans="1:17" x14ac:dyDescent="0.3">
      <c r="A209" s="2" t="s">
        <v>243</v>
      </c>
      <c r="B209" s="2" t="s">
        <v>935</v>
      </c>
      <c r="C209" s="2"/>
      <c r="D209" s="2"/>
      <c r="E209" s="3" t="s">
        <v>1172</v>
      </c>
      <c r="F209" s="56">
        <v>55.9</v>
      </c>
      <c r="G209" s="3">
        <f>SUMIF(Tabela2[Código],Tabela6[[#This Row],[Código]],Tabela2[Saldo])</f>
        <v>3</v>
      </c>
      <c r="H209" s="3">
        <v>208</v>
      </c>
      <c r="K209" s="2"/>
      <c r="L209" s="2"/>
      <c r="M209" s="2"/>
      <c r="N209" s="2"/>
      <c r="O209" s="3"/>
      <c r="P209" s="56"/>
      <c r="Q209" s="3"/>
    </row>
    <row r="210" spans="1:17" x14ac:dyDescent="0.3">
      <c r="A210" s="2" t="s">
        <v>244</v>
      </c>
      <c r="B210" s="2" t="s">
        <v>936</v>
      </c>
      <c r="C210" s="2"/>
      <c r="D210" s="2"/>
      <c r="E210" s="3" t="s">
        <v>1172</v>
      </c>
      <c r="F210" s="56">
        <v>273.89999999999998</v>
      </c>
      <c r="G210" s="3">
        <f>SUMIF(Tabela2[Código],Tabela6[[#This Row],[Código]],Tabela2[Saldo])</f>
        <v>5</v>
      </c>
      <c r="H210" s="2">
        <v>209</v>
      </c>
      <c r="K210" s="2"/>
      <c r="L210" s="2"/>
      <c r="M210" s="2"/>
      <c r="N210" s="2"/>
      <c r="O210" s="3"/>
      <c r="P210" s="56"/>
      <c r="Q210" s="3"/>
    </row>
    <row r="211" spans="1:17" x14ac:dyDescent="0.3">
      <c r="A211" s="2" t="s">
        <v>245</v>
      </c>
      <c r="B211" s="2" t="s">
        <v>937</v>
      </c>
      <c r="C211" s="2"/>
      <c r="D211" s="2"/>
      <c r="E211" s="3" t="s">
        <v>1172</v>
      </c>
      <c r="F211" s="56">
        <v>38.9</v>
      </c>
      <c r="G211" s="3">
        <f>SUMIF(Tabela2[Código],Tabela6[[#This Row],[Código]],Tabela2[Saldo])</f>
        <v>1</v>
      </c>
      <c r="H211" s="2">
        <v>210</v>
      </c>
      <c r="K211" s="2"/>
      <c r="L211" s="2"/>
      <c r="M211" s="2"/>
      <c r="N211" s="2"/>
      <c r="O211" s="3"/>
      <c r="P211" s="56"/>
      <c r="Q211" s="3"/>
    </row>
    <row r="212" spans="1:17" x14ac:dyDescent="0.3">
      <c r="A212" s="2" t="s">
        <v>246</v>
      </c>
      <c r="B212" s="2" t="s">
        <v>938</v>
      </c>
      <c r="C212" s="2"/>
      <c r="D212" s="2"/>
      <c r="E212" s="3" t="s">
        <v>1172</v>
      </c>
      <c r="F212" s="56">
        <v>1.5</v>
      </c>
      <c r="G212" s="3">
        <f>SUMIF(Tabela2[Código],Tabela6[[#This Row],[Código]],Tabela2[Saldo])</f>
        <v>6</v>
      </c>
      <c r="H212" s="3">
        <v>211</v>
      </c>
      <c r="K212" s="2"/>
      <c r="L212" s="2"/>
      <c r="M212" s="2"/>
      <c r="N212" s="2"/>
      <c r="O212" s="3"/>
      <c r="P212" s="56"/>
      <c r="Q212" s="3"/>
    </row>
    <row r="213" spans="1:17" x14ac:dyDescent="0.3">
      <c r="A213" s="2" t="s">
        <v>247</v>
      </c>
      <c r="B213" s="2" t="s">
        <v>939</v>
      </c>
      <c r="C213" s="2"/>
      <c r="D213" s="2"/>
      <c r="E213" s="3" t="s">
        <v>1172</v>
      </c>
      <c r="F213" s="56">
        <v>4.5</v>
      </c>
      <c r="G213" s="3">
        <f>SUMIF(Tabela2[Código],Tabela6[[#This Row],[Código]],Tabela2[Saldo])</f>
        <v>1</v>
      </c>
      <c r="H213" s="2">
        <v>212</v>
      </c>
      <c r="K213" s="2"/>
      <c r="L213" s="2"/>
      <c r="M213" s="2"/>
      <c r="N213" s="2"/>
      <c r="O213" s="3"/>
      <c r="P213" s="56"/>
      <c r="Q213" s="3"/>
    </row>
    <row r="214" spans="1:17" x14ac:dyDescent="0.3">
      <c r="A214" s="2" t="s">
        <v>248</v>
      </c>
      <c r="B214" s="2" t="s">
        <v>940</v>
      </c>
      <c r="C214" s="2"/>
      <c r="D214" s="2"/>
      <c r="E214" s="3" t="s">
        <v>1172</v>
      </c>
      <c r="F214" s="56">
        <v>6.5</v>
      </c>
      <c r="G214" s="3">
        <f>SUMIF(Tabela2[Código],Tabela6[[#This Row],[Código]],Tabela2[Saldo])</f>
        <v>3</v>
      </c>
      <c r="H214" s="2">
        <v>213</v>
      </c>
      <c r="K214" s="2"/>
      <c r="L214" s="2"/>
      <c r="M214" s="2"/>
      <c r="N214" s="2"/>
      <c r="O214" s="3"/>
      <c r="P214" s="56"/>
      <c r="Q214" s="3"/>
    </row>
    <row r="215" spans="1:17" x14ac:dyDescent="0.3">
      <c r="A215" s="2" t="s">
        <v>249</v>
      </c>
      <c r="B215" s="2" t="s">
        <v>941</v>
      </c>
      <c r="C215" s="2"/>
      <c r="D215" s="2"/>
      <c r="E215" s="3" t="s">
        <v>1172</v>
      </c>
      <c r="F215" s="56">
        <v>14.5</v>
      </c>
      <c r="G215" s="3">
        <f>SUMIF(Tabela2[Código],Tabela6[[#This Row],[Código]],Tabela2[Saldo])</f>
        <v>1</v>
      </c>
      <c r="H215" s="3">
        <v>214</v>
      </c>
      <c r="K215" s="2"/>
      <c r="L215" s="2"/>
      <c r="M215" s="2"/>
      <c r="N215" s="2"/>
      <c r="O215" s="3"/>
      <c r="P215" s="56"/>
      <c r="Q215" s="3"/>
    </row>
    <row r="216" spans="1:17" x14ac:dyDescent="0.3">
      <c r="A216" s="2" t="s">
        <v>250</v>
      </c>
      <c r="B216" s="2" t="s">
        <v>942</v>
      </c>
      <c r="C216" s="2"/>
      <c r="D216" s="2"/>
      <c r="E216" s="3" t="s">
        <v>1172</v>
      </c>
      <c r="F216" s="56">
        <v>26.9</v>
      </c>
      <c r="G216" s="3">
        <f>SUMIF(Tabela2[Código],Tabela6[[#This Row],[Código]],Tabela2[Saldo])</f>
        <v>1</v>
      </c>
      <c r="H216" s="2">
        <v>215</v>
      </c>
      <c r="K216" s="2"/>
      <c r="L216" s="2"/>
      <c r="M216" s="2"/>
      <c r="N216" s="2"/>
      <c r="O216" s="3"/>
      <c r="P216" s="56"/>
      <c r="Q216" s="3"/>
    </row>
    <row r="217" spans="1:17" x14ac:dyDescent="0.3">
      <c r="A217" s="2" t="s">
        <v>251</v>
      </c>
      <c r="B217" s="2" t="s">
        <v>943</v>
      </c>
      <c r="C217" s="2"/>
      <c r="D217" s="2"/>
      <c r="E217" s="3" t="s">
        <v>1172</v>
      </c>
      <c r="F217" s="56">
        <v>52.9</v>
      </c>
      <c r="G217" s="3">
        <f>SUMIF(Tabela2[Código],Tabela6[[#This Row],[Código]],Tabela2[Saldo])</f>
        <v>1</v>
      </c>
      <c r="H217" s="2">
        <v>216</v>
      </c>
      <c r="K217" s="2"/>
      <c r="L217" s="2"/>
      <c r="M217" s="2"/>
      <c r="N217" s="2"/>
      <c r="O217" s="3"/>
      <c r="P217" s="56"/>
      <c r="Q217" s="3"/>
    </row>
    <row r="218" spans="1:17" x14ac:dyDescent="0.3">
      <c r="A218" s="2" t="s">
        <v>252</v>
      </c>
      <c r="B218" s="2" t="s">
        <v>944</v>
      </c>
      <c r="C218" s="2"/>
      <c r="D218" s="2"/>
      <c r="E218" s="3" t="s">
        <v>1172</v>
      </c>
      <c r="F218" s="56">
        <v>10.9</v>
      </c>
      <c r="G218" s="3">
        <f>SUMIF(Tabela2[Código],Tabela6[[#This Row],[Código]],Tabela2[Saldo])</f>
        <v>0</v>
      </c>
      <c r="H218" s="3">
        <v>217</v>
      </c>
      <c r="K218" s="2"/>
      <c r="L218" s="2"/>
      <c r="M218" s="2"/>
      <c r="N218" s="2"/>
      <c r="O218" s="3"/>
      <c r="P218" s="56"/>
      <c r="Q218" s="3"/>
    </row>
    <row r="219" spans="1:17" x14ac:dyDescent="0.3">
      <c r="A219" s="2" t="s">
        <v>253</v>
      </c>
      <c r="B219" s="2" t="s">
        <v>945</v>
      </c>
      <c r="C219" s="2"/>
      <c r="D219" s="2"/>
      <c r="E219" s="3" t="s">
        <v>1172</v>
      </c>
      <c r="F219" s="56">
        <v>33.9</v>
      </c>
      <c r="G219" s="3">
        <f>SUMIF(Tabela2[Código],Tabela6[[#This Row],[Código]],Tabela2[Saldo])</f>
        <v>0</v>
      </c>
      <c r="H219" s="2">
        <v>218</v>
      </c>
      <c r="K219" s="2"/>
      <c r="L219" s="2"/>
      <c r="M219" s="2"/>
      <c r="N219" s="2"/>
      <c r="O219" s="3"/>
      <c r="P219" s="56"/>
      <c r="Q219" s="3"/>
    </row>
    <row r="220" spans="1:17" x14ac:dyDescent="0.3">
      <c r="A220" s="2" t="s">
        <v>254</v>
      </c>
      <c r="B220" s="2" t="s">
        <v>946</v>
      </c>
      <c r="C220" s="2"/>
      <c r="D220" s="2"/>
      <c r="E220" s="3" t="s">
        <v>1172</v>
      </c>
      <c r="F220" s="56">
        <v>0.62</v>
      </c>
      <c r="G220" s="3">
        <f>SUMIF(Tabela2[Código],Tabela6[[#This Row],[Código]],Tabela2[Saldo])</f>
        <v>4</v>
      </c>
      <c r="H220" s="2">
        <v>219</v>
      </c>
      <c r="K220" s="2"/>
      <c r="L220" s="2"/>
      <c r="M220" s="2"/>
      <c r="N220" s="2"/>
      <c r="O220" s="3"/>
      <c r="P220" s="56"/>
      <c r="Q220" s="3"/>
    </row>
    <row r="221" spans="1:17" x14ac:dyDescent="0.3">
      <c r="A221" s="2" t="s">
        <v>255</v>
      </c>
      <c r="B221" s="2" t="s">
        <v>947</v>
      </c>
      <c r="C221" s="2"/>
      <c r="D221" s="2"/>
      <c r="E221" s="3" t="s">
        <v>1172</v>
      </c>
      <c r="F221" s="56">
        <v>0.99</v>
      </c>
      <c r="G221" s="3">
        <f>SUMIF(Tabela2[Código],Tabela6[[#This Row],[Código]],Tabela2[Saldo])</f>
        <v>2</v>
      </c>
      <c r="H221" s="3">
        <v>220</v>
      </c>
      <c r="K221" s="2"/>
      <c r="L221" s="2"/>
      <c r="M221" s="2"/>
      <c r="N221" s="2"/>
      <c r="O221" s="3"/>
      <c r="P221" s="56"/>
      <c r="Q221" s="3"/>
    </row>
    <row r="222" spans="1:17" x14ac:dyDescent="0.3">
      <c r="A222" s="2" t="s">
        <v>256</v>
      </c>
      <c r="B222" s="2" t="s">
        <v>948</v>
      </c>
      <c r="C222" s="2"/>
      <c r="D222" s="2"/>
      <c r="E222" s="3" t="s">
        <v>1172</v>
      </c>
      <c r="F222" s="56">
        <v>4.09</v>
      </c>
      <c r="G222" s="3">
        <f>SUMIF(Tabela2[Código],Tabela6[[#This Row],[Código]],Tabela2[Saldo])</f>
        <v>1</v>
      </c>
      <c r="H222" s="2">
        <v>221</v>
      </c>
      <c r="K222" s="2"/>
      <c r="L222" s="2"/>
      <c r="M222" s="2"/>
      <c r="N222" s="2"/>
      <c r="O222" s="3"/>
      <c r="P222" s="56"/>
      <c r="Q222" s="3"/>
    </row>
    <row r="223" spans="1:17" x14ac:dyDescent="0.3">
      <c r="A223" s="2" t="s">
        <v>257</v>
      </c>
      <c r="B223" s="2" t="s">
        <v>949</v>
      </c>
      <c r="C223" s="2"/>
      <c r="D223" s="2"/>
      <c r="E223" s="3" t="s">
        <v>1172</v>
      </c>
      <c r="F223" s="56">
        <v>8.09</v>
      </c>
      <c r="G223" s="3">
        <f>SUMIF(Tabela2[Código],Tabela6[[#This Row],[Código]],Tabela2[Saldo])</f>
        <v>11</v>
      </c>
      <c r="H223" s="2">
        <v>222</v>
      </c>
      <c r="K223" s="2"/>
      <c r="L223" s="2"/>
      <c r="M223" s="2"/>
      <c r="N223" s="2"/>
      <c r="O223" s="3"/>
      <c r="P223" s="56"/>
      <c r="Q223" s="3"/>
    </row>
    <row r="224" spans="1:17" x14ac:dyDescent="0.3">
      <c r="A224" s="2" t="s">
        <v>258</v>
      </c>
      <c r="B224" s="2" t="s">
        <v>950</v>
      </c>
      <c r="C224" s="2"/>
      <c r="D224" s="2"/>
      <c r="E224" s="3" t="s">
        <v>1172</v>
      </c>
      <c r="F224" s="56">
        <v>2.89</v>
      </c>
      <c r="G224" s="3">
        <f>SUMIF(Tabela2[Código],Tabela6[[#This Row],[Código]],Tabela2[Saldo])</f>
        <v>5</v>
      </c>
      <c r="H224" s="3">
        <v>223</v>
      </c>
      <c r="K224" s="2"/>
      <c r="L224" s="2"/>
      <c r="M224" s="2"/>
      <c r="N224" s="2"/>
      <c r="O224" s="3"/>
      <c r="P224" s="56"/>
      <c r="Q224" s="3"/>
    </row>
    <row r="225" spans="1:17" x14ac:dyDescent="0.3">
      <c r="A225" s="2" t="s">
        <v>259</v>
      </c>
      <c r="B225" s="2" t="s">
        <v>951</v>
      </c>
      <c r="C225" s="2"/>
      <c r="D225" s="2"/>
      <c r="E225" s="3" t="s">
        <v>1172</v>
      </c>
      <c r="F225" s="56">
        <v>5.79</v>
      </c>
      <c r="G225" s="3">
        <f>SUMIF(Tabela2[Código],Tabela6[[#This Row],[Código]],Tabela2[Saldo])</f>
        <v>3</v>
      </c>
      <c r="H225" s="2">
        <v>224</v>
      </c>
      <c r="K225" s="2"/>
      <c r="L225" s="2"/>
      <c r="M225" s="2"/>
      <c r="N225" s="2"/>
      <c r="O225" s="3"/>
      <c r="P225" s="56"/>
      <c r="Q225" s="3"/>
    </row>
    <row r="226" spans="1:17" x14ac:dyDescent="0.3">
      <c r="A226" s="2" t="s">
        <v>260</v>
      </c>
      <c r="B226" s="2" t="s">
        <v>952</v>
      </c>
      <c r="C226" s="2"/>
      <c r="D226" s="2"/>
      <c r="E226" s="3" t="s">
        <v>1172</v>
      </c>
      <c r="F226" s="56">
        <v>9.7899999999999991</v>
      </c>
      <c r="G226" s="3">
        <f>SUMIF(Tabela2[Código],Tabela6[[#This Row],[Código]],Tabela2[Saldo])</f>
        <v>1</v>
      </c>
      <c r="H226" s="2">
        <v>225</v>
      </c>
      <c r="K226" s="2"/>
      <c r="L226" s="2"/>
      <c r="M226" s="2"/>
      <c r="N226" s="2"/>
      <c r="O226" s="3"/>
      <c r="P226" s="56"/>
      <c r="Q226" s="3"/>
    </row>
    <row r="227" spans="1:17" x14ac:dyDescent="0.3">
      <c r="A227" s="2" t="s">
        <v>261</v>
      </c>
      <c r="B227" s="2" t="s">
        <v>953</v>
      </c>
      <c r="C227" s="2"/>
      <c r="D227" s="2"/>
      <c r="E227" s="3" t="s">
        <v>1172</v>
      </c>
      <c r="F227" s="56">
        <v>12.89</v>
      </c>
      <c r="G227" s="3">
        <f>SUMIF(Tabela2[Código],Tabela6[[#This Row],[Código]],Tabela2[Saldo])</f>
        <v>2</v>
      </c>
      <c r="H227" s="3">
        <v>226</v>
      </c>
      <c r="K227" s="2"/>
      <c r="L227" s="2"/>
      <c r="M227" s="2"/>
      <c r="N227" s="2"/>
      <c r="O227" s="3"/>
      <c r="P227" s="56"/>
      <c r="Q227" s="3"/>
    </row>
    <row r="228" spans="1:17" x14ac:dyDescent="0.3">
      <c r="A228" s="2" t="s">
        <v>262</v>
      </c>
      <c r="B228" s="2" t="s">
        <v>954</v>
      </c>
      <c r="C228" s="2"/>
      <c r="D228" s="2"/>
      <c r="E228" s="3" t="s">
        <v>1172</v>
      </c>
      <c r="F228" s="56">
        <v>12.99</v>
      </c>
      <c r="G228" s="3">
        <f>SUMIF(Tabela2[Código],Tabela6[[#This Row],[Código]],Tabela2[Saldo])</f>
        <v>1</v>
      </c>
      <c r="H228" s="2">
        <v>227</v>
      </c>
      <c r="K228" s="2"/>
      <c r="L228" s="2"/>
      <c r="M228" s="2"/>
      <c r="N228" s="2"/>
      <c r="O228" s="3"/>
      <c r="P228" s="56"/>
      <c r="Q228" s="3"/>
    </row>
    <row r="229" spans="1:17" x14ac:dyDescent="0.3">
      <c r="A229" s="2" t="s">
        <v>263</v>
      </c>
      <c r="B229" s="2" t="s">
        <v>955</v>
      </c>
      <c r="C229" s="2"/>
      <c r="D229" s="2"/>
      <c r="E229" s="3" t="s">
        <v>1173</v>
      </c>
      <c r="F229" s="56">
        <v>1.77</v>
      </c>
      <c r="G229" s="3">
        <f>SUMIF(Tabela2[Código],Tabela6[[#This Row],[Código]],Tabela2[Saldo])</f>
        <v>2</v>
      </c>
      <c r="H229" s="2">
        <v>228</v>
      </c>
      <c r="K229" s="2"/>
      <c r="L229" s="2"/>
      <c r="M229" s="2"/>
      <c r="N229" s="2"/>
      <c r="O229" s="3"/>
      <c r="P229" s="56"/>
      <c r="Q229" s="3"/>
    </row>
    <row r="230" spans="1:17" x14ac:dyDescent="0.3">
      <c r="A230" s="2" t="s">
        <v>264</v>
      </c>
      <c r="B230" s="2" t="s">
        <v>956</v>
      </c>
      <c r="C230" s="2"/>
      <c r="D230" s="2"/>
      <c r="E230" s="3" t="s">
        <v>1173</v>
      </c>
      <c r="F230" s="56">
        <v>4.9000000000000004</v>
      </c>
      <c r="G230" s="3">
        <f>SUMIF(Tabela2[Código],Tabela6[[#This Row],[Código]],Tabela2[Saldo])</f>
        <v>9</v>
      </c>
      <c r="H230" s="3">
        <v>229</v>
      </c>
      <c r="K230" s="2"/>
      <c r="L230" s="2"/>
      <c r="M230" s="2"/>
      <c r="N230" s="2"/>
      <c r="O230" s="3"/>
      <c r="P230" s="56"/>
      <c r="Q230" s="3"/>
    </row>
    <row r="231" spans="1:17" x14ac:dyDescent="0.3">
      <c r="A231" s="2" t="s">
        <v>265</v>
      </c>
      <c r="B231" s="2" t="s">
        <v>957</v>
      </c>
      <c r="C231" s="2"/>
      <c r="D231" s="2"/>
      <c r="E231" s="3" t="s">
        <v>1173</v>
      </c>
      <c r="F231" s="56">
        <v>12.79</v>
      </c>
      <c r="G231" s="3">
        <f>SUMIF(Tabela2[Código],Tabela6[[#This Row],[Código]],Tabela2[Saldo])</f>
        <v>4</v>
      </c>
      <c r="H231" s="2">
        <v>230</v>
      </c>
      <c r="K231" s="2"/>
      <c r="L231" s="2"/>
      <c r="M231" s="2"/>
      <c r="N231" s="2"/>
      <c r="O231" s="3"/>
      <c r="P231" s="56"/>
      <c r="Q231" s="3"/>
    </row>
    <row r="232" spans="1:17" x14ac:dyDescent="0.3">
      <c r="A232" s="2" t="s">
        <v>266</v>
      </c>
      <c r="B232" s="2" t="s">
        <v>958</v>
      </c>
      <c r="C232" s="2"/>
      <c r="D232" s="2"/>
      <c r="E232" s="3" t="s">
        <v>1173</v>
      </c>
      <c r="F232" s="56">
        <v>16.89</v>
      </c>
      <c r="G232" s="3">
        <f>SUMIF(Tabela2[Código],Tabela6[[#This Row],[Código]],Tabela2[Saldo])</f>
        <v>1</v>
      </c>
      <c r="H232" s="2">
        <v>231</v>
      </c>
      <c r="K232" s="2"/>
      <c r="L232" s="2"/>
      <c r="M232" s="2"/>
      <c r="N232" s="2"/>
      <c r="O232" s="3"/>
      <c r="P232" s="56"/>
      <c r="Q232" s="3"/>
    </row>
    <row r="233" spans="1:17" x14ac:dyDescent="0.3">
      <c r="A233" s="2" t="s">
        <v>267</v>
      </c>
      <c r="B233" s="2" t="s">
        <v>959</v>
      </c>
      <c r="C233" s="2"/>
      <c r="D233" s="2"/>
      <c r="E233" s="3" t="s">
        <v>1174</v>
      </c>
      <c r="F233" s="56">
        <v>17.190000000000001</v>
      </c>
      <c r="G233" s="3">
        <f>SUMIF(Tabela2[Código],Tabela6[[#This Row],[Código]],Tabela2[Saldo])</f>
        <v>0</v>
      </c>
      <c r="H233" s="3">
        <v>232</v>
      </c>
      <c r="K233" s="2"/>
      <c r="L233" s="2"/>
      <c r="M233" s="2"/>
      <c r="N233" s="2"/>
      <c r="O233" s="3"/>
      <c r="P233" s="56"/>
      <c r="Q233" s="3"/>
    </row>
    <row r="234" spans="1:17" x14ac:dyDescent="0.3">
      <c r="A234" s="2" t="s">
        <v>268</v>
      </c>
      <c r="B234" s="2" t="s">
        <v>960</v>
      </c>
      <c r="C234" s="2"/>
      <c r="D234" s="2"/>
      <c r="E234" s="3" t="s">
        <v>1174</v>
      </c>
      <c r="F234" s="56">
        <v>39.9</v>
      </c>
      <c r="G234" s="3">
        <f>SUMIF(Tabela2[Código],Tabela6[[#This Row],[Código]],Tabela2[Saldo])</f>
        <v>0</v>
      </c>
      <c r="H234" s="2">
        <v>233</v>
      </c>
      <c r="K234" s="2"/>
      <c r="L234" s="2"/>
      <c r="M234" s="2"/>
      <c r="N234" s="2"/>
      <c r="O234" s="3"/>
      <c r="P234" s="56"/>
      <c r="Q234" s="3"/>
    </row>
    <row r="235" spans="1:17" x14ac:dyDescent="0.3">
      <c r="A235" s="2" t="s">
        <v>269</v>
      </c>
      <c r="B235" s="2" t="s">
        <v>961</v>
      </c>
      <c r="C235" s="2"/>
      <c r="D235" s="2"/>
      <c r="E235" s="3" t="s">
        <v>1174</v>
      </c>
      <c r="F235" s="56">
        <v>5.49</v>
      </c>
      <c r="G235" s="3">
        <f>SUMIF(Tabela2[Código],Tabela6[[#This Row],[Código]],Tabela2[Saldo])</f>
        <v>1</v>
      </c>
      <c r="H235" s="2">
        <v>234</v>
      </c>
      <c r="K235" s="2"/>
      <c r="L235" s="2"/>
      <c r="M235" s="2"/>
      <c r="N235" s="2"/>
      <c r="O235" s="3"/>
      <c r="P235" s="56"/>
      <c r="Q235" s="3"/>
    </row>
    <row r="236" spans="1:17" x14ac:dyDescent="0.3">
      <c r="A236" s="2" t="s">
        <v>270</v>
      </c>
      <c r="B236" s="2" t="s">
        <v>962</v>
      </c>
      <c r="C236" s="2"/>
      <c r="D236" s="2"/>
      <c r="E236" s="3" t="s">
        <v>1174</v>
      </c>
      <c r="F236" s="56">
        <v>120</v>
      </c>
      <c r="G236" s="3">
        <f>SUMIF(Tabela2[Código],Tabela6[[#This Row],[Código]],Tabela2[Saldo])</f>
        <v>1</v>
      </c>
      <c r="H236" s="3">
        <v>235</v>
      </c>
      <c r="K236" s="2"/>
      <c r="L236" s="2"/>
      <c r="M236" s="2"/>
      <c r="N236" s="2"/>
      <c r="O236" s="3"/>
      <c r="P236" s="56"/>
      <c r="Q236" s="3"/>
    </row>
    <row r="237" spans="1:17" x14ac:dyDescent="0.3">
      <c r="A237" s="2" t="s">
        <v>271</v>
      </c>
      <c r="B237" s="2" t="s">
        <v>963</v>
      </c>
      <c r="C237" s="2"/>
      <c r="D237" s="2"/>
      <c r="E237" s="3" t="s">
        <v>1174</v>
      </c>
      <c r="F237" s="56">
        <v>0.8</v>
      </c>
      <c r="G237" s="3">
        <f>SUMIF(Tabela2[Código],Tabela6[[#This Row],[Código]],Tabela2[Saldo])</f>
        <v>1</v>
      </c>
      <c r="H237" s="2">
        <v>236</v>
      </c>
      <c r="K237" s="2"/>
      <c r="L237" s="2"/>
      <c r="M237" s="2"/>
      <c r="N237" s="2"/>
      <c r="O237" s="3"/>
      <c r="P237" s="56"/>
      <c r="Q237" s="3"/>
    </row>
    <row r="238" spans="1:17" x14ac:dyDescent="0.3">
      <c r="A238" s="2" t="s">
        <v>272</v>
      </c>
      <c r="B238" s="2" t="s">
        <v>964</v>
      </c>
      <c r="C238" s="2"/>
      <c r="D238" s="2"/>
      <c r="E238" s="3" t="s">
        <v>1175</v>
      </c>
      <c r="F238" s="56">
        <v>7.79</v>
      </c>
      <c r="G238" s="3">
        <f>SUMIF(Tabela2[Código],Tabela6[[#This Row],[Código]],Tabela2[Saldo])</f>
        <v>1</v>
      </c>
      <c r="H238" s="2">
        <v>237</v>
      </c>
      <c r="K238" s="2"/>
      <c r="L238" s="2"/>
      <c r="M238" s="2"/>
      <c r="N238" s="2"/>
      <c r="O238" s="3"/>
      <c r="P238" s="56"/>
      <c r="Q238" s="3"/>
    </row>
    <row r="239" spans="1:17" x14ac:dyDescent="0.3">
      <c r="A239" s="2" t="s">
        <v>274</v>
      </c>
      <c r="B239" s="2" t="s">
        <v>965</v>
      </c>
      <c r="C239" s="2"/>
      <c r="D239" s="2"/>
      <c r="E239" s="3" t="s">
        <v>1175</v>
      </c>
      <c r="F239" s="56">
        <v>6.59</v>
      </c>
      <c r="G239" s="3">
        <f>SUMIF(Tabela2[Código],Tabela6[[#This Row],[Código]],Tabela2[Saldo])</f>
        <v>3</v>
      </c>
      <c r="H239" s="3">
        <v>238</v>
      </c>
      <c r="K239" s="2"/>
      <c r="L239" s="2"/>
      <c r="M239" s="2"/>
      <c r="N239" s="2"/>
      <c r="O239" s="3"/>
      <c r="P239" s="56"/>
      <c r="Q239" s="3"/>
    </row>
    <row r="240" spans="1:17" x14ac:dyDescent="0.3">
      <c r="A240" s="2" t="s">
        <v>275</v>
      </c>
      <c r="B240" s="2" t="s">
        <v>966</v>
      </c>
      <c r="C240" s="2"/>
      <c r="D240" s="2"/>
      <c r="E240" s="3" t="s">
        <v>1175</v>
      </c>
      <c r="F240" s="56">
        <v>7.99</v>
      </c>
      <c r="G240" s="3">
        <f>SUMIF(Tabela2[Código],Tabela6[[#This Row],[Código]],Tabela2[Saldo])</f>
        <v>6</v>
      </c>
      <c r="H240" s="2">
        <v>239</v>
      </c>
      <c r="K240" s="2"/>
      <c r="L240" s="2"/>
      <c r="M240" s="2"/>
      <c r="N240" s="2"/>
      <c r="O240" s="3"/>
      <c r="P240" s="56"/>
      <c r="Q240" s="3"/>
    </row>
    <row r="241" spans="1:17" x14ac:dyDescent="0.3">
      <c r="A241" s="2" t="s">
        <v>276</v>
      </c>
      <c r="B241" s="2" t="s">
        <v>967</v>
      </c>
      <c r="C241" s="2"/>
      <c r="D241" s="2"/>
      <c r="E241" s="3" t="s">
        <v>1175</v>
      </c>
      <c r="F241" s="56">
        <v>31.9</v>
      </c>
      <c r="G241" s="3">
        <f>SUMIF(Tabela2[Código],Tabela6[[#This Row],[Código]],Tabela2[Saldo])</f>
        <v>7</v>
      </c>
      <c r="H241" s="2">
        <v>240</v>
      </c>
      <c r="K241" s="2"/>
      <c r="L241" s="2"/>
      <c r="M241" s="2"/>
      <c r="N241" s="2"/>
      <c r="O241" s="3"/>
      <c r="P241" s="56"/>
      <c r="Q241" s="3"/>
    </row>
    <row r="242" spans="1:17" x14ac:dyDescent="0.3">
      <c r="A242" s="2" t="s">
        <v>277</v>
      </c>
      <c r="B242" s="2" t="s">
        <v>968</v>
      </c>
      <c r="C242" s="2"/>
      <c r="D242" s="2"/>
      <c r="E242" s="3" t="s">
        <v>1175</v>
      </c>
      <c r="F242" s="56">
        <v>50.25</v>
      </c>
      <c r="G242" s="3">
        <f>SUMIF(Tabela2[Código],Tabela6[[#This Row],[Código]],Tabela2[Saldo])</f>
        <v>0</v>
      </c>
      <c r="H242" s="3">
        <v>241</v>
      </c>
      <c r="K242" s="2"/>
      <c r="L242" s="2"/>
      <c r="M242" s="2"/>
      <c r="N242" s="2"/>
      <c r="O242" s="3"/>
      <c r="P242" s="56"/>
      <c r="Q242" s="3"/>
    </row>
    <row r="243" spans="1:17" x14ac:dyDescent="0.3">
      <c r="A243" s="2" t="s">
        <v>278</v>
      </c>
      <c r="B243" s="2" t="s">
        <v>969</v>
      </c>
      <c r="C243" s="2"/>
      <c r="D243" s="2"/>
      <c r="E243" s="3" t="s">
        <v>1176</v>
      </c>
      <c r="F243" s="56">
        <v>1.99</v>
      </c>
      <c r="G243" s="3">
        <f>SUMIF(Tabela2[Código],Tabela6[[#This Row],[Código]],Tabela2[Saldo])</f>
        <v>1</v>
      </c>
      <c r="H243" s="2">
        <v>242</v>
      </c>
      <c r="K243" s="2"/>
      <c r="L243" s="2"/>
      <c r="M243" s="2"/>
      <c r="N243" s="2"/>
      <c r="O243" s="3"/>
      <c r="P243" s="56"/>
      <c r="Q243" s="3"/>
    </row>
    <row r="244" spans="1:17" x14ac:dyDescent="0.3">
      <c r="A244" s="2" t="s">
        <v>279</v>
      </c>
      <c r="B244" s="2" t="s">
        <v>970</v>
      </c>
      <c r="C244" s="2"/>
      <c r="D244" s="2"/>
      <c r="E244" s="3" t="s">
        <v>1176</v>
      </c>
      <c r="F244" s="56">
        <v>2.29</v>
      </c>
      <c r="G244" s="3">
        <f>SUMIF(Tabela2[Código],Tabela6[[#This Row],[Código]],Tabela2[Saldo])</f>
        <v>1</v>
      </c>
      <c r="H244" s="2">
        <v>243</v>
      </c>
      <c r="K244" s="2"/>
      <c r="L244" s="2"/>
      <c r="M244" s="2"/>
      <c r="N244" s="2"/>
      <c r="O244" s="3"/>
      <c r="P244" s="56"/>
      <c r="Q244" s="3"/>
    </row>
    <row r="245" spans="1:17" x14ac:dyDescent="0.3">
      <c r="A245" s="2" t="s">
        <v>280</v>
      </c>
      <c r="B245" s="2" t="s">
        <v>971</v>
      </c>
      <c r="C245" s="2"/>
      <c r="D245" s="2"/>
      <c r="E245" s="3" t="s">
        <v>1176</v>
      </c>
      <c r="F245" s="56">
        <v>6.55</v>
      </c>
      <c r="G245" s="3">
        <f>SUMIF(Tabela2[Código],Tabela6[[#This Row],[Código]],Tabela2[Saldo])</f>
        <v>0</v>
      </c>
      <c r="H245" s="3">
        <v>244</v>
      </c>
      <c r="K245" s="2"/>
      <c r="L245" s="2"/>
      <c r="M245" s="2"/>
      <c r="N245" s="2"/>
      <c r="O245" s="3"/>
      <c r="P245" s="56"/>
      <c r="Q245" s="3"/>
    </row>
    <row r="246" spans="1:17" x14ac:dyDescent="0.3">
      <c r="A246" s="2" t="s">
        <v>281</v>
      </c>
      <c r="B246" s="2" t="s">
        <v>972</v>
      </c>
      <c r="C246" s="2"/>
      <c r="D246" s="2"/>
      <c r="E246" s="3" t="s">
        <v>1176</v>
      </c>
      <c r="F246" s="56">
        <v>78.650000000000006</v>
      </c>
      <c r="G246" s="3">
        <f>SUMIF(Tabela2[Código],Tabela6[[#This Row],[Código]],Tabela2[Saldo])</f>
        <v>2</v>
      </c>
      <c r="H246" s="2">
        <v>245</v>
      </c>
      <c r="K246" s="2"/>
      <c r="L246" s="2"/>
      <c r="M246" s="2"/>
      <c r="N246" s="2"/>
      <c r="O246" s="3"/>
      <c r="P246" s="56"/>
      <c r="Q246" s="3"/>
    </row>
    <row r="247" spans="1:17" x14ac:dyDescent="0.3">
      <c r="A247" s="2" t="s">
        <v>282</v>
      </c>
      <c r="B247" s="2" t="s">
        <v>973</v>
      </c>
      <c r="C247" s="2"/>
      <c r="D247" s="2"/>
      <c r="E247" s="3" t="s">
        <v>1176</v>
      </c>
      <c r="F247" s="56">
        <v>148.19999999999999</v>
      </c>
      <c r="G247" s="3">
        <f>SUMIF(Tabela2[Código],Tabela6[[#This Row],[Código]],Tabela2[Saldo])</f>
        <v>0</v>
      </c>
      <c r="H247" s="2">
        <v>246</v>
      </c>
      <c r="K247" s="2"/>
      <c r="L247" s="2"/>
      <c r="M247" s="2"/>
      <c r="N247" s="2"/>
      <c r="O247" s="3"/>
      <c r="P247" s="56"/>
      <c r="Q247" s="3"/>
    </row>
    <row r="248" spans="1:17" x14ac:dyDescent="0.3">
      <c r="A248" s="2" t="s">
        <v>283</v>
      </c>
      <c r="B248" s="2" t="s">
        <v>974</v>
      </c>
      <c r="C248" s="2"/>
      <c r="D248" s="2"/>
      <c r="E248" s="3" t="s">
        <v>1177</v>
      </c>
      <c r="F248" s="56">
        <v>0.52</v>
      </c>
      <c r="G248" s="3">
        <f>SUMIF(Tabela2[Código],Tabela6[[#This Row],[Código]],Tabela2[Saldo])</f>
        <v>3</v>
      </c>
      <c r="H248" s="3">
        <v>247</v>
      </c>
      <c r="K248" s="2"/>
      <c r="L248" s="2"/>
      <c r="M248" s="2"/>
      <c r="N248" s="2"/>
      <c r="O248" s="3"/>
      <c r="P248" s="56"/>
      <c r="Q248" s="3"/>
    </row>
    <row r="249" spans="1:17" x14ac:dyDescent="0.3">
      <c r="A249" s="2" t="s">
        <v>284</v>
      </c>
      <c r="B249" s="2" t="s">
        <v>975</v>
      </c>
      <c r="C249" s="2"/>
      <c r="D249" s="2"/>
      <c r="E249" s="3" t="s">
        <v>1177</v>
      </c>
      <c r="F249" s="56">
        <v>0.63</v>
      </c>
      <c r="G249" s="3">
        <f>SUMIF(Tabela2[Código],Tabela6[[#This Row],[Código]],Tabela2[Saldo])</f>
        <v>0</v>
      </c>
      <c r="H249" s="2">
        <v>248</v>
      </c>
      <c r="K249" s="2"/>
      <c r="L249" s="2"/>
      <c r="M249" s="2"/>
      <c r="N249" s="2"/>
      <c r="O249" s="3"/>
      <c r="P249" s="56"/>
      <c r="Q249" s="3"/>
    </row>
    <row r="250" spans="1:17" x14ac:dyDescent="0.3">
      <c r="A250" s="2" t="s">
        <v>285</v>
      </c>
      <c r="B250" s="2" t="s">
        <v>976</v>
      </c>
      <c r="C250" s="2"/>
      <c r="D250" s="2"/>
      <c r="E250" s="3" t="s">
        <v>1177</v>
      </c>
      <c r="F250" s="56">
        <v>2.59</v>
      </c>
      <c r="G250" s="3">
        <f>SUMIF(Tabela2[Código],Tabela6[[#This Row],[Código]],Tabela2[Saldo])</f>
        <v>1</v>
      </c>
      <c r="H250" s="2">
        <v>249</v>
      </c>
      <c r="K250" s="2"/>
      <c r="L250" s="2"/>
      <c r="M250" s="2"/>
      <c r="N250" s="2"/>
      <c r="O250" s="3"/>
      <c r="P250" s="56"/>
      <c r="Q250" s="3"/>
    </row>
    <row r="251" spans="1:17" x14ac:dyDescent="0.3">
      <c r="A251" s="2" t="s">
        <v>286</v>
      </c>
      <c r="B251" s="2" t="s">
        <v>977</v>
      </c>
      <c r="C251" s="2"/>
      <c r="D251" s="2"/>
      <c r="E251" s="3" t="s">
        <v>1177</v>
      </c>
      <c r="F251" s="56">
        <v>6.09</v>
      </c>
      <c r="G251" s="3">
        <f>SUMIF(Tabela2[Código],Tabela6[[#This Row],[Código]],Tabela2[Saldo])</f>
        <v>0</v>
      </c>
      <c r="H251" s="3">
        <v>250</v>
      </c>
      <c r="K251" s="2"/>
      <c r="L251" s="2"/>
      <c r="M251" s="2"/>
      <c r="N251" s="2"/>
      <c r="O251" s="3"/>
      <c r="P251" s="56"/>
      <c r="Q251" s="3"/>
    </row>
    <row r="252" spans="1:17" x14ac:dyDescent="0.3">
      <c r="A252" s="2" t="s">
        <v>287</v>
      </c>
      <c r="B252" s="2" t="s">
        <v>978</v>
      </c>
      <c r="C252" s="2"/>
      <c r="D252" s="2"/>
      <c r="E252" s="3" t="s">
        <v>1178</v>
      </c>
      <c r="F252" s="56">
        <v>6.79</v>
      </c>
      <c r="G252" s="3">
        <f>SUMIF(Tabela2[Código],Tabela6[[#This Row],[Código]],Tabela2[Saldo])</f>
        <v>0</v>
      </c>
      <c r="H252" s="2">
        <v>251</v>
      </c>
      <c r="K252" s="2"/>
      <c r="L252" s="2"/>
      <c r="M252" s="2"/>
      <c r="N252" s="2"/>
      <c r="O252" s="3"/>
      <c r="P252" s="56"/>
      <c r="Q252" s="3"/>
    </row>
    <row r="253" spans="1:17" x14ac:dyDescent="0.3">
      <c r="A253" s="2" t="s">
        <v>288</v>
      </c>
      <c r="B253" s="2" t="s">
        <v>979</v>
      </c>
      <c r="C253" s="2"/>
      <c r="D253" s="2"/>
      <c r="E253" s="3" t="s">
        <v>1178</v>
      </c>
      <c r="F253" s="56">
        <v>31.9</v>
      </c>
      <c r="G253" s="3">
        <f>SUMIF(Tabela2[Código],Tabela6[[#This Row],[Código]],Tabela2[Saldo])</f>
        <v>4</v>
      </c>
      <c r="H253" s="2">
        <v>252</v>
      </c>
      <c r="K253" s="2"/>
      <c r="L253" s="2"/>
      <c r="M253" s="2"/>
      <c r="N253" s="2"/>
      <c r="O253" s="3"/>
      <c r="P253" s="56"/>
      <c r="Q253" s="3"/>
    </row>
    <row r="254" spans="1:17" x14ac:dyDescent="0.3">
      <c r="A254" s="2" t="s">
        <v>289</v>
      </c>
      <c r="B254" s="2" t="s">
        <v>980</v>
      </c>
      <c r="C254" s="2"/>
      <c r="D254" s="2"/>
      <c r="E254" s="3" t="s">
        <v>1178</v>
      </c>
      <c r="F254" s="56">
        <v>5.99</v>
      </c>
      <c r="G254" s="3">
        <f>SUMIF(Tabela2[Código],Tabela6[[#This Row],[Código]],Tabela2[Saldo])</f>
        <v>1</v>
      </c>
      <c r="H254" s="3">
        <v>253</v>
      </c>
      <c r="K254" s="2"/>
      <c r="L254" s="2"/>
      <c r="M254" s="2"/>
      <c r="N254" s="2"/>
      <c r="O254" s="3"/>
      <c r="P254" s="56"/>
      <c r="Q254" s="3"/>
    </row>
    <row r="255" spans="1:17" x14ac:dyDescent="0.3">
      <c r="A255" s="2" t="s">
        <v>290</v>
      </c>
      <c r="B255" s="2" t="s">
        <v>981</v>
      </c>
      <c r="C255" s="2"/>
      <c r="D255" s="2"/>
      <c r="E255" s="3" t="s">
        <v>1178</v>
      </c>
      <c r="F255" s="56">
        <v>35.9</v>
      </c>
      <c r="G255" s="3">
        <f>SUMIF(Tabela2[Código],Tabela6[[#This Row],[Código]],Tabela2[Saldo])</f>
        <v>2</v>
      </c>
      <c r="H255" s="2">
        <v>254</v>
      </c>
      <c r="K255" s="2"/>
      <c r="L255" s="2"/>
      <c r="M255" s="2"/>
      <c r="N255" s="2"/>
      <c r="O255" s="3"/>
      <c r="P255" s="56"/>
      <c r="Q255" s="3"/>
    </row>
    <row r="256" spans="1:17" x14ac:dyDescent="0.3">
      <c r="A256" s="2" t="s">
        <v>291</v>
      </c>
      <c r="B256" s="2" t="s">
        <v>982</v>
      </c>
      <c r="C256" s="2"/>
      <c r="D256" s="2"/>
      <c r="E256" s="3" t="s">
        <v>1179</v>
      </c>
      <c r="F256" s="56">
        <v>0.01</v>
      </c>
      <c r="G256" s="3">
        <f>SUMIF(Tabela2[Código],Tabela6[[#This Row],[Código]],Tabela2[Saldo])</f>
        <v>2</v>
      </c>
      <c r="H256" s="2">
        <v>255</v>
      </c>
      <c r="K256" s="2"/>
      <c r="L256" s="2"/>
      <c r="M256" s="2"/>
      <c r="N256" s="2"/>
      <c r="O256" s="3"/>
      <c r="P256" s="56"/>
      <c r="Q256" s="3"/>
    </row>
    <row r="257" spans="1:17" x14ac:dyDescent="0.3">
      <c r="A257" s="2" t="s">
        <v>292</v>
      </c>
      <c r="B257" s="2" t="s">
        <v>983</v>
      </c>
      <c r="C257" s="2"/>
      <c r="D257" s="2"/>
      <c r="E257" s="3" t="s">
        <v>1179</v>
      </c>
      <c r="F257" s="56">
        <v>3.29</v>
      </c>
      <c r="G257" s="3">
        <f>SUMIF(Tabela2[Código],Tabela6[[#This Row],[Código]],Tabela2[Saldo])</f>
        <v>1</v>
      </c>
      <c r="H257" s="3">
        <v>256</v>
      </c>
      <c r="K257" s="2"/>
      <c r="L257" s="2"/>
      <c r="M257" s="2"/>
      <c r="N257" s="2"/>
      <c r="O257" s="3"/>
      <c r="P257" s="56"/>
      <c r="Q257" s="3"/>
    </row>
    <row r="258" spans="1:17" x14ac:dyDescent="0.3">
      <c r="A258" s="2" t="s">
        <v>293</v>
      </c>
      <c r="B258" s="2" t="s">
        <v>984</v>
      </c>
      <c r="C258" s="2"/>
      <c r="D258" s="2"/>
      <c r="E258" s="3" t="s">
        <v>1179</v>
      </c>
      <c r="F258" s="56">
        <v>2.2999999999999998</v>
      </c>
      <c r="G258" s="3">
        <f>SUMIF(Tabela2[Código],Tabela6[[#This Row],[Código]],Tabela2[Saldo])</f>
        <v>11</v>
      </c>
      <c r="H258" s="2">
        <v>257</v>
      </c>
      <c r="K258" s="2"/>
      <c r="L258" s="2"/>
      <c r="M258" s="2"/>
      <c r="N258" s="2"/>
      <c r="O258" s="3"/>
      <c r="P258" s="56"/>
      <c r="Q258" s="3"/>
    </row>
    <row r="259" spans="1:17" x14ac:dyDescent="0.3">
      <c r="A259" s="2" t="s">
        <v>294</v>
      </c>
      <c r="B259" s="2" t="s">
        <v>985</v>
      </c>
      <c r="C259" s="2"/>
      <c r="D259" s="2"/>
      <c r="E259" s="3" t="s">
        <v>1179</v>
      </c>
      <c r="F259" s="56">
        <v>4.29</v>
      </c>
      <c r="G259" s="3">
        <f>SUMIF(Tabela2[Código],Tabela6[[#This Row],[Código]],Tabela2[Saldo])</f>
        <v>1</v>
      </c>
      <c r="H259" s="2">
        <v>258</v>
      </c>
      <c r="K259" s="2"/>
      <c r="L259" s="2"/>
      <c r="M259" s="2"/>
      <c r="N259" s="2"/>
      <c r="O259" s="3"/>
      <c r="P259" s="56"/>
      <c r="Q259" s="3"/>
    </row>
    <row r="260" spans="1:17" x14ac:dyDescent="0.3">
      <c r="A260" s="2" t="s">
        <v>295</v>
      </c>
      <c r="B260" s="2" t="s">
        <v>986</v>
      </c>
      <c r="C260" s="2"/>
      <c r="D260" s="2"/>
      <c r="E260" s="3" t="s">
        <v>1179</v>
      </c>
      <c r="F260" s="56">
        <v>4</v>
      </c>
      <c r="G260" s="3">
        <f>SUMIF(Tabela2[Código],Tabela6[[#This Row],[Código]],Tabela2[Saldo])</f>
        <v>1</v>
      </c>
      <c r="H260" s="3">
        <v>259</v>
      </c>
      <c r="K260" s="2"/>
      <c r="L260" s="2"/>
      <c r="M260" s="2"/>
      <c r="N260" s="2"/>
      <c r="O260" s="3"/>
      <c r="P260" s="56"/>
      <c r="Q260" s="3"/>
    </row>
    <row r="261" spans="1:17" x14ac:dyDescent="0.3">
      <c r="A261" s="2" t="s">
        <v>296</v>
      </c>
      <c r="B261" s="2" t="s">
        <v>987</v>
      </c>
      <c r="C261" s="2"/>
      <c r="D261" s="2"/>
      <c r="E261" s="3" t="s">
        <v>1179</v>
      </c>
      <c r="F261" s="56">
        <v>14.89</v>
      </c>
      <c r="G261" s="3">
        <f>SUMIF(Tabela2[Código],Tabela6[[#This Row],[Código]],Tabela2[Saldo])</f>
        <v>1</v>
      </c>
      <c r="H261" s="2">
        <v>260</v>
      </c>
      <c r="K261" s="2"/>
      <c r="L261" s="2"/>
      <c r="M261" s="2"/>
      <c r="N261" s="2"/>
      <c r="O261" s="3"/>
      <c r="P261" s="56"/>
      <c r="Q261" s="3"/>
    </row>
    <row r="262" spans="1:17" x14ac:dyDescent="0.3">
      <c r="A262" s="2" t="s">
        <v>297</v>
      </c>
      <c r="B262" s="2" t="s">
        <v>988</v>
      </c>
      <c r="C262" s="2"/>
      <c r="D262" s="2"/>
      <c r="E262" s="3" t="s">
        <v>1179</v>
      </c>
      <c r="F262" s="56">
        <v>5.09</v>
      </c>
      <c r="G262" s="3">
        <f>SUMIF(Tabela2[Código],Tabela6[[#This Row],[Código]],Tabela2[Saldo])</f>
        <v>5</v>
      </c>
      <c r="H262" s="2">
        <v>261</v>
      </c>
      <c r="K262" s="2"/>
      <c r="L262" s="2"/>
      <c r="M262" s="2"/>
      <c r="N262" s="2"/>
      <c r="O262" s="3"/>
      <c r="P262" s="56"/>
      <c r="Q262" s="3"/>
    </row>
    <row r="263" spans="1:17" x14ac:dyDescent="0.3">
      <c r="A263" s="2" t="s">
        <v>298</v>
      </c>
      <c r="B263" s="2" t="s">
        <v>989</v>
      </c>
      <c r="C263" s="2"/>
      <c r="D263" s="2"/>
      <c r="E263" s="3" t="s">
        <v>1179</v>
      </c>
      <c r="F263" s="56">
        <v>6.09</v>
      </c>
      <c r="G263" s="3">
        <f>SUMIF(Tabela2[Código],Tabela6[[#This Row],[Código]],Tabela2[Saldo])</f>
        <v>2</v>
      </c>
      <c r="H263" s="3">
        <v>262</v>
      </c>
      <c r="K263" s="2"/>
      <c r="L263" s="2"/>
      <c r="M263" s="2"/>
      <c r="N263" s="2"/>
      <c r="O263" s="3"/>
      <c r="P263" s="56"/>
      <c r="Q263" s="3"/>
    </row>
    <row r="264" spans="1:17" x14ac:dyDescent="0.3">
      <c r="A264" s="2" t="s">
        <v>299</v>
      </c>
      <c r="B264" s="2" t="s">
        <v>990</v>
      </c>
      <c r="C264" s="2"/>
      <c r="D264" s="2"/>
      <c r="E264" s="3" t="s">
        <v>1179</v>
      </c>
      <c r="F264" s="56">
        <v>5.99</v>
      </c>
      <c r="G264" s="3">
        <f>SUMIF(Tabela2[Código],Tabela6[[#This Row],[Código]],Tabela2[Saldo])</f>
        <v>1</v>
      </c>
      <c r="H264" s="2">
        <v>263</v>
      </c>
      <c r="K264" s="2"/>
      <c r="L264" s="2"/>
      <c r="M264" s="2"/>
      <c r="N264" s="2"/>
      <c r="O264" s="3"/>
      <c r="P264" s="56"/>
      <c r="Q264" s="3"/>
    </row>
    <row r="265" spans="1:17" x14ac:dyDescent="0.3">
      <c r="A265" s="2" t="s">
        <v>300</v>
      </c>
      <c r="B265" s="2" t="s">
        <v>991</v>
      </c>
      <c r="C265" s="2"/>
      <c r="D265" s="2"/>
      <c r="E265" s="3" t="s">
        <v>1179</v>
      </c>
      <c r="F265" s="56">
        <v>34.049999999999997</v>
      </c>
      <c r="G265" s="3">
        <f>SUMIF(Tabela2[Código],Tabela6[[#This Row],[Código]],Tabela2[Saldo])</f>
        <v>3</v>
      </c>
      <c r="H265" s="2">
        <v>264</v>
      </c>
      <c r="K265" s="2"/>
      <c r="L265" s="2"/>
      <c r="M265" s="2"/>
      <c r="N265" s="2"/>
      <c r="O265" s="3"/>
      <c r="P265" s="56"/>
      <c r="Q265" s="3"/>
    </row>
    <row r="266" spans="1:17" x14ac:dyDescent="0.3">
      <c r="A266" s="2" t="s">
        <v>301</v>
      </c>
      <c r="B266" s="2" t="s">
        <v>992</v>
      </c>
      <c r="C266" s="2"/>
      <c r="D266" s="2"/>
      <c r="E266" s="3" t="s">
        <v>1179</v>
      </c>
      <c r="F266" s="56">
        <v>0.76</v>
      </c>
      <c r="G266" s="3">
        <f>SUMIF(Tabela2[Código],Tabela6[[#This Row],[Código]],Tabela2[Saldo])</f>
        <v>0</v>
      </c>
      <c r="H266" s="3">
        <v>265</v>
      </c>
      <c r="K266" s="2"/>
      <c r="L266" s="2"/>
      <c r="M266" s="2"/>
      <c r="N266" s="2"/>
      <c r="O266" s="3"/>
      <c r="P266" s="56"/>
      <c r="Q266" s="3"/>
    </row>
    <row r="267" spans="1:17" x14ac:dyDescent="0.3">
      <c r="A267" s="2" t="s">
        <v>302</v>
      </c>
      <c r="B267" s="2" t="s">
        <v>993</v>
      </c>
      <c r="C267" s="2"/>
      <c r="D267" s="2"/>
      <c r="E267" s="3" t="s">
        <v>1179</v>
      </c>
      <c r="F267" s="56">
        <v>1.75</v>
      </c>
      <c r="G267" s="3">
        <f>SUMIF(Tabela2[Código],Tabela6[[#This Row],[Código]],Tabela2[Saldo])</f>
        <v>3</v>
      </c>
      <c r="H267" s="2">
        <v>266</v>
      </c>
      <c r="K267" s="2"/>
      <c r="L267" s="2"/>
      <c r="M267" s="2"/>
      <c r="N267" s="2"/>
      <c r="O267" s="3"/>
      <c r="P267" s="56"/>
      <c r="Q267" s="3"/>
    </row>
    <row r="268" spans="1:17" x14ac:dyDescent="0.3">
      <c r="A268" s="2" t="s">
        <v>303</v>
      </c>
      <c r="B268" s="2" t="s">
        <v>994</v>
      </c>
      <c r="C268" s="2"/>
      <c r="D268" s="2"/>
      <c r="E268" s="3" t="s">
        <v>1179</v>
      </c>
      <c r="F268" s="56">
        <v>4.09</v>
      </c>
      <c r="G268" s="3">
        <f>SUMIF(Tabela2[Código],Tabela6[[#This Row],[Código]],Tabela2[Saldo])</f>
        <v>1</v>
      </c>
      <c r="H268" s="2">
        <v>267</v>
      </c>
      <c r="K268" s="2"/>
      <c r="L268" s="2"/>
      <c r="M268" s="2"/>
      <c r="N268" s="2"/>
      <c r="O268" s="3"/>
      <c r="P268" s="56"/>
      <c r="Q268" s="3"/>
    </row>
    <row r="269" spans="1:17" x14ac:dyDescent="0.3">
      <c r="A269" s="2" t="s">
        <v>304</v>
      </c>
      <c r="B269" s="2" t="s">
        <v>995</v>
      </c>
      <c r="C269" s="2"/>
      <c r="D269" s="2"/>
      <c r="E269" s="3" t="s">
        <v>1179</v>
      </c>
      <c r="F269" s="56">
        <v>4.6900000000000004</v>
      </c>
      <c r="G269" s="3">
        <f>SUMIF(Tabela2[Código],Tabela6[[#This Row],[Código]],Tabela2[Saldo])</f>
        <v>6</v>
      </c>
      <c r="H269" s="3">
        <v>268</v>
      </c>
      <c r="K269" s="2"/>
      <c r="L269" s="2"/>
      <c r="M269" s="2"/>
      <c r="N269" s="2"/>
      <c r="O269" s="3"/>
      <c r="P269" s="56"/>
      <c r="Q269" s="3"/>
    </row>
    <row r="270" spans="1:17" x14ac:dyDescent="0.3">
      <c r="A270" s="2" t="s">
        <v>305</v>
      </c>
      <c r="B270" s="2" t="s">
        <v>996</v>
      </c>
      <c r="C270" s="2"/>
      <c r="D270" s="2"/>
      <c r="E270" s="3" t="s">
        <v>1179</v>
      </c>
      <c r="F270" s="56">
        <v>15.39</v>
      </c>
      <c r="G270" s="3">
        <f>SUMIF(Tabela2[Código],Tabela6[[#This Row],[Código]],Tabela2[Saldo])</f>
        <v>7</v>
      </c>
      <c r="H270" s="2">
        <v>269</v>
      </c>
      <c r="K270" s="2"/>
      <c r="L270" s="2"/>
      <c r="M270" s="2"/>
      <c r="N270" s="2"/>
      <c r="O270" s="3"/>
      <c r="P270" s="56"/>
      <c r="Q270" s="3"/>
    </row>
    <row r="271" spans="1:17" x14ac:dyDescent="0.3">
      <c r="A271" s="2" t="s">
        <v>306</v>
      </c>
      <c r="B271" s="2" t="s">
        <v>997</v>
      </c>
      <c r="C271" s="2"/>
      <c r="D271" s="2"/>
      <c r="E271" s="3" t="s">
        <v>1179</v>
      </c>
      <c r="F271" s="56">
        <v>1.3</v>
      </c>
      <c r="G271" s="3">
        <f>SUMIF(Tabela2[Código],Tabela6[[#This Row],[Código]],Tabela2[Saldo])</f>
        <v>3</v>
      </c>
      <c r="H271" s="2">
        <v>270</v>
      </c>
      <c r="K271" s="2"/>
      <c r="L271" s="2"/>
      <c r="M271" s="2"/>
      <c r="N271" s="2"/>
      <c r="O271" s="3"/>
      <c r="P271" s="56"/>
      <c r="Q271" s="3"/>
    </row>
    <row r="272" spans="1:17" x14ac:dyDescent="0.3">
      <c r="A272" s="2" t="s">
        <v>307</v>
      </c>
      <c r="B272" s="2" t="s">
        <v>998</v>
      </c>
      <c r="C272" s="2"/>
      <c r="D272" s="2"/>
      <c r="E272" s="3" t="s">
        <v>1179</v>
      </c>
      <c r="F272" s="56">
        <v>1.3</v>
      </c>
      <c r="G272" s="3">
        <f>SUMIF(Tabela2[Código],Tabela6[[#This Row],[Código]],Tabela2[Saldo])</f>
        <v>4</v>
      </c>
      <c r="H272" s="3">
        <v>271</v>
      </c>
      <c r="K272" s="2"/>
      <c r="L272" s="2"/>
      <c r="M272" s="2"/>
      <c r="N272" s="2"/>
      <c r="O272" s="3"/>
      <c r="P272" s="56"/>
      <c r="Q272" s="3"/>
    </row>
    <row r="273" spans="1:17" x14ac:dyDescent="0.3">
      <c r="A273" s="2" t="s">
        <v>308</v>
      </c>
      <c r="B273" s="2" t="s">
        <v>999</v>
      </c>
      <c r="C273" s="2"/>
      <c r="D273" s="2"/>
      <c r="E273" s="3" t="s">
        <v>1179</v>
      </c>
      <c r="F273" s="56">
        <v>0.78</v>
      </c>
      <c r="G273" s="3">
        <f>SUMIF(Tabela2[Código],Tabela6[[#This Row],[Código]],Tabela2[Saldo])</f>
        <v>5</v>
      </c>
      <c r="H273" s="2">
        <v>272</v>
      </c>
      <c r="K273" s="2"/>
      <c r="L273" s="2"/>
      <c r="M273" s="2"/>
      <c r="N273" s="2"/>
      <c r="O273" s="3"/>
      <c r="P273" s="56"/>
      <c r="Q273" s="3"/>
    </row>
    <row r="274" spans="1:17" x14ac:dyDescent="0.3">
      <c r="A274" s="2" t="s">
        <v>309</v>
      </c>
      <c r="B274" s="2" t="s">
        <v>1000</v>
      </c>
      <c r="C274" s="2"/>
      <c r="D274" s="2"/>
      <c r="E274" s="3" t="s">
        <v>1179</v>
      </c>
      <c r="F274" s="56">
        <v>4.6900000000000004</v>
      </c>
      <c r="G274" s="3">
        <f>SUMIF(Tabela2[Código],Tabela6[[#This Row],[Código]],Tabela2[Saldo])</f>
        <v>1</v>
      </c>
      <c r="H274" s="2">
        <v>273</v>
      </c>
      <c r="K274" s="2"/>
      <c r="L274" s="2"/>
      <c r="M274" s="2"/>
      <c r="N274" s="2"/>
      <c r="O274" s="3"/>
      <c r="P274" s="56"/>
      <c r="Q274" s="3"/>
    </row>
    <row r="275" spans="1:17" x14ac:dyDescent="0.3">
      <c r="A275" s="2" t="s">
        <v>310</v>
      </c>
      <c r="B275" s="2" t="s">
        <v>1001</v>
      </c>
      <c r="C275" s="2"/>
      <c r="D275" s="2"/>
      <c r="E275" s="3" t="s">
        <v>1179</v>
      </c>
      <c r="F275" s="56">
        <v>2.9</v>
      </c>
      <c r="G275" s="3">
        <f>SUMIF(Tabela2[Código],Tabela6[[#This Row],[Código]],Tabela2[Saldo])</f>
        <v>11</v>
      </c>
      <c r="H275" s="3">
        <v>274</v>
      </c>
      <c r="K275" s="2"/>
      <c r="L275" s="2"/>
      <c r="M275" s="2"/>
      <c r="N275" s="2"/>
      <c r="O275" s="3"/>
      <c r="P275" s="56"/>
      <c r="Q275" s="3"/>
    </row>
    <row r="276" spans="1:17" x14ac:dyDescent="0.3">
      <c r="A276" s="2" t="s">
        <v>311</v>
      </c>
      <c r="B276" s="2" t="s">
        <v>1002</v>
      </c>
      <c r="C276" s="2"/>
      <c r="D276" s="2"/>
      <c r="E276" s="3" t="s">
        <v>1179</v>
      </c>
      <c r="F276" s="56">
        <v>2.95</v>
      </c>
      <c r="G276" s="3">
        <f>SUMIF(Tabela2[Código],Tabela6[[#This Row],[Código]],Tabela2[Saldo])</f>
        <v>4</v>
      </c>
      <c r="H276" s="2">
        <v>275</v>
      </c>
      <c r="K276" s="2"/>
      <c r="L276" s="2"/>
      <c r="M276" s="2"/>
      <c r="N276" s="2"/>
      <c r="O276" s="3"/>
      <c r="P276" s="56"/>
      <c r="Q276" s="3"/>
    </row>
    <row r="277" spans="1:17" x14ac:dyDescent="0.3">
      <c r="A277" s="2" t="s">
        <v>312</v>
      </c>
      <c r="B277" s="2" t="s">
        <v>1003</v>
      </c>
      <c r="C277" s="2"/>
      <c r="D277" s="2"/>
      <c r="E277" s="3" t="s">
        <v>1179</v>
      </c>
      <c r="F277" s="56">
        <v>2.79</v>
      </c>
      <c r="G277" s="3">
        <f>SUMIF(Tabela2[Código],Tabela6[[#This Row],[Código]],Tabela2[Saldo])</f>
        <v>2</v>
      </c>
      <c r="H277" s="2">
        <v>276</v>
      </c>
      <c r="K277" s="2"/>
      <c r="L277" s="2"/>
      <c r="M277" s="2"/>
      <c r="N277" s="2"/>
      <c r="O277" s="3"/>
      <c r="P277" s="56"/>
      <c r="Q277" s="3"/>
    </row>
    <row r="278" spans="1:17" x14ac:dyDescent="0.3">
      <c r="A278" s="2" t="s">
        <v>313</v>
      </c>
      <c r="B278" s="2" t="s">
        <v>1004</v>
      </c>
      <c r="C278" s="2"/>
      <c r="D278" s="2"/>
      <c r="E278" s="3" t="s">
        <v>1179</v>
      </c>
      <c r="F278" s="56">
        <v>98.09</v>
      </c>
      <c r="G278" s="3">
        <f>SUMIF(Tabela2[Código],Tabela6[[#This Row],[Código]],Tabela2[Saldo])</f>
        <v>2</v>
      </c>
      <c r="H278" s="3">
        <v>277</v>
      </c>
      <c r="K278" s="2"/>
      <c r="L278" s="2"/>
      <c r="M278" s="2"/>
      <c r="N278" s="2"/>
      <c r="O278" s="3"/>
      <c r="P278" s="56"/>
      <c r="Q278" s="3"/>
    </row>
    <row r="279" spans="1:17" x14ac:dyDescent="0.3">
      <c r="A279" s="2" t="s">
        <v>314</v>
      </c>
      <c r="B279" s="2" t="s">
        <v>1005</v>
      </c>
      <c r="C279" s="2"/>
      <c r="D279" s="2"/>
      <c r="E279" s="3" t="s">
        <v>1179</v>
      </c>
      <c r="F279" s="56">
        <v>27.9</v>
      </c>
      <c r="G279" s="3">
        <f>SUMIF(Tabela2[Código],Tabela6[[#This Row],[Código]],Tabela2[Saldo])</f>
        <v>1</v>
      </c>
      <c r="H279" s="2">
        <v>278</v>
      </c>
      <c r="K279" s="2"/>
      <c r="L279" s="2"/>
      <c r="M279" s="2"/>
      <c r="N279" s="2"/>
      <c r="O279" s="3"/>
      <c r="P279" s="56"/>
      <c r="Q279" s="3"/>
    </row>
    <row r="280" spans="1:17" x14ac:dyDescent="0.3">
      <c r="A280" s="2" t="s">
        <v>315</v>
      </c>
      <c r="B280" s="2" t="s">
        <v>1006</v>
      </c>
      <c r="C280" s="2"/>
      <c r="D280" s="2"/>
      <c r="E280" s="3" t="s">
        <v>1179</v>
      </c>
      <c r="F280" s="56">
        <v>31</v>
      </c>
      <c r="G280" s="3">
        <f>SUMIF(Tabela2[Código],Tabela6[[#This Row],[Código]],Tabela2[Saldo])</f>
        <v>1</v>
      </c>
      <c r="H280" s="2">
        <v>279</v>
      </c>
      <c r="K280" s="2"/>
      <c r="L280" s="2"/>
      <c r="M280" s="2"/>
      <c r="N280" s="2"/>
      <c r="O280" s="3"/>
      <c r="P280" s="56"/>
      <c r="Q280" s="3"/>
    </row>
    <row r="281" spans="1:17" x14ac:dyDescent="0.3">
      <c r="A281" s="2" t="s">
        <v>316</v>
      </c>
      <c r="B281" s="2" t="s">
        <v>1007</v>
      </c>
      <c r="C281" s="2"/>
      <c r="D281" s="2"/>
      <c r="E281" s="3" t="s">
        <v>1179</v>
      </c>
      <c r="F281" s="56">
        <v>12.39</v>
      </c>
      <c r="G281" s="3">
        <f>SUMIF(Tabela2[Código],Tabela6[[#This Row],[Código]],Tabela2[Saldo])</f>
        <v>24</v>
      </c>
      <c r="H281" s="3">
        <v>280</v>
      </c>
      <c r="K281" s="2"/>
      <c r="L281" s="2"/>
      <c r="M281" s="2"/>
      <c r="N281" s="2"/>
      <c r="O281" s="3"/>
      <c r="P281" s="56"/>
      <c r="Q281" s="3"/>
    </row>
    <row r="282" spans="1:17" x14ac:dyDescent="0.3">
      <c r="A282" s="2" t="s">
        <v>317</v>
      </c>
      <c r="B282" s="2" t="s">
        <v>1008</v>
      </c>
      <c r="C282" s="2"/>
      <c r="D282" s="2"/>
      <c r="E282" s="3" t="s">
        <v>1179</v>
      </c>
      <c r="F282" s="56">
        <v>6.99</v>
      </c>
      <c r="G282" s="3">
        <f>SUMIF(Tabela2[Código],Tabela6[[#This Row],[Código]],Tabela2[Saldo])</f>
        <v>2</v>
      </c>
      <c r="H282" s="2">
        <v>281</v>
      </c>
      <c r="K282" s="2"/>
      <c r="L282" s="2"/>
      <c r="M282" s="2"/>
      <c r="N282" s="2"/>
      <c r="O282" s="3"/>
      <c r="P282" s="56"/>
      <c r="Q282" s="3"/>
    </row>
    <row r="283" spans="1:17" x14ac:dyDescent="0.3">
      <c r="A283" s="2" t="s">
        <v>318</v>
      </c>
      <c r="B283" s="2" t="s">
        <v>1009</v>
      </c>
      <c r="C283" s="2"/>
      <c r="D283" s="2"/>
      <c r="E283" s="3" t="s">
        <v>1179</v>
      </c>
      <c r="F283" s="56">
        <v>0.97</v>
      </c>
      <c r="G283" s="3">
        <f>SUMIF(Tabela2[Código],Tabela6[[#This Row],[Código]],Tabela2[Saldo])</f>
        <v>0</v>
      </c>
      <c r="H283" s="2">
        <v>282</v>
      </c>
      <c r="K283" s="2"/>
      <c r="L283" s="2"/>
      <c r="M283" s="2"/>
      <c r="N283" s="2"/>
      <c r="O283" s="3"/>
      <c r="P283" s="56"/>
      <c r="Q283" s="3"/>
    </row>
    <row r="284" spans="1:17" x14ac:dyDescent="0.3">
      <c r="A284" s="2" t="s">
        <v>319</v>
      </c>
      <c r="B284" s="2" t="s">
        <v>1010</v>
      </c>
      <c r="C284" s="2"/>
      <c r="D284" s="2"/>
      <c r="E284" s="3" t="s">
        <v>1179</v>
      </c>
      <c r="F284" s="56">
        <v>4.1900000000000004</v>
      </c>
      <c r="G284" s="3">
        <f>SUMIF(Tabela2[Código],Tabela6[[#This Row],[Código]],Tabela2[Saldo])</f>
        <v>0</v>
      </c>
      <c r="H284" s="3">
        <v>283</v>
      </c>
      <c r="K284" s="2"/>
      <c r="L284" s="2"/>
      <c r="M284" s="2"/>
      <c r="N284" s="2"/>
      <c r="O284" s="3"/>
      <c r="P284" s="56"/>
      <c r="Q284" s="3"/>
    </row>
    <row r="285" spans="1:17" x14ac:dyDescent="0.3">
      <c r="A285" s="2" t="s">
        <v>320</v>
      </c>
      <c r="B285" s="2" t="s">
        <v>1011</v>
      </c>
      <c r="C285" s="2"/>
      <c r="D285" s="2"/>
      <c r="E285" s="3" t="s">
        <v>1179</v>
      </c>
      <c r="F285" s="56">
        <v>8.39</v>
      </c>
      <c r="G285" s="3">
        <f>SUMIF(Tabela2[Código],Tabela6[[#This Row],[Código]],Tabela2[Saldo])</f>
        <v>1</v>
      </c>
      <c r="H285" s="2">
        <v>284</v>
      </c>
      <c r="K285" s="2"/>
      <c r="L285" s="2"/>
      <c r="M285" s="2"/>
      <c r="N285" s="2"/>
      <c r="O285" s="3"/>
      <c r="P285" s="56"/>
      <c r="Q285" s="3"/>
    </row>
    <row r="286" spans="1:17" x14ac:dyDescent="0.3">
      <c r="A286" s="2" t="s">
        <v>321</v>
      </c>
      <c r="B286" s="2" t="s">
        <v>1012</v>
      </c>
      <c r="C286" s="2"/>
      <c r="D286" s="2"/>
      <c r="E286" s="3" t="s">
        <v>1179</v>
      </c>
      <c r="F286" s="56">
        <v>12.9</v>
      </c>
      <c r="G286" s="3">
        <f>SUMIF(Tabela2[Código],Tabela6[[#This Row],[Código]],Tabela2[Saldo])</f>
        <v>0</v>
      </c>
      <c r="H286" s="2">
        <v>285</v>
      </c>
      <c r="K286" s="2"/>
      <c r="L286" s="2"/>
      <c r="M286" s="2"/>
      <c r="N286" s="2"/>
      <c r="O286" s="3"/>
      <c r="P286" s="56"/>
      <c r="Q286" s="3"/>
    </row>
    <row r="287" spans="1:17" x14ac:dyDescent="0.3">
      <c r="A287" s="2" t="s">
        <v>322</v>
      </c>
      <c r="B287" s="2" t="s">
        <v>1013</v>
      </c>
      <c r="C287" s="2"/>
      <c r="D287" s="2"/>
      <c r="E287" s="3" t="s">
        <v>1179</v>
      </c>
      <c r="F287" s="56">
        <v>8.7899999999999991</v>
      </c>
      <c r="G287" s="3">
        <f>SUMIF(Tabela2[Código],Tabela6[[#This Row],[Código]],Tabela2[Saldo])</f>
        <v>0</v>
      </c>
      <c r="H287" s="3">
        <v>286</v>
      </c>
      <c r="K287" s="2"/>
      <c r="L287" s="2"/>
      <c r="M287" s="2"/>
      <c r="N287" s="2"/>
      <c r="O287" s="3"/>
      <c r="P287" s="56"/>
      <c r="Q287" s="3"/>
    </row>
    <row r="288" spans="1:17" x14ac:dyDescent="0.3">
      <c r="A288" s="2" t="s">
        <v>323</v>
      </c>
      <c r="B288" s="2" t="s">
        <v>1014</v>
      </c>
      <c r="C288" s="2"/>
      <c r="D288" s="2"/>
      <c r="E288" s="3" t="s">
        <v>1179</v>
      </c>
      <c r="F288" s="56">
        <v>33.9</v>
      </c>
      <c r="G288" s="3">
        <f>SUMIF(Tabela2[Código],Tabela6[[#This Row],[Código]],Tabela2[Saldo])</f>
        <v>2</v>
      </c>
      <c r="H288" s="2">
        <v>287</v>
      </c>
      <c r="K288" s="2"/>
      <c r="L288" s="2"/>
      <c r="M288" s="2"/>
      <c r="N288" s="2"/>
      <c r="O288" s="3"/>
      <c r="P288" s="56"/>
      <c r="Q288" s="3"/>
    </row>
    <row r="289" spans="1:17" x14ac:dyDescent="0.3">
      <c r="A289" s="2" t="s">
        <v>324</v>
      </c>
      <c r="B289" s="2" t="s">
        <v>1015</v>
      </c>
      <c r="C289" s="2"/>
      <c r="D289" s="2"/>
      <c r="E289" s="3" t="s">
        <v>1179</v>
      </c>
      <c r="F289" s="56">
        <v>69.900000000000006</v>
      </c>
      <c r="G289" s="3">
        <f>SUMIF(Tabela2[Código],Tabela6[[#This Row],[Código]],Tabela2[Saldo])</f>
        <v>0</v>
      </c>
      <c r="H289" s="2">
        <v>288</v>
      </c>
      <c r="K289" s="2"/>
      <c r="L289" s="2"/>
      <c r="M289" s="2"/>
      <c r="N289" s="2"/>
      <c r="O289" s="3"/>
      <c r="P289" s="56"/>
      <c r="Q289" s="3"/>
    </row>
    <row r="290" spans="1:17" x14ac:dyDescent="0.3">
      <c r="A290" s="2" t="s">
        <v>325</v>
      </c>
      <c r="B290" s="2" t="s">
        <v>1016</v>
      </c>
      <c r="C290" s="2"/>
      <c r="D290" s="2"/>
      <c r="E290" s="3" t="s">
        <v>1179</v>
      </c>
      <c r="F290" s="56">
        <v>0.01</v>
      </c>
      <c r="G290" s="3">
        <f>SUMIF(Tabela2[Código],Tabela6[[#This Row],[Código]],Tabela2[Saldo])</f>
        <v>1</v>
      </c>
      <c r="H290" s="3">
        <v>289</v>
      </c>
      <c r="K290" s="2"/>
      <c r="L290" s="2"/>
      <c r="M290" s="2"/>
      <c r="N290" s="2"/>
      <c r="O290" s="3"/>
      <c r="P290" s="56"/>
      <c r="Q290" s="3"/>
    </row>
    <row r="291" spans="1:17" x14ac:dyDescent="0.3">
      <c r="A291" s="2" t="s">
        <v>326</v>
      </c>
      <c r="B291" s="2" t="s">
        <v>1017</v>
      </c>
      <c r="C291" s="2"/>
      <c r="D291" s="2"/>
      <c r="E291" s="3" t="s">
        <v>1179</v>
      </c>
      <c r="F291" s="56">
        <v>2.96</v>
      </c>
      <c r="G291" s="3">
        <f>SUMIF(Tabela2[Código],Tabela6[[#This Row],[Código]],Tabela2[Saldo])</f>
        <v>9.4</v>
      </c>
      <c r="H291" s="2">
        <v>290</v>
      </c>
      <c r="K291" s="2"/>
      <c r="L291" s="2"/>
      <c r="M291" s="2"/>
      <c r="N291" s="2"/>
      <c r="O291" s="3"/>
      <c r="P291" s="56"/>
      <c r="Q291" s="3"/>
    </row>
    <row r="292" spans="1:17" x14ac:dyDescent="0.3">
      <c r="A292" s="2" t="s">
        <v>327</v>
      </c>
      <c r="B292" s="2" t="s">
        <v>1018</v>
      </c>
      <c r="C292" s="2"/>
      <c r="D292" s="2"/>
      <c r="E292" s="3" t="s">
        <v>1179</v>
      </c>
      <c r="F292" s="56">
        <v>2.5</v>
      </c>
      <c r="G292" s="3">
        <f>SUMIF(Tabela2[Código],Tabela6[[#This Row],[Código]],Tabela2[Saldo])</f>
        <v>6</v>
      </c>
      <c r="H292" s="2">
        <v>291</v>
      </c>
      <c r="K292" s="2"/>
      <c r="L292" s="2"/>
      <c r="M292" s="2"/>
      <c r="N292" s="2"/>
      <c r="O292" s="3"/>
      <c r="P292" s="56"/>
      <c r="Q292" s="3"/>
    </row>
    <row r="293" spans="1:17" x14ac:dyDescent="0.3">
      <c r="A293" s="2" t="s">
        <v>328</v>
      </c>
      <c r="B293" s="2" t="s">
        <v>1019</v>
      </c>
      <c r="C293" s="2"/>
      <c r="D293" s="2"/>
      <c r="E293" s="3" t="s">
        <v>1179</v>
      </c>
      <c r="F293" s="56">
        <v>8.3000000000000007</v>
      </c>
      <c r="G293" s="3">
        <f>SUMIF(Tabela2[Código],Tabela6[[#This Row],[Código]],Tabela2[Saldo])</f>
        <v>17</v>
      </c>
      <c r="H293" s="3">
        <v>292</v>
      </c>
      <c r="K293" s="2"/>
      <c r="L293" s="2"/>
      <c r="M293" s="2"/>
      <c r="N293" s="2"/>
      <c r="O293" s="3"/>
      <c r="P293" s="56"/>
      <c r="Q293" s="3"/>
    </row>
    <row r="294" spans="1:17" x14ac:dyDescent="0.3">
      <c r="A294" s="2" t="s">
        <v>329</v>
      </c>
      <c r="B294" s="2" t="s">
        <v>1020</v>
      </c>
      <c r="C294" s="2"/>
      <c r="D294" s="2"/>
      <c r="E294" s="3" t="s">
        <v>1179</v>
      </c>
      <c r="F294" s="56">
        <v>13.97</v>
      </c>
      <c r="G294" s="3">
        <f>SUMIF(Tabela2[Código],Tabela6[[#This Row],[Código]],Tabela2[Saldo])</f>
        <v>1.5</v>
      </c>
      <c r="H294" s="2">
        <v>293</v>
      </c>
      <c r="K294" s="2"/>
      <c r="L294" s="2"/>
      <c r="M294" s="2"/>
      <c r="N294" s="2"/>
      <c r="O294" s="3"/>
      <c r="P294" s="56"/>
      <c r="Q294" s="3"/>
    </row>
    <row r="295" spans="1:17" x14ac:dyDescent="0.3">
      <c r="A295" s="2" t="s">
        <v>330</v>
      </c>
      <c r="B295" s="2" t="s">
        <v>1021</v>
      </c>
      <c r="C295" s="2"/>
      <c r="D295" s="2"/>
      <c r="E295" s="3" t="s">
        <v>1179</v>
      </c>
      <c r="F295" s="56">
        <v>11.63</v>
      </c>
      <c r="G295" s="3">
        <f>SUMIF(Tabela2[Código],Tabela6[[#This Row],[Código]],Tabela2[Saldo])</f>
        <v>33.5</v>
      </c>
      <c r="H295" s="2">
        <v>294</v>
      </c>
      <c r="K295" s="2"/>
      <c r="L295" s="2"/>
      <c r="M295" s="2"/>
      <c r="N295" s="2"/>
      <c r="O295" s="3"/>
      <c r="P295" s="56"/>
      <c r="Q295" s="3"/>
    </row>
    <row r="296" spans="1:17" x14ac:dyDescent="0.3">
      <c r="A296" s="2" t="s">
        <v>331</v>
      </c>
      <c r="B296" s="2" t="s">
        <v>1022</v>
      </c>
      <c r="C296" s="2"/>
      <c r="D296" s="2"/>
      <c r="E296" s="3" t="s">
        <v>1179</v>
      </c>
      <c r="F296" s="56">
        <v>26.63</v>
      </c>
      <c r="G296" s="3">
        <f>SUMIF(Tabela2[Código],Tabela6[[#This Row],[Código]],Tabela2[Saldo])</f>
        <v>30.5</v>
      </c>
      <c r="H296" s="3">
        <v>295</v>
      </c>
      <c r="K296" s="2"/>
      <c r="L296" s="2"/>
      <c r="M296" s="2"/>
      <c r="N296" s="2"/>
      <c r="O296" s="3"/>
      <c r="P296" s="56"/>
      <c r="Q296" s="3"/>
    </row>
    <row r="297" spans="1:17" x14ac:dyDescent="0.3">
      <c r="A297" s="2" t="s">
        <v>332</v>
      </c>
      <c r="B297" s="2" t="s">
        <v>1023</v>
      </c>
      <c r="C297" s="2"/>
      <c r="D297" s="2"/>
      <c r="E297" s="3" t="s">
        <v>1179</v>
      </c>
      <c r="F297" s="56">
        <v>24.99</v>
      </c>
      <c r="G297" s="3">
        <f>SUMIF(Tabela2[Código],Tabela6[[#This Row],[Código]],Tabela2[Saldo])</f>
        <v>10</v>
      </c>
      <c r="H297" s="2">
        <v>296</v>
      </c>
      <c r="K297" s="2"/>
      <c r="L297" s="2"/>
      <c r="M297" s="2"/>
      <c r="N297" s="2"/>
      <c r="O297" s="3"/>
      <c r="P297" s="56"/>
      <c r="Q297" s="3"/>
    </row>
    <row r="298" spans="1:17" x14ac:dyDescent="0.3">
      <c r="A298" s="2" t="s">
        <v>333</v>
      </c>
      <c r="B298" s="2" t="s">
        <v>1024</v>
      </c>
      <c r="C298" s="2"/>
      <c r="D298" s="2"/>
      <c r="E298" s="3" t="s">
        <v>1179</v>
      </c>
      <c r="F298" s="56">
        <v>25.43</v>
      </c>
      <c r="G298" s="3">
        <f>SUMIF(Tabela2[Código],Tabela6[[#This Row],[Código]],Tabela2[Saldo])</f>
        <v>3.5</v>
      </c>
      <c r="H298" s="2">
        <v>297</v>
      </c>
      <c r="K298" s="2"/>
      <c r="L298" s="2"/>
      <c r="M298" s="2"/>
      <c r="N298" s="2"/>
      <c r="O298" s="3"/>
      <c r="P298" s="56"/>
      <c r="Q298" s="3"/>
    </row>
    <row r="299" spans="1:17" x14ac:dyDescent="0.3">
      <c r="A299" s="2" t="s">
        <v>334</v>
      </c>
      <c r="B299" s="2" t="s">
        <v>1025</v>
      </c>
      <c r="C299" s="2"/>
      <c r="D299" s="2"/>
      <c r="E299" s="3" t="s">
        <v>1179</v>
      </c>
      <c r="F299" s="56">
        <v>1.84</v>
      </c>
      <c r="G299" s="3">
        <f>SUMIF(Tabela2[Código],Tabela6[[#This Row],[Código]],Tabela2[Saldo])</f>
        <v>6</v>
      </c>
      <c r="H299" s="3">
        <v>298</v>
      </c>
      <c r="K299" s="2"/>
      <c r="L299" s="2"/>
      <c r="M299" s="2"/>
      <c r="N299" s="2"/>
      <c r="O299" s="3"/>
      <c r="P299" s="56"/>
      <c r="Q299" s="3"/>
    </row>
    <row r="300" spans="1:17" x14ac:dyDescent="0.3">
      <c r="A300" s="2" t="s">
        <v>335</v>
      </c>
      <c r="B300" s="2" t="s">
        <v>1026</v>
      </c>
      <c r="C300" s="2"/>
      <c r="D300" s="2"/>
      <c r="E300" s="3" t="s">
        <v>1179</v>
      </c>
      <c r="F300" s="56">
        <v>7.39</v>
      </c>
      <c r="G300" s="3">
        <f>SUMIF(Tabela2[Código],Tabela6[[#This Row],[Código]],Tabela2[Saldo])</f>
        <v>5</v>
      </c>
      <c r="H300" s="2">
        <v>299</v>
      </c>
      <c r="K300" s="2"/>
      <c r="L300" s="2"/>
      <c r="M300" s="2"/>
      <c r="N300" s="2"/>
      <c r="O300" s="3"/>
      <c r="P300" s="56"/>
      <c r="Q300" s="3"/>
    </row>
    <row r="301" spans="1:17" x14ac:dyDescent="0.3">
      <c r="A301" s="2" t="s">
        <v>336</v>
      </c>
      <c r="B301" s="2" t="s">
        <v>1027</v>
      </c>
      <c r="C301" s="2"/>
      <c r="D301" s="2"/>
      <c r="E301" s="3" t="s">
        <v>1179</v>
      </c>
      <c r="F301" s="56">
        <v>8.89</v>
      </c>
      <c r="G301" s="3">
        <f>SUMIF(Tabela2[Código],Tabela6[[#This Row],[Código]],Tabela2[Saldo])</f>
        <v>3</v>
      </c>
      <c r="H301" s="2">
        <v>300</v>
      </c>
      <c r="K301" s="2"/>
      <c r="L301" s="2"/>
      <c r="M301" s="2"/>
      <c r="N301" s="2"/>
      <c r="O301" s="3"/>
      <c r="P301" s="56"/>
      <c r="Q301" s="3"/>
    </row>
    <row r="302" spans="1:17" x14ac:dyDescent="0.3">
      <c r="A302" s="2" t="s">
        <v>337</v>
      </c>
      <c r="B302" s="2" t="s">
        <v>1028</v>
      </c>
      <c r="C302" s="2"/>
      <c r="D302" s="2"/>
      <c r="E302" s="3" t="s">
        <v>1179</v>
      </c>
      <c r="F302" s="56">
        <v>4.6900000000000004</v>
      </c>
      <c r="G302" s="3">
        <f>SUMIF(Tabela2[Código],Tabela6[[#This Row],[Código]],Tabela2[Saldo])</f>
        <v>4</v>
      </c>
      <c r="H302" s="3">
        <v>301</v>
      </c>
      <c r="K302" s="2"/>
      <c r="L302" s="2"/>
      <c r="M302" s="2"/>
      <c r="N302" s="2"/>
      <c r="O302" s="3"/>
      <c r="P302" s="56"/>
      <c r="Q302" s="3"/>
    </row>
    <row r="303" spans="1:17" x14ac:dyDescent="0.3">
      <c r="A303" s="2" t="s">
        <v>338</v>
      </c>
      <c r="B303" s="2" t="s">
        <v>1029</v>
      </c>
      <c r="C303" s="2"/>
      <c r="D303" s="2"/>
      <c r="E303" s="3" t="s">
        <v>1179</v>
      </c>
      <c r="F303" s="56">
        <v>13.29</v>
      </c>
      <c r="G303" s="3">
        <f>SUMIF(Tabela2[Código],Tabela6[[#This Row],[Código]],Tabela2[Saldo])</f>
        <v>2</v>
      </c>
      <c r="H303" s="2">
        <v>302</v>
      </c>
      <c r="K303" s="2"/>
      <c r="L303" s="2"/>
      <c r="M303" s="2"/>
      <c r="N303" s="2"/>
      <c r="O303" s="3"/>
      <c r="P303" s="56"/>
      <c r="Q303" s="3"/>
    </row>
    <row r="304" spans="1:17" x14ac:dyDescent="0.3">
      <c r="A304" s="2" t="s">
        <v>339</v>
      </c>
      <c r="B304" s="2" t="s">
        <v>1030</v>
      </c>
      <c r="C304" s="2"/>
      <c r="D304" s="2"/>
      <c r="E304" s="3" t="s">
        <v>1179</v>
      </c>
      <c r="F304" s="56">
        <v>12.69</v>
      </c>
      <c r="G304" s="3">
        <f>SUMIF(Tabela2[Código],Tabela6[[#This Row],[Código]],Tabela2[Saldo])</f>
        <v>1</v>
      </c>
      <c r="H304" s="2">
        <v>303</v>
      </c>
      <c r="K304" s="2"/>
      <c r="L304" s="2"/>
      <c r="M304" s="2"/>
      <c r="N304" s="2"/>
      <c r="O304" s="3"/>
      <c r="P304" s="56"/>
      <c r="Q304" s="3"/>
    </row>
    <row r="305" spans="1:17" x14ac:dyDescent="0.3">
      <c r="A305" s="2" t="s">
        <v>340</v>
      </c>
      <c r="B305" s="2" t="s">
        <v>1031</v>
      </c>
      <c r="C305" s="2"/>
      <c r="D305" s="2"/>
      <c r="E305" s="3" t="s">
        <v>1179</v>
      </c>
      <c r="F305" s="56">
        <v>19.59</v>
      </c>
      <c r="G305" s="3">
        <f>SUMIF(Tabela2[Código],Tabela6[[#This Row],[Código]],Tabela2[Saldo])</f>
        <v>1</v>
      </c>
      <c r="H305" s="3">
        <v>304</v>
      </c>
      <c r="K305" s="2"/>
      <c r="L305" s="2"/>
      <c r="M305" s="2"/>
      <c r="N305" s="2"/>
      <c r="O305" s="3"/>
      <c r="P305" s="56"/>
      <c r="Q305" s="3"/>
    </row>
    <row r="306" spans="1:17" x14ac:dyDescent="0.3">
      <c r="A306" s="2" t="s">
        <v>341</v>
      </c>
      <c r="B306" s="2" t="s">
        <v>1032</v>
      </c>
      <c r="C306" s="2"/>
      <c r="D306" s="2"/>
      <c r="E306" s="3" t="s">
        <v>1179</v>
      </c>
      <c r="F306" s="56">
        <v>2.69</v>
      </c>
      <c r="G306" s="3">
        <f>SUMIF(Tabela2[Código],Tabela6[[#This Row],[Código]],Tabela2[Saldo])</f>
        <v>11</v>
      </c>
      <c r="H306" s="2">
        <v>305</v>
      </c>
      <c r="K306" s="2"/>
      <c r="L306" s="2"/>
      <c r="M306" s="2"/>
      <c r="N306" s="2"/>
      <c r="O306" s="3"/>
      <c r="P306" s="56"/>
      <c r="Q306" s="3"/>
    </row>
    <row r="307" spans="1:17" x14ac:dyDescent="0.3">
      <c r="A307" s="2" t="s">
        <v>342</v>
      </c>
      <c r="B307" s="2" t="s">
        <v>1033</v>
      </c>
      <c r="C307" s="2"/>
      <c r="D307" s="2"/>
      <c r="E307" s="3" t="s">
        <v>1179</v>
      </c>
      <c r="F307" s="56">
        <v>8.19</v>
      </c>
      <c r="G307" s="3">
        <f>SUMIF(Tabela2[Código],Tabela6[[#This Row],[Código]],Tabela2[Saldo])</f>
        <v>5</v>
      </c>
      <c r="H307" s="2">
        <v>306</v>
      </c>
      <c r="K307" s="2"/>
      <c r="L307" s="2"/>
      <c r="M307" s="2"/>
      <c r="N307" s="2"/>
      <c r="O307" s="3"/>
      <c r="P307" s="56"/>
      <c r="Q307" s="3"/>
    </row>
    <row r="308" spans="1:17" x14ac:dyDescent="0.3">
      <c r="A308" s="2" t="s">
        <v>343</v>
      </c>
      <c r="B308" s="2" t="s">
        <v>1034</v>
      </c>
      <c r="C308" s="2"/>
      <c r="D308" s="2"/>
      <c r="E308" s="3" t="s">
        <v>1179</v>
      </c>
      <c r="F308" s="56">
        <v>10.25</v>
      </c>
      <c r="G308" s="3">
        <f>SUMIF(Tabela2[Código],Tabela6[[#This Row],[Código]],Tabela2[Saldo])</f>
        <v>2</v>
      </c>
      <c r="H308" s="3">
        <v>307</v>
      </c>
      <c r="K308" s="2"/>
      <c r="L308" s="2"/>
      <c r="M308" s="2"/>
      <c r="N308" s="2"/>
      <c r="O308" s="3"/>
      <c r="P308" s="56"/>
      <c r="Q308" s="3"/>
    </row>
    <row r="309" spans="1:17" x14ac:dyDescent="0.3">
      <c r="A309" s="2" t="s">
        <v>344</v>
      </c>
      <c r="B309" s="2" t="s">
        <v>1035</v>
      </c>
      <c r="C309" s="2"/>
      <c r="D309" s="2"/>
      <c r="E309" s="3" t="s">
        <v>1179</v>
      </c>
      <c r="F309" s="56">
        <v>5.19</v>
      </c>
      <c r="G309" s="3">
        <f>SUMIF(Tabela2[Código],Tabela6[[#This Row],[Código]],Tabela2[Saldo])</f>
        <v>2</v>
      </c>
      <c r="H309" s="2">
        <v>308</v>
      </c>
      <c r="K309" s="2"/>
      <c r="L309" s="2"/>
      <c r="M309" s="2"/>
      <c r="N309" s="2"/>
      <c r="O309" s="3"/>
      <c r="P309" s="56"/>
      <c r="Q309" s="3"/>
    </row>
    <row r="310" spans="1:17" x14ac:dyDescent="0.3">
      <c r="A310" s="2" t="s">
        <v>345</v>
      </c>
      <c r="B310" s="2" t="s">
        <v>1036</v>
      </c>
      <c r="C310" s="2"/>
      <c r="D310" s="2"/>
      <c r="E310" s="3" t="s">
        <v>1179</v>
      </c>
      <c r="F310" s="56">
        <v>12.79</v>
      </c>
      <c r="G310" s="3">
        <f>SUMIF(Tabela2[Código],Tabela6[[#This Row],[Código]],Tabela2[Saldo])</f>
        <v>10</v>
      </c>
      <c r="H310" s="2">
        <v>309</v>
      </c>
      <c r="K310" s="2"/>
      <c r="L310" s="2"/>
      <c r="M310" s="2"/>
      <c r="N310" s="2"/>
      <c r="O310" s="3"/>
      <c r="P310" s="56"/>
      <c r="Q310" s="3"/>
    </row>
    <row r="311" spans="1:17" x14ac:dyDescent="0.3">
      <c r="A311" s="2" t="s">
        <v>346</v>
      </c>
      <c r="B311" s="2" t="s">
        <v>1037</v>
      </c>
      <c r="C311" s="2"/>
      <c r="D311" s="2"/>
      <c r="E311" s="3" t="s">
        <v>1179</v>
      </c>
      <c r="F311" s="56">
        <v>11.97</v>
      </c>
      <c r="G311" s="3">
        <f>SUMIF(Tabela2[Código],Tabela6[[#This Row],[Código]],Tabela2[Saldo])</f>
        <v>5.5</v>
      </c>
      <c r="H311" s="3">
        <v>310</v>
      </c>
      <c r="K311" s="2"/>
      <c r="L311" s="2"/>
      <c r="M311" s="2"/>
      <c r="N311" s="2"/>
      <c r="O311" s="3"/>
      <c r="P311" s="56"/>
      <c r="Q311" s="3"/>
    </row>
    <row r="312" spans="1:17" x14ac:dyDescent="0.3">
      <c r="A312" s="2" t="s">
        <v>347</v>
      </c>
      <c r="B312" s="2" t="s">
        <v>1038</v>
      </c>
      <c r="C312" s="2"/>
      <c r="D312" s="2"/>
      <c r="E312" s="3" t="s">
        <v>1179</v>
      </c>
      <c r="F312" s="56">
        <v>28.63</v>
      </c>
      <c r="G312" s="3">
        <f>SUMIF(Tabela2[Código],Tabela6[[#This Row],[Código]],Tabela2[Saldo])</f>
        <v>6</v>
      </c>
      <c r="H312" s="2">
        <v>311</v>
      </c>
      <c r="K312" s="2"/>
      <c r="L312" s="2"/>
      <c r="M312" s="2"/>
      <c r="N312" s="2"/>
      <c r="O312" s="3"/>
      <c r="P312" s="56"/>
      <c r="Q312" s="3"/>
    </row>
    <row r="313" spans="1:17" x14ac:dyDescent="0.3">
      <c r="A313" s="2" t="s">
        <v>348</v>
      </c>
      <c r="B313" s="2" t="s">
        <v>1039</v>
      </c>
      <c r="C313" s="2"/>
      <c r="D313" s="2"/>
      <c r="E313" s="3" t="s">
        <v>1179</v>
      </c>
      <c r="F313" s="56">
        <v>2.9</v>
      </c>
      <c r="G313" s="3">
        <f>SUMIF(Tabela2[Código],Tabela6[[#This Row],[Código]],Tabela2[Saldo])</f>
        <v>1</v>
      </c>
      <c r="H313" s="2">
        <v>312</v>
      </c>
      <c r="K313" s="2"/>
      <c r="L313" s="2"/>
      <c r="M313" s="2"/>
      <c r="N313" s="2"/>
      <c r="O313" s="3"/>
      <c r="P313" s="56"/>
      <c r="Q313" s="3"/>
    </row>
    <row r="314" spans="1:17" x14ac:dyDescent="0.3">
      <c r="A314" s="2" t="s">
        <v>349</v>
      </c>
      <c r="B314" s="2" t="s">
        <v>1040</v>
      </c>
      <c r="C314" s="2"/>
      <c r="D314" s="2"/>
      <c r="E314" s="3" t="s">
        <v>1179</v>
      </c>
      <c r="F314" s="56">
        <v>2.79</v>
      </c>
      <c r="G314" s="3">
        <f>SUMIF(Tabela2[Código],Tabela6[[#This Row],[Código]],Tabela2[Saldo])</f>
        <v>4</v>
      </c>
      <c r="H314" s="3">
        <v>313</v>
      </c>
      <c r="K314" s="2"/>
      <c r="L314" s="2"/>
      <c r="M314" s="2"/>
      <c r="N314" s="2"/>
      <c r="O314" s="3"/>
      <c r="P314" s="56"/>
      <c r="Q314" s="3"/>
    </row>
    <row r="315" spans="1:17" x14ac:dyDescent="0.3">
      <c r="A315" s="2" t="s">
        <v>350</v>
      </c>
      <c r="B315" s="2" t="s">
        <v>1041</v>
      </c>
      <c r="C315" s="2"/>
      <c r="D315" s="2"/>
      <c r="E315" s="3" t="s">
        <v>1179</v>
      </c>
      <c r="F315" s="56">
        <v>6.99</v>
      </c>
      <c r="G315" s="3">
        <f>SUMIF(Tabela2[Código],Tabela6[[#This Row],[Código]],Tabela2[Saldo])</f>
        <v>1</v>
      </c>
      <c r="H315" s="2">
        <v>314</v>
      </c>
      <c r="K315" s="2"/>
      <c r="L315" s="2"/>
      <c r="M315" s="2"/>
      <c r="N315" s="2"/>
      <c r="O315" s="3"/>
      <c r="P315" s="56"/>
      <c r="Q315" s="3"/>
    </row>
    <row r="316" spans="1:17" x14ac:dyDescent="0.3">
      <c r="A316" s="2" t="s">
        <v>351</v>
      </c>
      <c r="B316" s="2" t="s">
        <v>1042</v>
      </c>
      <c r="C316" s="2"/>
      <c r="D316" s="2"/>
      <c r="E316" s="3" t="s">
        <v>1179</v>
      </c>
      <c r="F316" s="56">
        <v>30.09</v>
      </c>
      <c r="G316" s="3">
        <f>SUMIF(Tabela2[Código],Tabela6[[#This Row],[Código]],Tabela2[Saldo])</f>
        <v>0</v>
      </c>
      <c r="H316" s="2">
        <v>315</v>
      </c>
      <c r="K316" s="2"/>
      <c r="L316" s="2"/>
      <c r="M316" s="2"/>
      <c r="N316" s="2"/>
      <c r="O316" s="3"/>
      <c r="P316" s="56"/>
      <c r="Q316" s="3"/>
    </row>
    <row r="317" spans="1:17" x14ac:dyDescent="0.3">
      <c r="A317" s="2" t="s">
        <v>352</v>
      </c>
      <c r="B317" s="2" t="s">
        <v>1043</v>
      </c>
      <c r="C317" s="2"/>
      <c r="D317" s="2"/>
      <c r="E317" s="3" t="s">
        <v>1179</v>
      </c>
      <c r="F317" s="56">
        <v>136</v>
      </c>
      <c r="G317" s="3">
        <f>SUMIF(Tabela2[Código],Tabela6[[#This Row],[Código]],Tabela2[Saldo])</f>
        <v>1</v>
      </c>
      <c r="H317" s="3">
        <v>316</v>
      </c>
      <c r="K317" s="2"/>
      <c r="L317" s="2"/>
      <c r="M317" s="2"/>
      <c r="N317" s="2"/>
      <c r="O317" s="3"/>
      <c r="P317" s="56"/>
      <c r="Q317" s="3"/>
    </row>
    <row r="318" spans="1:17" x14ac:dyDescent="0.3">
      <c r="A318" s="2" t="s">
        <v>353</v>
      </c>
      <c r="B318" s="2" t="s">
        <v>1044</v>
      </c>
      <c r="C318" s="2"/>
      <c r="D318" s="2"/>
      <c r="E318" s="3" t="s">
        <v>1179</v>
      </c>
      <c r="F318" s="56">
        <v>2.79</v>
      </c>
      <c r="G318" s="3">
        <f>SUMIF(Tabela2[Código],Tabela6[[#This Row],[Código]],Tabela2[Saldo])</f>
        <v>0</v>
      </c>
      <c r="H318" s="2">
        <v>317</v>
      </c>
      <c r="K318" s="2"/>
      <c r="L318" s="2"/>
      <c r="M318" s="2"/>
      <c r="N318" s="2"/>
      <c r="O318" s="3"/>
      <c r="P318" s="56"/>
      <c r="Q318" s="3"/>
    </row>
    <row r="319" spans="1:17" x14ac:dyDescent="0.3">
      <c r="A319" s="2" t="s">
        <v>354</v>
      </c>
      <c r="B319" s="2" t="s">
        <v>1045</v>
      </c>
      <c r="C319" s="2"/>
      <c r="D319" s="2"/>
      <c r="E319" s="3" t="s">
        <v>1179</v>
      </c>
      <c r="F319" s="56">
        <v>5.59</v>
      </c>
      <c r="G319" s="3">
        <f>SUMIF(Tabela2[Código],Tabela6[[#This Row],[Código]],Tabela2[Saldo])</f>
        <v>2</v>
      </c>
      <c r="H319" s="2">
        <v>318</v>
      </c>
      <c r="K319" s="2"/>
      <c r="L319" s="2"/>
      <c r="M319" s="2"/>
      <c r="N319" s="2"/>
      <c r="O319" s="3"/>
      <c r="P319" s="56"/>
      <c r="Q319" s="3"/>
    </row>
    <row r="320" spans="1:17" x14ac:dyDescent="0.3">
      <c r="A320" s="2" t="s">
        <v>355</v>
      </c>
      <c r="B320" s="2" t="s">
        <v>1046</v>
      </c>
      <c r="C320" s="2"/>
      <c r="D320" s="2"/>
      <c r="E320" s="3" t="s">
        <v>1179</v>
      </c>
      <c r="F320" s="56">
        <v>8.09</v>
      </c>
      <c r="G320" s="3">
        <f>SUMIF(Tabela2[Código],Tabela6[[#This Row],[Código]],Tabela2[Saldo])</f>
        <v>0</v>
      </c>
      <c r="H320" s="3">
        <v>319</v>
      </c>
      <c r="K320" s="2"/>
      <c r="L320" s="2"/>
      <c r="M320" s="2"/>
      <c r="N320" s="2"/>
      <c r="O320" s="3"/>
      <c r="P320" s="56"/>
      <c r="Q320" s="3"/>
    </row>
    <row r="321" spans="1:17" x14ac:dyDescent="0.3">
      <c r="A321" s="2" t="s">
        <v>356</v>
      </c>
      <c r="B321" s="2" t="s">
        <v>1047</v>
      </c>
      <c r="C321" s="2"/>
      <c r="D321" s="2"/>
      <c r="E321" s="3" t="s">
        <v>1179</v>
      </c>
      <c r="F321" s="56">
        <v>7.6</v>
      </c>
      <c r="G321" s="3">
        <f>SUMIF(Tabela2[Código],Tabela6[[#This Row],[Código]],Tabela2[Saldo])</f>
        <v>1</v>
      </c>
      <c r="H321" s="2">
        <v>320</v>
      </c>
      <c r="K321" s="2"/>
      <c r="L321" s="2"/>
      <c r="M321" s="2"/>
      <c r="N321" s="2"/>
      <c r="O321" s="3"/>
      <c r="P321" s="56"/>
      <c r="Q321" s="3"/>
    </row>
    <row r="322" spans="1:17" x14ac:dyDescent="0.3">
      <c r="A322" s="2" t="s">
        <v>357</v>
      </c>
      <c r="B322" s="2" t="s">
        <v>1048</v>
      </c>
      <c r="C322" s="2"/>
      <c r="D322" s="2"/>
      <c r="E322" s="3" t="s">
        <v>1179</v>
      </c>
      <c r="F322" s="56">
        <v>27.9</v>
      </c>
      <c r="G322" s="3">
        <f>SUMIF(Tabela2[Código],Tabela6[[#This Row],[Código]],Tabela2[Saldo])</f>
        <v>1</v>
      </c>
      <c r="H322" s="2">
        <v>321</v>
      </c>
      <c r="K322" s="2"/>
      <c r="L322" s="2"/>
      <c r="M322" s="2"/>
      <c r="N322" s="2"/>
      <c r="O322" s="3"/>
      <c r="P322" s="56"/>
      <c r="Q322" s="3"/>
    </row>
    <row r="323" spans="1:17" x14ac:dyDescent="0.3">
      <c r="A323" s="2" t="s">
        <v>358</v>
      </c>
      <c r="B323" s="2" t="s">
        <v>1049</v>
      </c>
      <c r="C323" s="2"/>
      <c r="D323" s="2"/>
      <c r="E323" s="3" t="s">
        <v>1179</v>
      </c>
      <c r="F323" s="56">
        <v>1.69</v>
      </c>
      <c r="G323" s="3">
        <f>SUMIF(Tabela2[Código],Tabela6[[#This Row],[Código]],Tabela2[Saldo])</f>
        <v>1</v>
      </c>
      <c r="H323" s="3">
        <v>322</v>
      </c>
      <c r="K323" s="2"/>
      <c r="L323" s="2"/>
      <c r="M323" s="2"/>
      <c r="N323" s="2"/>
      <c r="O323" s="3"/>
      <c r="P323" s="56"/>
      <c r="Q323" s="3"/>
    </row>
    <row r="324" spans="1:17" x14ac:dyDescent="0.3">
      <c r="A324" s="2" t="s">
        <v>359</v>
      </c>
      <c r="B324" s="2" t="s">
        <v>1050</v>
      </c>
      <c r="C324" s="2"/>
      <c r="D324" s="2"/>
      <c r="E324" s="3" t="s">
        <v>1180</v>
      </c>
      <c r="F324" s="56">
        <v>6.99</v>
      </c>
      <c r="G324" s="3">
        <f>SUMIF(Tabela2[Código],Tabela6[[#This Row],[Código]],Tabela2[Saldo])</f>
        <v>0</v>
      </c>
      <c r="H324" s="2">
        <v>323</v>
      </c>
      <c r="K324" s="2"/>
      <c r="L324" s="2"/>
      <c r="M324" s="2"/>
      <c r="N324" s="2"/>
      <c r="O324" s="3"/>
      <c r="P324" s="56"/>
      <c r="Q324" s="3"/>
    </row>
    <row r="325" spans="1:17" x14ac:dyDescent="0.3">
      <c r="A325" s="2" t="s">
        <v>360</v>
      </c>
      <c r="B325" s="2" t="s">
        <v>1051</v>
      </c>
      <c r="C325" s="2"/>
      <c r="D325" s="2"/>
      <c r="E325" s="3" t="s">
        <v>1180</v>
      </c>
      <c r="F325" s="56">
        <v>35.9</v>
      </c>
      <c r="G325" s="3">
        <f>SUMIF(Tabela2[Código],Tabela6[[#This Row],[Código]],Tabela2[Saldo])</f>
        <v>1</v>
      </c>
      <c r="H325" s="2">
        <v>324</v>
      </c>
      <c r="K325" s="2"/>
      <c r="L325" s="2"/>
      <c r="M325" s="2"/>
      <c r="N325" s="2"/>
      <c r="O325" s="3"/>
      <c r="P325" s="56"/>
      <c r="Q325" s="3"/>
    </row>
    <row r="326" spans="1:17" x14ac:dyDescent="0.3">
      <c r="A326" s="2" t="s">
        <v>361</v>
      </c>
      <c r="B326" s="2" t="s">
        <v>1052</v>
      </c>
      <c r="C326" s="2"/>
      <c r="D326" s="2"/>
      <c r="E326" s="3" t="s">
        <v>1180</v>
      </c>
      <c r="F326" s="56">
        <v>90.64</v>
      </c>
      <c r="G326" s="3">
        <f>SUMIF(Tabela2[Código],Tabela6[[#This Row],[Código]],Tabela2[Saldo])</f>
        <v>1</v>
      </c>
      <c r="H326" s="3">
        <v>325</v>
      </c>
      <c r="K326" s="2"/>
      <c r="L326" s="2"/>
      <c r="M326" s="2"/>
      <c r="N326" s="2"/>
      <c r="O326" s="3"/>
      <c r="P326" s="56"/>
      <c r="Q326" s="3"/>
    </row>
    <row r="327" spans="1:17" x14ac:dyDescent="0.3">
      <c r="A327" s="2" t="s">
        <v>362</v>
      </c>
      <c r="B327" s="2" t="s">
        <v>1053</v>
      </c>
      <c r="C327" s="2"/>
      <c r="D327" s="2"/>
      <c r="E327" s="3" t="s">
        <v>1180</v>
      </c>
      <c r="F327" s="56">
        <v>3.79</v>
      </c>
      <c r="G327" s="3">
        <f>SUMIF(Tabela2[Código],Tabela6[[#This Row],[Código]],Tabela2[Saldo])</f>
        <v>0</v>
      </c>
      <c r="H327" s="2">
        <v>326</v>
      </c>
      <c r="K327" s="2"/>
      <c r="L327" s="2"/>
      <c r="M327" s="2"/>
      <c r="N327" s="2"/>
      <c r="O327" s="3"/>
      <c r="P327" s="56"/>
      <c r="Q327" s="3"/>
    </row>
    <row r="328" spans="1:17" x14ac:dyDescent="0.3">
      <c r="A328" s="2" t="s">
        <v>363</v>
      </c>
      <c r="B328" s="2" t="s">
        <v>1054</v>
      </c>
      <c r="C328" s="2"/>
      <c r="D328" s="2"/>
      <c r="E328" s="3" t="s">
        <v>1180</v>
      </c>
      <c r="F328" s="56">
        <v>4.49</v>
      </c>
      <c r="G328" s="3">
        <f>SUMIF(Tabela2[Código],Tabela6[[#This Row],[Código]],Tabela2[Saldo])</f>
        <v>2</v>
      </c>
      <c r="H328" s="2">
        <v>327</v>
      </c>
      <c r="K328" s="2"/>
      <c r="L328" s="2"/>
      <c r="M328" s="2"/>
      <c r="N328" s="2"/>
      <c r="O328" s="3"/>
      <c r="P328" s="56"/>
      <c r="Q328" s="3"/>
    </row>
    <row r="329" spans="1:17" x14ac:dyDescent="0.3">
      <c r="A329" s="2" t="s">
        <v>364</v>
      </c>
      <c r="B329" s="2" t="s">
        <v>1055</v>
      </c>
      <c r="C329" s="2"/>
      <c r="D329" s="2"/>
      <c r="E329" s="3" t="s">
        <v>1180</v>
      </c>
      <c r="F329" s="56">
        <v>34.9</v>
      </c>
      <c r="G329" s="3">
        <f>SUMIF(Tabela2[Código],Tabela6[[#This Row],[Código]],Tabela2[Saldo])</f>
        <v>8</v>
      </c>
      <c r="H329" s="3">
        <v>328</v>
      </c>
      <c r="K329" s="2"/>
      <c r="L329" s="2"/>
      <c r="M329" s="2"/>
      <c r="N329" s="2"/>
      <c r="O329" s="3"/>
      <c r="P329" s="56"/>
      <c r="Q329" s="3"/>
    </row>
    <row r="330" spans="1:17" x14ac:dyDescent="0.3">
      <c r="A330" s="2" t="s">
        <v>365</v>
      </c>
      <c r="B330" s="2" t="s">
        <v>1056</v>
      </c>
      <c r="C330" s="2"/>
      <c r="D330" s="2"/>
      <c r="E330" s="3" t="s">
        <v>1180</v>
      </c>
      <c r="F330" s="56">
        <v>2.99</v>
      </c>
      <c r="G330" s="3">
        <f>SUMIF(Tabela2[Código],Tabela6[[#This Row],[Código]],Tabela2[Saldo])</f>
        <v>0</v>
      </c>
      <c r="H330" s="2">
        <v>329</v>
      </c>
      <c r="K330" s="2"/>
      <c r="L330" s="2"/>
      <c r="M330" s="2"/>
      <c r="N330" s="2"/>
      <c r="O330" s="3"/>
      <c r="P330" s="56"/>
      <c r="Q330" s="3"/>
    </row>
    <row r="331" spans="1:17" x14ac:dyDescent="0.3">
      <c r="A331" s="2" t="s">
        <v>366</v>
      </c>
      <c r="B331" s="2" t="s">
        <v>1057</v>
      </c>
      <c r="C331" s="2"/>
      <c r="D331" s="2"/>
      <c r="E331" s="3" t="s">
        <v>1180</v>
      </c>
      <c r="F331" s="56">
        <v>14.79</v>
      </c>
      <c r="G331" s="3">
        <f>SUMIF(Tabela2[Código],Tabela6[[#This Row],[Código]],Tabela2[Saldo])</f>
        <v>0</v>
      </c>
      <c r="H331" s="2">
        <v>330</v>
      </c>
      <c r="K331" s="2"/>
      <c r="L331" s="2"/>
      <c r="M331" s="2"/>
      <c r="N331" s="2"/>
      <c r="O331" s="3"/>
      <c r="P331" s="56"/>
      <c r="Q331" s="3"/>
    </row>
    <row r="332" spans="1:17" x14ac:dyDescent="0.3">
      <c r="A332" s="2" t="s">
        <v>367</v>
      </c>
      <c r="B332" s="2" t="s">
        <v>1058</v>
      </c>
      <c r="C332" s="2"/>
      <c r="D332" s="2"/>
      <c r="E332" s="3" t="s">
        <v>1180</v>
      </c>
      <c r="F332" s="56">
        <v>4.09</v>
      </c>
      <c r="G332" s="3">
        <f>SUMIF(Tabela2[Código],Tabela6[[#This Row],[Código]],Tabela2[Saldo])</f>
        <v>0</v>
      </c>
      <c r="H332" s="3">
        <v>331</v>
      </c>
      <c r="K332" s="2"/>
      <c r="L332" s="2"/>
      <c r="M332" s="2"/>
      <c r="N332" s="2"/>
      <c r="O332" s="3"/>
      <c r="P332" s="56"/>
      <c r="Q332" s="3"/>
    </row>
    <row r="333" spans="1:17" x14ac:dyDescent="0.3">
      <c r="A333" s="2" t="s">
        <v>368</v>
      </c>
      <c r="B333" s="2" t="s">
        <v>1059</v>
      </c>
      <c r="C333" s="2"/>
      <c r="D333" s="2"/>
      <c r="E333" s="3" t="s">
        <v>1180</v>
      </c>
      <c r="F333" s="56">
        <v>12.49</v>
      </c>
      <c r="G333" s="3">
        <f>SUMIF(Tabela2[Código],Tabela6[[#This Row],[Código]],Tabela2[Saldo])</f>
        <v>0</v>
      </c>
      <c r="H333" s="2">
        <v>332</v>
      </c>
      <c r="K333" s="2"/>
      <c r="L333" s="2"/>
      <c r="M333" s="2"/>
      <c r="N333" s="2"/>
      <c r="O333" s="3"/>
      <c r="P333" s="56"/>
      <c r="Q333" s="3"/>
    </row>
    <row r="334" spans="1:17" x14ac:dyDescent="0.3">
      <c r="A334" s="2" t="s">
        <v>369</v>
      </c>
      <c r="B334" s="2" t="s">
        <v>1060</v>
      </c>
      <c r="C334" s="2"/>
      <c r="D334" s="2"/>
      <c r="E334" s="3" t="s">
        <v>1180</v>
      </c>
      <c r="F334" s="56">
        <v>10.39</v>
      </c>
      <c r="G334" s="3">
        <f>SUMIF(Tabela2[Código],Tabela6[[#This Row],[Código]],Tabela2[Saldo])</f>
        <v>0</v>
      </c>
      <c r="H334" s="2">
        <v>333</v>
      </c>
      <c r="K334" s="2"/>
      <c r="L334" s="2"/>
      <c r="M334" s="2"/>
      <c r="N334" s="2"/>
      <c r="O334" s="3"/>
      <c r="P334" s="56"/>
      <c r="Q334" s="3"/>
    </row>
    <row r="335" spans="1:17" x14ac:dyDescent="0.3">
      <c r="A335" s="2" t="s">
        <v>370</v>
      </c>
      <c r="B335" s="2" t="s">
        <v>1061</v>
      </c>
      <c r="C335" s="2"/>
      <c r="D335" s="2"/>
      <c r="E335" s="3" t="s">
        <v>1180</v>
      </c>
      <c r="F335" s="56">
        <v>31.9</v>
      </c>
      <c r="G335" s="3">
        <f>SUMIF(Tabela2[Código],Tabela6[[#This Row],[Código]],Tabela2[Saldo])</f>
        <v>5</v>
      </c>
      <c r="H335" s="3">
        <v>334</v>
      </c>
      <c r="K335" s="2"/>
      <c r="L335" s="2"/>
      <c r="M335" s="2"/>
      <c r="N335" s="2"/>
      <c r="O335" s="3"/>
      <c r="P335" s="56"/>
      <c r="Q335" s="3"/>
    </row>
    <row r="336" spans="1:17" x14ac:dyDescent="0.3">
      <c r="A336" s="2" t="s">
        <v>371</v>
      </c>
      <c r="B336" s="2" t="s">
        <v>1062</v>
      </c>
      <c r="C336" s="2"/>
      <c r="D336" s="2"/>
      <c r="E336" s="3" t="s">
        <v>1180</v>
      </c>
      <c r="F336" s="56">
        <v>14.49</v>
      </c>
      <c r="G336" s="3">
        <f>SUMIF(Tabela2[Código],Tabela6[[#This Row],[Código]],Tabela2[Saldo])</f>
        <v>1</v>
      </c>
      <c r="H336" s="2">
        <v>335</v>
      </c>
      <c r="K336" s="2"/>
      <c r="L336" s="2"/>
      <c r="M336" s="2"/>
      <c r="N336" s="2"/>
      <c r="O336" s="3"/>
      <c r="P336" s="56"/>
      <c r="Q336" s="3"/>
    </row>
    <row r="337" spans="1:17" x14ac:dyDescent="0.3">
      <c r="A337" s="2" t="s">
        <v>372</v>
      </c>
      <c r="B337" s="2" t="s">
        <v>1063</v>
      </c>
      <c r="C337" s="2"/>
      <c r="D337" s="2"/>
      <c r="E337" s="3" t="s">
        <v>1180</v>
      </c>
      <c r="F337" s="56">
        <v>6.01</v>
      </c>
      <c r="G337" s="3">
        <f>SUMIF(Tabela2[Código],Tabela6[[#This Row],[Código]],Tabela2[Saldo])</f>
        <v>2</v>
      </c>
      <c r="H337" s="2">
        <v>336</v>
      </c>
      <c r="K337" s="2"/>
      <c r="L337" s="2"/>
      <c r="M337" s="2"/>
      <c r="N337" s="2"/>
      <c r="O337" s="3"/>
      <c r="P337" s="56"/>
      <c r="Q337" s="3"/>
    </row>
    <row r="338" spans="1:17" x14ac:dyDescent="0.3">
      <c r="A338" s="2" t="s">
        <v>373</v>
      </c>
      <c r="B338" s="2" t="s">
        <v>1064</v>
      </c>
      <c r="C338" s="2"/>
      <c r="D338" s="2"/>
      <c r="E338" s="3" t="s">
        <v>1180</v>
      </c>
      <c r="F338" s="56">
        <v>521.05999999999995</v>
      </c>
      <c r="G338" s="3">
        <f>SUMIF(Tabela2[Código],Tabela6[[#This Row],[Código]],Tabela2[Saldo])</f>
        <v>5</v>
      </c>
      <c r="H338" s="3">
        <v>337</v>
      </c>
      <c r="K338" s="2"/>
      <c r="L338" s="2"/>
      <c r="M338" s="2"/>
      <c r="N338" s="2"/>
      <c r="O338" s="3"/>
      <c r="P338" s="56"/>
      <c r="Q338" s="3"/>
    </row>
    <row r="339" spans="1:17" x14ac:dyDescent="0.3">
      <c r="A339" s="2" t="s">
        <v>374</v>
      </c>
      <c r="B339" s="2" t="s">
        <v>1065</v>
      </c>
      <c r="C339" s="2"/>
      <c r="D339" s="2"/>
      <c r="E339" s="3" t="s">
        <v>1180</v>
      </c>
      <c r="F339" s="56">
        <v>1778.21</v>
      </c>
      <c r="G339" s="3">
        <f>SUMIF(Tabela2[Código],Tabela6[[#This Row],[Código]],Tabela2[Saldo])</f>
        <v>1</v>
      </c>
      <c r="H339" s="2">
        <v>338</v>
      </c>
      <c r="K339" s="2"/>
      <c r="L339" s="2"/>
      <c r="M339" s="2"/>
      <c r="N339" s="2"/>
      <c r="O339" s="3"/>
      <c r="P339" s="56"/>
      <c r="Q339" s="3"/>
    </row>
    <row r="340" spans="1:17" x14ac:dyDescent="0.3">
      <c r="A340" s="2" t="s">
        <v>375</v>
      </c>
      <c r="B340" s="2" t="s">
        <v>1066</v>
      </c>
      <c r="C340" s="2"/>
      <c r="D340" s="2"/>
      <c r="E340" s="3" t="s">
        <v>1180</v>
      </c>
      <c r="F340" s="56">
        <v>4.3899999999999997</v>
      </c>
      <c r="G340" s="3">
        <f>SUMIF(Tabela2[Código],Tabela6[[#This Row],[Código]],Tabela2[Saldo])</f>
        <v>0</v>
      </c>
      <c r="H340" s="2">
        <v>339</v>
      </c>
      <c r="K340" s="2"/>
      <c r="L340" s="2"/>
      <c r="M340" s="2"/>
      <c r="N340" s="2"/>
      <c r="O340" s="3"/>
      <c r="P340" s="56"/>
      <c r="Q340" s="3"/>
    </row>
    <row r="341" spans="1:17" x14ac:dyDescent="0.3">
      <c r="A341" s="2" t="s">
        <v>376</v>
      </c>
      <c r="B341" s="2" t="s">
        <v>1067</v>
      </c>
      <c r="C341" s="2"/>
      <c r="D341" s="2"/>
      <c r="E341" s="3" t="s">
        <v>1180</v>
      </c>
      <c r="F341" s="56">
        <v>21.9</v>
      </c>
      <c r="G341" s="3">
        <f>SUMIF(Tabela2[Código],Tabela6[[#This Row],[Código]],Tabela2[Saldo])</f>
        <v>10</v>
      </c>
      <c r="H341" s="3">
        <v>340</v>
      </c>
      <c r="K341" s="2"/>
      <c r="L341" s="2"/>
      <c r="M341" s="2"/>
      <c r="N341" s="2"/>
      <c r="O341" s="3"/>
      <c r="P341" s="56"/>
      <c r="Q341" s="3"/>
    </row>
    <row r="342" spans="1:17" x14ac:dyDescent="0.3">
      <c r="A342" s="2" t="s">
        <v>377</v>
      </c>
      <c r="B342" s="2" t="s">
        <v>1068</v>
      </c>
      <c r="C342" s="2"/>
      <c r="D342" s="2"/>
      <c r="E342" s="3" t="s">
        <v>1180</v>
      </c>
      <c r="F342" s="56">
        <v>29.9</v>
      </c>
      <c r="G342" s="3">
        <f>SUMIF(Tabela2[Código],Tabela6[[#This Row],[Código]],Tabela2[Saldo])</f>
        <v>2</v>
      </c>
      <c r="H342" s="2">
        <v>341</v>
      </c>
      <c r="K342" s="2"/>
      <c r="L342" s="2"/>
      <c r="M342" s="2"/>
      <c r="N342" s="2"/>
      <c r="O342" s="3"/>
      <c r="P342" s="56"/>
      <c r="Q342" s="3"/>
    </row>
    <row r="343" spans="1:17" x14ac:dyDescent="0.3">
      <c r="A343" s="2" t="s">
        <v>378</v>
      </c>
      <c r="B343" s="2" t="s">
        <v>1069</v>
      </c>
      <c r="C343" s="2"/>
      <c r="D343" s="2"/>
      <c r="E343" s="3" t="s">
        <v>1180</v>
      </c>
      <c r="F343" s="56">
        <v>1.79</v>
      </c>
      <c r="G343" s="3">
        <f>SUMIF(Tabela2[Código],Tabela6[[#This Row],[Código]],Tabela2[Saldo])</f>
        <v>7</v>
      </c>
      <c r="H343" s="2">
        <v>342</v>
      </c>
      <c r="K343" s="2"/>
      <c r="L343" s="2"/>
      <c r="M343" s="2"/>
      <c r="N343" s="2"/>
      <c r="O343" s="3"/>
      <c r="P343" s="56"/>
      <c r="Q343" s="3"/>
    </row>
    <row r="344" spans="1:17" x14ac:dyDescent="0.3">
      <c r="A344" s="2" t="s">
        <v>379</v>
      </c>
      <c r="B344" s="2" t="s">
        <v>1070</v>
      </c>
      <c r="C344" s="2"/>
      <c r="D344" s="2"/>
      <c r="E344" s="3" t="s">
        <v>1180</v>
      </c>
      <c r="F344" s="56">
        <v>3.69</v>
      </c>
      <c r="G344" s="3">
        <f>SUMIF(Tabela2[Código],Tabela6[[#This Row],[Código]],Tabela2[Saldo])</f>
        <v>0</v>
      </c>
      <c r="H344" s="3">
        <v>343</v>
      </c>
      <c r="K344" s="2"/>
      <c r="L344" s="2"/>
      <c r="M344" s="2"/>
      <c r="N344" s="2"/>
      <c r="O344" s="3"/>
      <c r="P344" s="56"/>
      <c r="Q344" s="3"/>
    </row>
    <row r="345" spans="1:17" x14ac:dyDescent="0.3">
      <c r="A345" s="2" t="s">
        <v>383</v>
      </c>
      <c r="B345" s="2" t="s">
        <v>1071</v>
      </c>
      <c r="C345" s="2"/>
      <c r="D345" s="2"/>
      <c r="E345" s="3" t="s">
        <v>1180</v>
      </c>
      <c r="F345" s="56">
        <v>17.190000000000001</v>
      </c>
      <c r="G345" s="3">
        <f>SUMIF(Tabela2[Código],Tabela6[[#This Row],[Código]],Tabela2[Saldo])</f>
        <v>2</v>
      </c>
      <c r="H345" s="2">
        <v>344</v>
      </c>
      <c r="K345" s="2"/>
      <c r="L345" s="2"/>
      <c r="M345" s="2"/>
      <c r="N345" s="2"/>
      <c r="O345" s="3"/>
      <c r="P345" s="56"/>
      <c r="Q345" s="3"/>
    </row>
    <row r="346" spans="1:17" x14ac:dyDescent="0.3">
      <c r="A346" s="2" t="s">
        <v>384</v>
      </c>
      <c r="B346" s="2" t="s">
        <v>1072</v>
      </c>
      <c r="C346" s="2"/>
      <c r="D346" s="2"/>
      <c r="E346" s="3" t="s">
        <v>1180</v>
      </c>
      <c r="F346" s="56">
        <v>7.39</v>
      </c>
      <c r="G346" s="3">
        <f>SUMIF(Tabela2[Código],Tabela6[[#This Row],[Código]],Tabela2[Saldo])</f>
        <v>0</v>
      </c>
      <c r="H346" s="2">
        <v>345</v>
      </c>
      <c r="K346" s="2"/>
      <c r="L346" s="2"/>
      <c r="M346" s="2"/>
      <c r="N346" s="2"/>
      <c r="O346" s="3"/>
      <c r="P346" s="56"/>
      <c r="Q346" s="3"/>
    </row>
    <row r="347" spans="1:17" x14ac:dyDescent="0.3">
      <c r="A347" s="2" t="s">
        <v>385</v>
      </c>
      <c r="B347" s="2" t="s">
        <v>1073</v>
      </c>
      <c r="C347" s="2"/>
      <c r="D347" s="2"/>
      <c r="E347" s="3" t="s">
        <v>1180</v>
      </c>
      <c r="F347" s="56">
        <v>10.69</v>
      </c>
      <c r="G347" s="3">
        <f>SUMIF(Tabela2[Código],Tabela6[[#This Row],[Código]],Tabela2[Saldo])</f>
        <v>5</v>
      </c>
      <c r="H347" s="3">
        <v>346</v>
      </c>
      <c r="K347" s="2"/>
      <c r="L347" s="2"/>
      <c r="M347" s="2"/>
      <c r="N347" s="2"/>
      <c r="O347" s="3"/>
      <c r="P347" s="56"/>
      <c r="Q347" s="3"/>
    </row>
    <row r="348" spans="1:17" x14ac:dyDescent="0.3">
      <c r="A348" s="2" t="s">
        <v>386</v>
      </c>
      <c r="B348" s="2" t="s">
        <v>1074</v>
      </c>
      <c r="C348" s="2"/>
      <c r="D348" s="2"/>
      <c r="E348" s="3" t="s">
        <v>1181</v>
      </c>
      <c r="F348" s="56">
        <v>11.9</v>
      </c>
      <c r="G348" s="3">
        <f>SUMIF(Tabela2[Código],Tabela6[[#This Row],[Código]],Tabela2[Saldo])</f>
        <v>1</v>
      </c>
      <c r="H348" s="2">
        <v>347</v>
      </c>
      <c r="K348" s="2"/>
      <c r="L348" s="2"/>
      <c r="M348" s="2"/>
      <c r="N348" s="2"/>
      <c r="O348" s="3"/>
      <c r="P348" s="56"/>
      <c r="Q348" s="3"/>
    </row>
    <row r="349" spans="1:17" x14ac:dyDescent="0.3">
      <c r="A349" s="2" t="s">
        <v>387</v>
      </c>
      <c r="B349" s="2" t="s">
        <v>1075</v>
      </c>
      <c r="C349" s="2"/>
      <c r="D349" s="2"/>
      <c r="E349" s="3" t="s">
        <v>1181</v>
      </c>
      <c r="F349" s="56">
        <v>47.9</v>
      </c>
      <c r="G349" s="3">
        <f>SUMIF(Tabela2[Código],Tabela6[[#This Row],[Código]],Tabela2[Saldo])</f>
        <v>1</v>
      </c>
      <c r="H349" s="2">
        <v>348</v>
      </c>
      <c r="K349" s="2"/>
      <c r="L349" s="2"/>
      <c r="M349" s="2"/>
      <c r="N349" s="2"/>
      <c r="O349" s="3"/>
      <c r="P349" s="56"/>
      <c r="Q349" s="3"/>
    </row>
    <row r="350" spans="1:17" x14ac:dyDescent="0.3">
      <c r="A350" s="2" t="s">
        <v>388</v>
      </c>
      <c r="B350" s="2" t="s">
        <v>1076</v>
      </c>
      <c r="C350" s="2"/>
      <c r="D350" s="2"/>
      <c r="E350" s="3" t="s">
        <v>1182</v>
      </c>
      <c r="F350" s="56">
        <v>4.99</v>
      </c>
      <c r="G350" s="3">
        <f>SUMIF(Tabela2[Código],Tabela6[[#This Row],[Código]],Tabela2[Saldo])</f>
        <v>5</v>
      </c>
      <c r="H350" s="3">
        <v>349</v>
      </c>
      <c r="K350" s="2"/>
      <c r="L350" s="2"/>
      <c r="M350" s="2"/>
      <c r="N350" s="2"/>
      <c r="O350" s="3"/>
      <c r="P350" s="56"/>
      <c r="Q350" s="3"/>
    </row>
    <row r="351" spans="1:17" x14ac:dyDescent="0.3">
      <c r="A351" s="2" t="s">
        <v>389</v>
      </c>
      <c r="B351" s="2" t="s">
        <v>1077</v>
      </c>
      <c r="C351" s="2"/>
      <c r="D351" s="2"/>
      <c r="E351" s="3" t="s">
        <v>1183</v>
      </c>
      <c r="F351" s="56">
        <v>15.09</v>
      </c>
      <c r="G351" s="3">
        <f>SUMIF(Tabela2[Código],Tabela6[[#This Row],[Código]],Tabela2[Saldo])</f>
        <v>10</v>
      </c>
      <c r="H351" s="2">
        <v>350</v>
      </c>
      <c r="K351" s="2"/>
      <c r="L351" s="2"/>
      <c r="M351" s="2"/>
      <c r="N351" s="2"/>
      <c r="O351" s="3"/>
      <c r="P351" s="56"/>
      <c r="Q351" s="3"/>
    </row>
    <row r="352" spans="1:17" x14ac:dyDescent="0.3">
      <c r="A352" s="2" t="s">
        <v>390</v>
      </c>
      <c r="B352" s="2" t="s">
        <v>1078</v>
      </c>
      <c r="C352" s="2"/>
      <c r="D352" s="2"/>
      <c r="E352" s="3" t="s">
        <v>1183</v>
      </c>
      <c r="F352" s="56">
        <v>9.39</v>
      </c>
      <c r="G352" s="3">
        <f>SUMIF(Tabela2[Código],Tabela6[[#This Row],[Código]],Tabela2[Saldo])</f>
        <v>1</v>
      </c>
      <c r="H352" s="2">
        <v>351</v>
      </c>
      <c r="K352" s="2"/>
      <c r="L352" s="2"/>
      <c r="M352" s="2"/>
      <c r="N352" s="2"/>
      <c r="O352" s="3"/>
      <c r="P352" s="56"/>
      <c r="Q352" s="3"/>
    </row>
    <row r="353" spans="1:17" x14ac:dyDescent="0.3">
      <c r="A353" s="2" t="s">
        <v>391</v>
      </c>
      <c r="B353" s="2" t="s">
        <v>1079</v>
      </c>
      <c r="C353" s="2"/>
      <c r="D353" s="2"/>
      <c r="E353" s="3" t="s">
        <v>1183</v>
      </c>
      <c r="F353" s="56">
        <v>11.03</v>
      </c>
      <c r="G353" s="3">
        <f>SUMIF(Tabela2[Código],Tabela6[[#This Row],[Código]],Tabela2[Saldo])</f>
        <v>0</v>
      </c>
      <c r="H353" s="3">
        <v>352</v>
      </c>
      <c r="K353" s="2"/>
      <c r="L353" s="2"/>
      <c r="M353" s="2"/>
      <c r="N353" s="2"/>
      <c r="O353" s="3"/>
      <c r="P353" s="56"/>
      <c r="Q353" s="3"/>
    </row>
    <row r="354" spans="1:17" x14ac:dyDescent="0.3">
      <c r="A354" s="2" t="s">
        <v>392</v>
      </c>
      <c r="B354" s="2" t="s">
        <v>1080</v>
      </c>
      <c r="C354" s="2"/>
      <c r="D354" s="2"/>
      <c r="E354" s="3" t="s">
        <v>1183</v>
      </c>
      <c r="F354" s="56">
        <v>27.63</v>
      </c>
      <c r="G354" s="3">
        <f>SUMIF(Tabela2[Código],Tabela6[[#This Row],[Código]],Tabela2[Saldo])</f>
        <v>4.0999999999999996</v>
      </c>
      <c r="H354" s="2">
        <v>353</v>
      </c>
      <c r="K354" s="2"/>
      <c r="L354" s="2"/>
      <c r="M354" s="2"/>
      <c r="N354" s="2"/>
      <c r="O354" s="3"/>
      <c r="P354" s="56"/>
      <c r="Q354" s="3"/>
    </row>
    <row r="355" spans="1:17" x14ac:dyDescent="0.3">
      <c r="A355" s="2" t="s">
        <v>393</v>
      </c>
      <c r="B355" s="2" t="s">
        <v>1081</v>
      </c>
      <c r="C355" s="2"/>
      <c r="D355" s="2"/>
      <c r="E355" s="3" t="s">
        <v>1184</v>
      </c>
      <c r="F355" s="56">
        <v>10.3</v>
      </c>
      <c r="G355" s="3">
        <f>SUMIF(Tabela2[Código],Tabela6[[#This Row],[Código]],Tabela2[Saldo])</f>
        <v>11.5</v>
      </c>
      <c r="H355" s="2">
        <v>354</v>
      </c>
      <c r="K355" s="2"/>
      <c r="L355" s="2"/>
      <c r="M355" s="2"/>
      <c r="N355" s="2"/>
      <c r="O355" s="3"/>
      <c r="P355" s="56"/>
      <c r="Q355" s="3"/>
    </row>
    <row r="356" spans="1:17" x14ac:dyDescent="0.3">
      <c r="A356" s="2" t="s">
        <v>394</v>
      </c>
      <c r="B356" s="2" t="s">
        <v>1082</v>
      </c>
      <c r="C356" s="2"/>
      <c r="D356" s="2"/>
      <c r="E356" s="3" t="s">
        <v>1184</v>
      </c>
      <c r="F356" s="56">
        <v>7.63</v>
      </c>
      <c r="G356" s="3">
        <f>SUMIF(Tabela2[Código],Tabela6[[#This Row],[Código]],Tabela2[Saldo])</f>
        <v>6.5</v>
      </c>
      <c r="H356" s="3">
        <v>355</v>
      </c>
      <c r="K356" s="2"/>
      <c r="L356" s="2"/>
      <c r="M356" s="2"/>
      <c r="N356" s="2"/>
      <c r="O356" s="3"/>
      <c r="P356" s="56"/>
      <c r="Q356" s="3"/>
    </row>
    <row r="357" spans="1:17" x14ac:dyDescent="0.3">
      <c r="A357" s="2" t="s">
        <v>395</v>
      </c>
      <c r="B357" s="2" t="s">
        <v>1083</v>
      </c>
      <c r="C357" s="2"/>
      <c r="D357" s="2"/>
      <c r="E357" s="3" t="s">
        <v>1184</v>
      </c>
      <c r="F357" s="56">
        <v>10.3</v>
      </c>
      <c r="G357" s="3">
        <f>SUMIF(Tabela2[Código],Tabela6[[#This Row],[Código]],Tabela2[Saldo])</f>
        <v>3.5</v>
      </c>
      <c r="H357" s="2">
        <v>356</v>
      </c>
      <c r="K357" s="2"/>
      <c r="L357" s="2"/>
      <c r="M357" s="2"/>
      <c r="N357" s="2"/>
      <c r="O357" s="3"/>
      <c r="P357" s="56"/>
      <c r="Q357" s="3"/>
    </row>
    <row r="358" spans="1:17" x14ac:dyDescent="0.3">
      <c r="A358" s="2" t="s">
        <v>396</v>
      </c>
      <c r="B358" s="2" t="s">
        <v>1084</v>
      </c>
      <c r="C358" s="2"/>
      <c r="D358" s="2"/>
      <c r="E358" s="3" t="s">
        <v>1185</v>
      </c>
      <c r="F358" s="56">
        <v>66.5</v>
      </c>
      <c r="G358" s="3">
        <f>SUMIF(Tabela2[Código],Tabela6[[#This Row],[Código]],Tabela2[Saldo])</f>
        <v>4.0999999999999996</v>
      </c>
      <c r="H358" s="2">
        <v>357</v>
      </c>
      <c r="K358" s="2"/>
      <c r="L358" s="2"/>
      <c r="M358" s="2"/>
      <c r="N358" s="2"/>
      <c r="O358" s="3"/>
      <c r="P358" s="56"/>
      <c r="Q358" s="3"/>
    </row>
    <row r="359" spans="1:17" x14ac:dyDescent="0.3">
      <c r="A359" s="2" t="s">
        <v>397</v>
      </c>
      <c r="B359" s="2" t="s">
        <v>1085</v>
      </c>
      <c r="C359" s="2"/>
      <c r="D359" s="2"/>
      <c r="E359" s="3" t="s">
        <v>1185</v>
      </c>
      <c r="F359" s="56">
        <v>171.34</v>
      </c>
      <c r="G359" s="3">
        <f>SUMIF(Tabela2[Código],Tabela6[[#This Row],[Código]],Tabela2[Saldo])</f>
        <v>4.9000000000000004</v>
      </c>
      <c r="H359" s="3">
        <v>358</v>
      </c>
      <c r="K359" s="2"/>
      <c r="L359" s="2"/>
      <c r="M359" s="2"/>
      <c r="N359" s="2"/>
      <c r="O359" s="3"/>
      <c r="P359" s="56"/>
      <c r="Q359" s="3"/>
    </row>
    <row r="360" spans="1:17" x14ac:dyDescent="0.3">
      <c r="A360" t="s">
        <v>401</v>
      </c>
      <c r="B360" t="s">
        <v>1086</v>
      </c>
      <c r="C360" s="36"/>
      <c r="D360" s="36"/>
      <c r="E360" s="3" t="s">
        <v>1185</v>
      </c>
      <c r="F360" s="56">
        <v>47.9</v>
      </c>
      <c r="G360" s="3">
        <f>SUMIF(Tabela2[Código],Tabela6[[#This Row],[Código]],Tabela2[Saldo])</f>
        <v>1</v>
      </c>
      <c r="H360" s="2">
        <v>359</v>
      </c>
      <c r="M360" s="36"/>
      <c r="N360" s="36"/>
      <c r="O360" s="3"/>
      <c r="P360" s="56"/>
      <c r="Q360" s="3"/>
    </row>
    <row r="361" spans="1:17" x14ac:dyDescent="0.3">
      <c r="A361" t="s">
        <v>402</v>
      </c>
      <c r="B361" t="s">
        <v>1087</v>
      </c>
      <c r="C361" s="2"/>
      <c r="D361" s="2"/>
      <c r="E361" s="3" t="s">
        <v>1185</v>
      </c>
      <c r="F361" s="56">
        <v>68.900000000000006</v>
      </c>
      <c r="G361" s="3">
        <f>SUMIF(Tabela2[Código],Tabela6[[#This Row],[Código]],Tabela2[Saldo])</f>
        <v>3</v>
      </c>
      <c r="H361" s="2">
        <v>360</v>
      </c>
      <c r="M361" s="2"/>
      <c r="N361" s="2"/>
      <c r="O361" s="3"/>
      <c r="P361" s="56"/>
      <c r="Q361" s="3"/>
    </row>
    <row r="362" spans="1:17" x14ac:dyDescent="0.3">
      <c r="A362" s="36" t="s">
        <v>403</v>
      </c>
      <c r="B362" s="36" t="s">
        <v>1088</v>
      </c>
      <c r="C362" s="36"/>
      <c r="D362" s="36"/>
      <c r="E362" s="3" t="s">
        <v>1186</v>
      </c>
      <c r="F362" s="56">
        <v>9.89</v>
      </c>
      <c r="G362" s="3">
        <f>SUMIF(Tabela2[Código],Tabela6[[#This Row],[Código]],Tabela2[Saldo])</f>
        <v>1</v>
      </c>
      <c r="H362" s="3">
        <v>361</v>
      </c>
      <c r="K362" s="36"/>
      <c r="L362" s="36"/>
      <c r="M362" s="36"/>
      <c r="N362" s="36"/>
      <c r="O362" s="3"/>
      <c r="P362" s="56"/>
      <c r="Q362" s="3"/>
    </row>
    <row r="363" spans="1:17" x14ac:dyDescent="0.3">
      <c r="A363" s="2" t="s">
        <v>404</v>
      </c>
      <c r="B363" s="2" t="s">
        <v>1089</v>
      </c>
      <c r="C363" s="2"/>
      <c r="D363" s="2"/>
      <c r="E363" s="3" t="s">
        <v>1186</v>
      </c>
      <c r="F363" s="56">
        <v>11.09</v>
      </c>
      <c r="G363" s="3">
        <f>SUMIF(Tabela2[Código],Tabela6[[#This Row],[Código]],Tabela2[Saldo])</f>
        <v>1</v>
      </c>
      <c r="H363" s="2">
        <v>362</v>
      </c>
      <c r="K363" s="2"/>
      <c r="L363" s="2"/>
      <c r="M363" s="2"/>
      <c r="N363" s="2"/>
      <c r="O363" s="3"/>
      <c r="P363" s="56"/>
      <c r="Q363" s="3"/>
    </row>
    <row r="364" spans="1:17" x14ac:dyDescent="0.3">
      <c r="A364" s="2" t="s">
        <v>405</v>
      </c>
      <c r="B364" s="2" t="s">
        <v>1090</v>
      </c>
      <c r="C364" s="2"/>
      <c r="D364" s="2"/>
      <c r="E364" s="3" t="s">
        <v>1186</v>
      </c>
      <c r="F364" s="56">
        <v>5.92</v>
      </c>
      <c r="G364" s="3">
        <f>SUMIF(Tabela2[Código],Tabela6[[#This Row],[Código]],Tabela2[Saldo])</f>
        <v>5</v>
      </c>
      <c r="H364" s="2">
        <v>363</v>
      </c>
      <c r="K364" s="2"/>
      <c r="L364" s="2"/>
      <c r="M364" s="2"/>
      <c r="N364" s="2"/>
      <c r="O364" s="3"/>
      <c r="P364" s="56"/>
      <c r="Q364" s="3"/>
    </row>
    <row r="365" spans="1:17" x14ac:dyDescent="0.3">
      <c r="A365" s="2" t="s">
        <v>406</v>
      </c>
      <c r="B365" s="2" t="s">
        <v>1091</v>
      </c>
      <c r="C365" s="2"/>
      <c r="D365" s="2"/>
      <c r="E365" s="3" t="s">
        <v>1186</v>
      </c>
      <c r="F365" s="56">
        <v>4.17</v>
      </c>
      <c r="G365" s="3">
        <f>SUMIF(Tabela2[Código],Tabela6[[#This Row],[Código]],Tabela2[Saldo])</f>
        <v>3</v>
      </c>
      <c r="H365" s="3">
        <v>364</v>
      </c>
      <c r="K365" s="2"/>
      <c r="L365" s="2"/>
      <c r="M365" s="2"/>
      <c r="N365" s="2"/>
      <c r="O365" s="3"/>
      <c r="P365" s="56"/>
      <c r="Q365" s="3"/>
    </row>
    <row r="366" spans="1:17" x14ac:dyDescent="0.3">
      <c r="A366" s="2" t="s">
        <v>407</v>
      </c>
      <c r="B366" s="2" t="s">
        <v>1092</v>
      </c>
      <c r="C366" s="2"/>
      <c r="D366" s="2"/>
      <c r="E366" s="3" t="s">
        <v>1186</v>
      </c>
      <c r="F366" s="56">
        <v>17.57</v>
      </c>
      <c r="G366" s="3">
        <f>SUMIF(Tabela2[Código],Tabela6[[#This Row],[Código]],Tabela2[Saldo])</f>
        <v>1</v>
      </c>
      <c r="H366" s="2">
        <v>365</v>
      </c>
      <c r="K366" s="2"/>
      <c r="L366" s="2"/>
      <c r="M366" s="2"/>
      <c r="N366" s="2"/>
      <c r="O366" s="3"/>
      <c r="P366" s="56"/>
      <c r="Q366" s="3"/>
    </row>
    <row r="367" spans="1:17" x14ac:dyDescent="0.3">
      <c r="A367" s="2" t="s">
        <v>408</v>
      </c>
      <c r="B367" s="2" t="s">
        <v>1093</v>
      </c>
      <c r="C367" s="2"/>
      <c r="D367" s="2"/>
      <c r="E367" s="3" t="s">
        <v>1186</v>
      </c>
      <c r="F367" s="56">
        <v>24.5</v>
      </c>
      <c r="G367" s="3">
        <f>SUMIF(Tabela2[Código],Tabela6[[#This Row],[Código]],Tabela2[Saldo])</f>
        <v>4</v>
      </c>
      <c r="H367" s="2">
        <v>366</v>
      </c>
      <c r="K367" s="2"/>
      <c r="L367" s="2"/>
      <c r="M367" s="2"/>
      <c r="N367" s="2"/>
      <c r="O367" s="3"/>
      <c r="P367" s="56"/>
      <c r="Q367" s="3"/>
    </row>
    <row r="368" spans="1:17" x14ac:dyDescent="0.3">
      <c r="A368" s="2" t="s">
        <v>409</v>
      </c>
      <c r="B368" s="2" t="s">
        <v>1094</v>
      </c>
      <c r="C368" s="2"/>
      <c r="D368" s="2"/>
      <c r="E368" s="3" t="s">
        <v>1186</v>
      </c>
      <c r="F368" s="56">
        <v>73.959999999999994</v>
      </c>
      <c r="G368" s="3">
        <f>SUMIF(Tabela2[Código],Tabela6[[#This Row],[Código]],Tabela2[Saldo])</f>
        <v>1</v>
      </c>
      <c r="H368" s="3">
        <v>367</v>
      </c>
      <c r="K368" s="2"/>
      <c r="L368" s="2"/>
      <c r="M368" s="2"/>
      <c r="N368" s="2"/>
      <c r="O368" s="3"/>
      <c r="P368" s="56"/>
      <c r="Q368" s="3"/>
    </row>
    <row r="369" spans="1:17" x14ac:dyDescent="0.3">
      <c r="A369" s="2" t="s">
        <v>410</v>
      </c>
      <c r="B369" s="2" t="s">
        <v>1095</v>
      </c>
      <c r="C369" s="2"/>
      <c r="D369" s="2"/>
      <c r="E369" s="3" t="s">
        <v>1186</v>
      </c>
      <c r="F369" s="56">
        <v>101.7</v>
      </c>
      <c r="G369" s="3">
        <f>SUMIF(Tabela2[Código],Tabela6[[#This Row],[Código]],Tabela2[Saldo])</f>
        <v>1</v>
      </c>
      <c r="H369" s="2">
        <v>368</v>
      </c>
      <c r="K369" s="2"/>
      <c r="L369" s="2"/>
      <c r="M369" s="2"/>
      <c r="N369" s="2"/>
      <c r="O369" s="3"/>
      <c r="P369" s="56"/>
      <c r="Q369" s="3"/>
    </row>
    <row r="370" spans="1:17" x14ac:dyDescent="0.3">
      <c r="A370" s="2" t="s">
        <v>411</v>
      </c>
      <c r="B370" s="2" t="s">
        <v>1096</v>
      </c>
      <c r="C370" s="2"/>
      <c r="D370" s="2"/>
      <c r="E370" s="3" t="s">
        <v>1186</v>
      </c>
      <c r="F370" s="56">
        <v>2.59</v>
      </c>
      <c r="G370" s="3">
        <f>SUMIF(Tabela2[Código],Tabela6[[#This Row],[Código]],Tabela2[Saldo])</f>
        <v>5</v>
      </c>
      <c r="H370" s="2">
        <v>369</v>
      </c>
      <c r="K370" s="2"/>
      <c r="L370" s="2"/>
      <c r="M370" s="2"/>
      <c r="N370" s="2"/>
      <c r="O370" s="3"/>
      <c r="P370" s="56"/>
      <c r="Q370" s="3"/>
    </row>
    <row r="371" spans="1:17" x14ac:dyDescent="0.3">
      <c r="A371" s="2" t="s">
        <v>412</v>
      </c>
      <c r="B371" s="2" t="s">
        <v>1097</v>
      </c>
      <c r="C371" s="2"/>
      <c r="D371" s="2"/>
      <c r="E371" s="3" t="s">
        <v>1186</v>
      </c>
      <c r="F371" s="56">
        <v>3.88</v>
      </c>
      <c r="G371" s="3">
        <f>SUMIF(Tabela2[Código],Tabela6[[#This Row],[Código]],Tabela2[Saldo])</f>
        <v>2</v>
      </c>
      <c r="H371" s="3">
        <v>370</v>
      </c>
      <c r="K371" s="2"/>
      <c r="L371" s="2"/>
      <c r="M371" s="2"/>
      <c r="N371" s="2"/>
      <c r="O371" s="3"/>
      <c r="P371" s="56"/>
      <c r="Q371" s="3"/>
    </row>
    <row r="372" spans="1:17" x14ac:dyDescent="0.3">
      <c r="A372" s="2" t="s">
        <v>413</v>
      </c>
      <c r="B372" s="2" t="s">
        <v>1098</v>
      </c>
      <c r="C372" s="2"/>
      <c r="D372" s="2"/>
      <c r="E372" s="3" t="s">
        <v>1186</v>
      </c>
      <c r="F372" s="56">
        <v>6.01</v>
      </c>
      <c r="G372" s="3">
        <f>SUMIF(Tabela2[Código],Tabela6[[#This Row],[Código]],Tabela2[Saldo])</f>
        <v>1</v>
      </c>
      <c r="H372" s="2">
        <v>371</v>
      </c>
      <c r="K372" s="2"/>
      <c r="L372" s="2"/>
      <c r="M372" s="2"/>
      <c r="N372" s="2"/>
      <c r="O372" s="3"/>
      <c r="P372" s="56"/>
      <c r="Q372" s="3"/>
    </row>
    <row r="373" spans="1:17" x14ac:dyDescent="0.3">
      <c r="A373" s="2" t="s">
        <v>414</v>
      </c>
      <c r="B373" s="2" t="s">
        <v>1099</v>
      </c>
      <c r="C373" s="2"/>
      <c r="D373" s="2"/>
      <c r="E373" s="3" t="s">
        <v>1186</v>
      </c>
      <c r="F373" s="56">
        <v>10.82</v>
      </c>
      <c r="G373" s="3">
        <f>SUMIF(Tabela2[Código],Tabela6[[#This Row],[Código]],Tabela2[Saldo])</f>
        <v>8</v>
      </c>
      <c r="H373" s="2">
        <v>372</v>
      </c>
      <c r="K373" s="2"/>
      <c r="L373" s="2"/>
      <c r="M373" s="2"/>
      <c r="N373" s="2"/>
      <c r="O373" s="3"/>
      <c r="P373" s="56"/>
      <c r="Q373" s="3"/>
    </row>
    <row r="374" spans="1:17" x14ac:dyDescent="0.3">
      <c r="A374" s="2" t="s">
        <v>415</v>
      </c>
      <c r="B374" s="2" t="s">
        <v>1100</v>
      </c>
      <c r="C374" s="2"/>
      <c r="D374" s="2"/>
      <c r="E374" s="3" t="s">
        <v>1186</v>
      </c>
      <c r="F374" s="56">
        <v>16.36</v>
      </c>
      <c r="G374" s="3">
        <f>SUMIF(Tabela2[Código],Tabela6[[#This Row],[Código]],Tabela2[Saldo])</f>
        <v>4</v>
      </c>
      <c r="H374" s="3">
        <v>373</v>
      </c>
      <c r="K374" s="2"/>
      <c r="L374" s="2"/>
      <c r="M374" s="2"/>
      <c r="N374" s="2"/>
      <c r="O374" s="3"/>
      <c r="P374" s="56"/>
      <c r="Q374" s="3"/>
    </row>
    <row r="375" spans="1:17" x14ac:dyDescent="0.3">
      <c r="A375" s="2" t="s">
        <v>416</v>
      </c>
      <c r="B375" s="2" t="s">
        <v>1101</v>
      </c>
      <c r="C375" s="2"/>
      <c r="D375" s="2"/>
      <c r="E375" s="3" t="s">
        <v>1186</v>
      </c>
      <c r="F375" s="56">
        <v>9.25</v>
      </c>
      <c r="G375" s="3">
        <f>SUMIF(Tabela2[Código],Tabela6[[#This Row],[Código]],Tabela2[Saldo])</f>
        <v>1</v>
      </c>
      <c r="H375" s="2">
        <v>374</v>
      </c>
      <c r="K375" s="2"/>
      <c r="L375" s="2"/>
      <c r="M375" s="2"/>
      <c r="N375" s="2"/>
      <c r="O375" s="3"/>
      <c r="P375" s="56"/>
      <c r="Q375" s="3"/>
    </row>
    <row r="376" spans="1:17" x14ac:dyDescent="0.3">
      <c r="A376" s="2" t="s">
        <v>417</v>
      </c>
      <c r="B376" s="2" t="s">
        <v>1102</v>
      </c>
      <c r="C376" s="2"/>
      <c r="D376" s="2"/>
      <c r="E376" s="3" t="s">
        <v>1187</v>
      </c>
      <c r="F376" s="56">
        <v>9.25</v>
      </c>
      <c r="G376" s="3">
        <f>SUMIF(Tabela2[Código],Tabela6[[#This Row],[Código]],Tabela2[Saldo])</f>
        <v>1</v>
      </c>
      <c r="H376" s="2">
        <v>375</v>
      </c>
      <c r="K376" s="2"/>
      <c r="L376" s="2"/>
      <c r="M376" s="2"/>
      <c r="N376" s="2"/>
      <c r="O376" s="3"/>
      <c r="P376" s="56"/>
      <c r="Q376" s="3"/>
    </row>
    <row r="377" spans="1:17" x14ac:dyDescent="0.3">
      <c r="A377" s="2" t="s">
        <v>418</v>
      </c>
      <c r="B377" s="2" t="s">
        <v>1103</v>
      </c>
      <c r="C377" s="2"/>
      <c r="D377" s="2"/>
      <c r="E377" s="3" t="s">
        <v>1187</v>
      </c>
      <c r="F377" s="56">
        <v>9.25</v>
      </c>
      <c r="G377" s="3">
        <f>SUMIF(Tabela2[Código],Tabela6[[#This Row],[Código]],Tabela2[Saldo])</f>
        <v>2</v>
      </c>
      <c r="H377" s="3">
        <v>376</v>
      </c>
      <c r="K377" s="2"/>
      <c r="L377" s="2"/>
      <c r="M377" s="2"/>
      <c r="N377" s="2"/>
      <c r="O377" s="3"/>
      <c r="P377" s="56"/>
      <c r="Q377" s="3"/>
    </row>
    <row r="378" spans="1:17" x14ac:dyDescent="0.3">
      <c r="A378" s="2" t="s">
        <v>419</v>
      </c>
      <c r="B378" s="2" t="s">
        <v>1104</v>
      </c>
      <c r="C378" s="2"/>
      <c r="D378" s="2"/>
      <c r="E378" s="3" t="s">
        <v>1187</v>
      </c>
      <c r="F378" s="56">
        <v>2.13</v>
      </c>
      <c r="G378" s="3">
        <f>SUMIF(Tabela2[Código],Tabela6[[#This Row],[Código]],Tabela2[Saldo])</f>
        <v>2</v>
      </c>
      <c r="H378" s="2">
        <v>377</v>
      </c>
      <c r="K378" s="2"/>
      <c r="L378" s="2"/>
      <c r="M378" s="2"/>
      <c r="N378" s="2"/>
      <c r="O378" s="3"/>
      <c r="P378" s="56"/>
      <c r="Q378" s="3"/>
    </row>
    <row r="379" spans="1:17" x14ac:dyDescent="0.3">
      <c r="A379" s="2" t="s">
        <v>420</v>
      </c>
      <c r="B379" s="2" t="s">
        <v>1105</v>
      </c>
      <c r="C379" s="2"/>
      <c r="D379" s="2"/>
      <c r="E379" s="3" t="s">
        <v>1187</v>
      </c>
      <c r="F379" s="56">
        <v>5.36</v>
      </c>
      <c r="G379" s="3">
        <f>SUMIF(Tabela2[Código],Tabela6[[#This Row],[Código]],Tabela2[Saldo])</f>
        <v>7</v>
      </c>
      <c r="H379" s="2">
        <v>378</v>
      </c>
      <c r="K379" s="2"/>
      <c r="L379" s="2"/>
      <c r="M379" s="2"/>
      <c r="N379" s="2"/>
      <c r="O379" s="3"/>
      <c r="P379" s="56"/>
      <c r="Q379" s="3"/>
    </row>
    <row r="380" spans="1:17" x14ac:dyDescent="0.3">
      <c r="A380" s="2" t="s">
        <v>421</v>
      </c>
      <c r="B380" s="2" t="s">
        <v>1106</v>
      </c>
      <c r="C380" s="2"/>
      <c r="D380" s="2"/>
      <c r="E380" s="3" t="s">
        <v>1187</v>
      </c>
      <c r="F380" s="56">
        <v>59.17</v>
      </c>
      <c r="G380" s="3">
        <f>SUMIF(Tabela2[Código],Tabela6[[#This Row],[Código]],Tabela2[Saldo])</f>
        <v>1</v>
      </c>
      <c r="H380" s="3">
        <v>379</v>
      </c>
      <c r="K380" s="2"/>
      <c r="L380" s="2"/>
      <c r="M380" s="2"/>
      <c r="N380" s="2"/>
      <c r="O380" s="3"/>
      <c r="P380" s="56"/>
      <c r="Q380" s="3"/>
    </row>
    <row r="381" spans="1:17" x14ac:dyDescent="0.3">
      <c r="A381" s="2" t="s">
        <v>422</v>
      </c>
      <c r="B381" s="2" t="s">
        <v>1107</v>
      </c>
      <c r="C381" s="2"/>
      <c r="D381" s="2"/>
      <c r="E381" s="3" t="s">
        <v>1187</v>
      </c>
      <c r="F381" s="56">
        <v>1.25</v>
      </c>
      <c r="G381" s="3">
        <f>SUMIF(Tabela2[Código],Tabela6[[#This Row],[Código]],Tabela2[Saldo])</f>
        <v>1</v>
      </c>
      <c r="H381" s="2">
        <v>380</v>
      </c>
      <c r="K381" s="2"/>
      <c r="L381" s="2"/>
      <c r="M381" s="2"/>
      <c r="N381" s="2"/>
      <c r="O381" s="3"/>
      <c r="P381" s="56"/>
      <c r="Q381" s="3"/>
    </row>
    <row r="382" spans="1:17" x14ac:dyDescent="0.3">
      <c r="A382" s="2" t="s">
        <v>423</v>
      </c>
      <c r="B382" s="2" t="s">
        <v>1108</v>
      </c>
      <c r="C382" s="2"/>
      <c r="D382" s="2"/>
      <c r="E382" s="3" t="s">
        <v>1187</v>
      </c>
      <c r="F382" s="56">
        <v>4.07</v>
      </c>
      <c r="G382" s="3">
        <f>SUMIF(Tabela2[Código],Tabela6[[#This Row],[Código]],Tabela2[Saldo])</f>
        <v>1</v>
      </c>
      <c r="H382" s="2">
        <v>381</v>
      </c>
      <c r="K382" s="2"/>
      <c r="L382" s="2"/>
      <c r="M382" s="2"/>
      <c r="N382" s="2"/>
      <c r="O382" s="3"/>
      <c r="P382" s="56"/>
      <c r="Q382" s="3"/>
    </row>
    <row r="383" spans="1:17" x14ac:dyDescent="0.3">
      <c r="A383" s="2" t="s">
        <v>424</v>
      </c>
      <c r="B383" s="2" t="s">
        <v>1109</v>
      </c>
      <c r="C383" s="2"/>
      <c r="D383" s="2"/>
      <c r="E383" s="3" t="s">
        <v>1187</v>
      </c>
      <c r="F383" s="56">
        <v>5.73</v>
      </c>
      <c r="G383" s="3">
        <f>SUMIF(Tabela2[Código],Tabela6[[#This Row],[Código]],Tabela2[Saldo])</f>
        <v>3</v>
      </c>
      <c r="H383" s="3">
        <v>382</v>
      </c>
      <c r="K383" s="2"/>
      <c r="L383" s="2"/>
      <c r="M383" s="2"/>
      <c r="N383" s="2"/>
      <c r="O383" s="3"/>
      <c r="P383" s="56"/>
      <c r="Q383" s="3"/>
    </row>
    <row r="384" spans="1:17" x14ac:dyDescent="0.3">
      <c r="A384" s="2" t="s">
        <v>425</v>
      </c>
      <c r="B384" s="2" t="s">
        <v>1110</v>
      </c>
      <c r="C384" s="2"/>
      <c r="D384" s="2"/>
      <c r="E384" s="3" t="s">
        <v>1187</v>
      </c>
      <c r="F384" s="56">
        <v>18.68</v>
      </c>
      <c r="G384" s="3">
        <f>SUMIF(Tabela2[Código],Tabela6[[#This Row],[Código]],Tabela2[Saldo])</f>
        <v>1</v>
      </c>
      <c r="H384" s="2">
        <v>383</v>
      </c>
      <c r="K384" s="2"/>
      <c r="L384" s="2"/>
      <c r="M384" s="2"/>
      <c r="N384" s="2"/>
      <c r="O384" s="3"/>
      <c r="P384" s="56"/>
      <c r="Q384" s="3"/>
    </row>
    <row r="385" spans="1:17" x14ac:dyDescent="0.3">
      <c r="A385" s="2" t="s">
        <v>426</v>
      </c>
      <c r="B385" s="2" t="s">
        <v>1111</v>
      </c>
      <c r="C385" s="2"/>
      <c r="D385" s="2"/>
      <c r="E385" s="3" t="s">
        <v>1187</v>
      </c>
      <c r="F385" s="56">
        <v>134.05000000000001</v>
      </c>
      <c r="G385" s="3">
        <f>SUMIF(Tabela2[Código],Tabela6[[#This Row],[Código]],Tabela2[Saldo])</f>
        <v>2</v>
      </c>
      <c r="H385" s="2">
        <v>384</v>
      </c>
      <c r="K385" s="2"/>
      <c r="L385" s="2"/>
      <c r="M385" s="2"/>
      <c r="N385" s="2"/>
      <c r="O385" s="3"/>
      <c r="P385" s="56"/>
      <c r="Q385" s="3"/>
    </row>
    <row r="386" spans="1:17" x14ac:dyDescent="0.3">
      <c r="A386" s="2" t="s">
        <v>427</v>
      </c>
      <c r="B386" s="2" t="s">
        <v>1112</v>
      </c>
      <c r="C386" s="2"/>
      <c r="D386" s="2"/>
      <c r="E386" s="3" t="s">
        <v>1188</v>
      </c>
      <c r="F386" s="56">
        <v>5.92</v>
      </c>
      <c r="G386" s="3">
        <f>SUMIF(Tabela2[Código],Tabela6[[#This Row],[Código]],Tabela2[Saldo])</f>
        <v>1</v>
      </c>
      <c r="H386" s="3">
        <v>385</v>
      </c>
      <c r="K386" s="2"/>
      <c r="L386" s="2"/>
      <c r="M386" s="2"/>
      <c r="N386" s="2"/>
      <c r="O386" s="3"/>
      <c r="P386" s="56"/>
      <c r="Q386" s="3"/>
    </row>
    <row r="387" spans="1:17" x14ac:dyDescent="0.3">
      <c r="A387" s="2" t="s">
        <v>428</v>
      </c>
      <c r="B387" s="2" t="s">
        <v>1113</v>
      </c>
      <c r="C387" s="2"/>
      <c r="D387" s="2"/>
      <c r="E387" s="3" t="s">
        <v>1188</v>
      </c>
      <c r="F387" s="56">
        <v>11.09</v>
      </c>
      <c r="G387" s="3">
        <f>SUMIF(Tabela2[Código],Tabela6[[#This Row],[Código]],Tabela2[Saldo])</f>
        <v>1</v>
      </c>
      <c r="H387" s="2">
        <v>386</v>
      </c>
      <c r="K387" s="2"/>
      <c r="L387" s="2"/>
      <c r="M387" s="2"/>
      <c r="N387" s="2"/>
      <c r="O387" s="3"/>
      <c r="P387" s="56"/>
      <c r="Q387" s="3"/>
    </row>
    <row r="388" spans="1:17" x14ac:dyDescent="0.3">
      <c r="A388" s="2" t="s">
        <v>429</v>
      </c>
      <c r="B388" s="2" t="s">
        <v>1114</v>
      </c>
      <c r="C388" s="2"/>
      <c r="D388" s="2"/>
      <c r="E388" s="3" t="s">
        <v>1189</v>
      </c>
      <c r="F388" s="56">
        <v>16.18</v>
      </c>
      <c r="G388" s="3">
        <f>SUMIF(Tabela2[Código],Tabela6[[#This Row],[Código]],Tabela2[Saldo])</f>
        <v>4</v>
      </c>
      <c r="H388" s="2">
        <v>387</v>
      </c>
      <c r="K388" s="2"/>
      <c r="L388" s="2"/>
      <c r="M388" s="2"/>
      <c r="N388" s="2"/>
      <c r="O388" s="3"/>
      <c r="P388" s="56"/>
      <c r="Q388" s="3"/>
    </row>
    <row r="389" spans="1:17" x14ac:dyDescent="0.3">
      <c r="A389" s="2" t="s">
        <v>430</v>
      </c>
      <c r="B389" s="2" t="s">
        <v>1115</v>
      </c>
      <c r="C389" s="2"/>
      <c r="D389" s="2"/>
      <c r="E389" s="3" t="s">
        <v>1190</v>
      </c>
      <c r="F389" s="56">
        <v>49</v>
      </c>
      <c r="G389" s="3">
        <f>SUMIF(Tabela2[Código],Tabela6[[#This Row],[Código]],Tabela2[Saldo])</f>
        <v>1</v>
      </c>
      <c r="H389" s="3">
        <v>388</v>
      </c>
      <c r="K389" s="2"/>
      <c r="L389" s="2"/>
      <c r="M389" s="2"/>
      <c r="N389" s="2"/>
      <c r="O389" s="3"/>
      <c r="P389" s="56"/>
      <c r="Q389" s="3"/>
    </row>
    <row r="390" spans="1:17" x14ac:dyDescent="0.3">
      <c r="A390" s="36" t="s">
        <v>431</v>
      </c>
      <c r="B390" s="36" t="s">
        <v>1116</v>
      </c>
      <c r="C390" s="36"/>
      <c r="D390" s="36"/>
      <c r="E390" s="3" t="s">
        <v>1191</v>
      </c>
      <c r="F390" s="56">
        <v>53.8</v>
      </c>
      <c r="G390" s="3">
        <f>SUMIF(Tabela2[Código],Tabela6[[#This Row],[Código]],Tabela2[Saldo])</f>
        <v>0.3</v>
      </c>
      <c r="H390" s="2">
        <v>389</v>
      </c>
      <c r="K390" s="36"/>
      <c r="L390" s="36"/>
      <c r="M390" s="36"/>
      <c r="N390" s="36"/>
      <c r="O390" s="3"/>
      <c r="P390" s="56"/>
      <c r="Q390" s="3"/>
    </row>
    <row r="391" spans="1:17" x14ac:dyDescent="0.3">
      <c r="A391" s="2" t="s">
        <v>432</v>
      </c>
      <c r="B391" s="2" t="s">
        <v>1117</v>
      </c>
      <c r="C391" s="2"/>
      <c r="D391" s="2"/>
      <c r="E391" s="3" t="s">
        <v>1191</v>
      </c>
      <c r="F391" s="56">
        <v>5.84</v>
      </c>
      <c r="G391" s="3">
        <f>SUMIF(Tabela2[Código],Tabela6[[#This Row],[Código]],Tabela2[Saldo])</f>
        <v>1</v>
      </c>
      <c r="H391" s="2">
        <v>390</v>
      </c>
      <c r="K391" s="2"/>
      <c r="L391" s="2"/>
      <c r="M391" s="2"/>
      <c r="N391" s="2"/>
      <c r="O391" s="3"/>
      <c r="P391" s="56"/>
      <c r="Q391" s="3"/>
    </row>
    <row r="392" spans="1:17" x14ac:dyDescent="0.3">
      <c r="A392" s="2" t="s">
        <v>433</v>
      </c>
      <c r="B392" s="2" t="s">
        <v>1118</v>
      </c>
      <c r="C392" s="2"/>
      <c r="D392" s="2"/>
      <c r="E392" s="3" t="s">
        <v>1192</v>
      </c>
      <c r="F392" s="56">
        <v>0.61</v>
      </c>
      <c r="G392" s="3">
        <f>SUMIF(Tabela2[Código],Tabela6[[#This Row],[Código]],Tabela2[Saldo])</f>
        <v>100</v>
      </c>
      <c r="H392" s="3">
        <v>391</v>
      </c>
      <c r="K392" s="2"/>
      <c r="L392" s="2"/>
      <c r="M392" s="2"/>
      <c r="N392" s="2"/>
      <c r="O392" s="3"/>
      <c r="P392" s="56"/>
      <c r="Q392" s="3"/>
    </row>
    <row r="393" spans="1:17" x14ac:dyDescent="0.3">
      <c r="A393" s="2" t="s">
        <v>434</v>
      </c>
      <c r="B393" s="2" t="s">
        <v>1119</v>
      </c>
      <c r="C393" s="2"/>
      <c r="D393" s="2"/>
      <c r="E393" s="3" t="s">
        <v>1193</v>
      </c>
      <c r="F393" s="56">
        <v>8.5</v>
      </c>
      <c r="G393" s="3">
        <f>SUMIF(Tabela2[Código],Tabela6[[#This Row],[Código]],Tabela2[Saldo])</f>
        <v>0</v>
      </c>
      <c r="H393" s="2">
        <v>392</v>
      </c>
      <c r="K393" s="2"/>
      <c r="L393" s="2"/>
      <c r="M393" s="2"/>
      <c r="N393" s="2"/>
      <c r="O393" s="3"/>
      <c r="P393" s="56"/>
      <c r="Q393" s="3"/>
    </row>
    <row r="394" spans="1:17" x14ac:dyDescent="0.3">
      <c r="A394" s="2" t="s">
        <v>435</v>
      </c>
      <c r="B394" s="2" t="s">
        <v>1120</v>
      </c>
      <c r="C394" s="2"/>
      <c r="D394" s="2"/>
      <c r="E394" s="3" t="s">
        <v>1194</v>
      </c>
      <c r="F394" s="56">
        <v>1.26</v>
      </c>
      <c r="G394" s="3">
        <f>SUMIF(Tabela2[Código],Tabela6[[#This Row],[Código]],Tabela2[Saldo])</f>
        <v>55</v>
      </c>
      <c r="H394" s="2">
        <v>393</v>
      </c>
      <c r="K394" s="2"/>
      <c r="L394" s="2"/>
      <c r="M394" s="2"/>
      <c r="N394" s="2"/>
      <c r="O394" s="3"/>
      <c r="P394" s="56"/>
      <c r="Q394" s="3"/>
    </row>
    <row r="395" spans="1:17" x14ac:dyDescent="0.3">
      <c r="A395" s="2" t="s">
        <v>436</v>
      </c>
      <c r="B395" s="2" t="s">
        <v>1121</v>
      </c>
      <c r="C395" s="2"/>
      <c r="D395" s="2"/>
      <c r="E395" s="3" t="s">
        <v>1194</v>
      </c>
      <c r="F395" s="56">
        <v>0.49</v>
      </c>
      <c r="G395" s="3">
        <f>SUMIF(Tabela2[Código],Tabela6[[#This Row],[Código]],Tabela2[Saldo])</f>
        <v>50</v>
      </c>
      <c r="H395" s="3">
        <v>394</v>
      </c>
      <c r="K395" s="2"/>
      <c r="L395" s="2"/>
      <c r="M395" s="2"/>
      <c r="N395" s="2"/>
      <c r="O395" s="3"/>
      <c r="P395" s="56"/>
      <c r="Q395" s="3"/>
    </row>
    <row r="396" spans="1:17" x14ac:dyDescent="0.3">
      <c r="A396" s="2" t="s">
        <v>437</v>
      </c>
      <c r="B396" s="2" t="s">
        <v>1122</v>
      </c>
      <c r="C396" s="2"/>
      <c r="D396" s="2"/>
      <c r="E396" s="3" t="s">
        <v>1194</v>
      </c>
      <c r="F396" s="56">
        <v>0.01</v>
      </c>
      <c r="G396" s="3">
        <f>SUMIF(Tabela2[Código],Tabela6[[#This Row],[Código]],Tabela2[Saldo])</f>
        <v>120</v>
      </c>
      <c r="H396" s="2">
        <v>395</v>
      </c>
      <c r="K396" s="2"/>
      <c r="L396" s="2"/>
      <c r="M396" s="2"/>
      <c r="N396" s="2"/>
      <c r="O396" s="3"/>
      <c r="P396" s="56"/>
      <c r="Q396" s="3"/>
    </row>
    <row r="397" spans="1:17" x14ac:dyDescent="0.3">
      <c r="A397" s="2" t="s">
        <v>438</v>
      </c>
      <c r="B397" s="2" t="s">
        <v>1123</v>
      </c>
      <c r="C397" s="2"/>
      <c r="D397" s="2"/>
      <c r="E397" s="3" t="s">
        <v>1194</v>
      </c>
      <c r="F397" s="56">
        <v>3.26</v>
      </c>
      <c r="G397" s="3">
        <f>SUMIF(Tabela2[Código],Tabela6[[#This Row],[Código]],Tabela2[Saldo])</f>
        <v>50</v>
      </c>
      <c r="H397" s="2">
        <v>396</v>
      </c>
      <c r="K397" s="2"/>
      <c r="L397" s="2"/>
      <c r="M397" s="2"/>
      <c r="N397" s="2"/>
      <c r="O397" s="3"/>
      <c r="P397" s="56"/>
      <c r="Q397" s="3"/>
    </row>
    <row r="398" spans="1:17" x14ac:dyDescent="0.3">
      <c r="A398" s="2" t="s">
        <v>439</v>
      </c>
      <c r="B398" s="2" t="s">
        <v>1124</v>
      </c>
      <c r="C398" s="2"/>
      <c r="D398" s="2"/>
      <c r="E398" s="3" t="s">
        <v>1194</v>
      </c>
      <c r="F398" s="56">
        <v>12.78</v>
      </c>
      <c r="G398" s="3">
        <f>SUMIF(Tabela2[Código],Tabela6[[#This Row],[Código]],Tabela2[Saldo])</f>
        <v>1</v>
      </c>
      <c r="H398" s="3">
        <v>397</v>
      </c>
      <c r="K398" s="2"/>
      <c r="L398" s="2"/>
      <c r="M398" s="2"/>
      <c r="N398" s="2"/>
      <c r="O398" s="3"/>
      <c r="P398" s="56"/>
      <c r="Q398" s="3"/>
    </row>
    <row r="399" spans="1:17" x14ac:dyDescent="0.3">
      <c r="A399" s="2" t="s">
        <v>440</v>
      </c>
      <c r="B399" s="2" t="s">
        <v>1125</v>
      </c>
      <c r="C399" s="2"/>
      <c r="D399" s="2"/>
      <c r="E399" s="3" t="s">
        <v>1194</v>
      </c>
      <c r="F399" s="56">
        <v>7.74</v>
      </c>
      <c r="G399" s="3">
        <f>SUMIF(Tabela2[Código],Tabela6[[#This Row],[Código]],Tabela2[Saldo])</f>
        <v>1</v>
      </c>
      <c r="H399" s="2">
        <v>398</v>
      </c>
      <c r="K399" s="2"/>
      <c r="L399" s="2"/>
      <c r="M399" s="2"/>
      <c r="N399" s="2"/>
      <c r="O399" s="3"/>
      <c r="P399" s="56"/>
      <c r="Q399" s="3"/>
    </row>
    <row r="400" spans="1:17" x14ac:dyDescent="0.3">
      <c r="A400" s="2" t="s">
        <v>441</v>
      </c>
      <c r="B400" s="2" t="s">
        <v>1126</v>
      </c>
      <c r="C400" s="2"/>
      <c r="D400" s="2"/>
      <c r="E400" s="3" t="s">
        <v>1194</v>
      </c>
      <c r="F400" s="56">
        <v>5.49</v>
      </c>
      <c r="G400" s="3">
        <f>SUMIF(Tabela2[Código],Tabela6[[#This Row],[Código]],Tabela2[Saldo])</f>
        <v>3</v>
      </c>
      <c r="H400" s="2">
        <v>399</v>
      </c>
      <c r="K400" s="2"/>
      <c r="L400" s="2"/>
      <c r="M400" s="2"/>
      <c r="N400" s="2"/>
      <c r="O400" s="3"/>
      <c r="P400" s="56"/>
      <c r="Q400" s="3"/>
    </row>
    <row r="401" spans="1:17" x14ac:dyDescent="0.3">
      <c r="A401" s="2" t="s">
        <v>442</v>
      </c>
      <c r="B401" s="2" t="s">
        <v>1127</v>
      </c>
      <c r="C401" s="2"/>
      <c r="D401" s="2"/>
      <c r="E401" s="3" t="s">
        <v>1194</v>
      </c>
      <c r="F401" s="56">
        <v>42.5</v>
      </c>
      <c r="G401" s="3">
        <f>SUMIF(Tabela2[Código],Tabela6[[#This Row],[Código]],Tabela2[Saldo])</f>
        <v>2</v>
      </c>
      <c r="H401" s="3">
        <v>400</v>
      </c>
      <c r="K401" s="2"/>
      <c r="L401" s="2"/>
      <c r="M401" s="2"/>
      <c r="N401" s="2"/>
      <c r="O401" s="3"/>
      <c r="P401" s="56"/>
      <c r="Q401" s="3"/>
    </row>
    <row r="402" spans="1:17" x14ac:dyDescent="0.3">
      <c r="A402" s="2" t="s">
        <v>443</v>
      </c>
      <c r="B402" s="2" t="s">
        <v>1128</v>
      </c>
      <c r="C402" s="2"/>
      <c r="D402" s="2"/>
      <c r="E402" s="3" t="s">
        <v>1194</v>
      </c>
      <c r="F402" s="56">
        <v>25.08</v>
      </c>
      <c r="G402" s="3">
        <f>SUMIF(Tabela2[Código],Tabela6[[#This Row],[Código]],Tabela2[Saldo])</f>
        <v>0.5</v>
      </c>
      <c r="H402" s="2">
        <v>401</v>
      </c>
      <c r="K402" s="2"/>
      <c r="L402" s="2"/>
      <c r="M402" s="2"/>
      <c r="N402" s="2"/>
      <c r="O402" s="3"/>
      <c r="P402" s="56"/>
      <c r="Q402" s="3"/>
    </row>
    <row r="403" spans="1:17" x14ac:dyDescent="0.3">
      <c r="A403" s="2" t="s">
        <v>444</v>
      </c>
      <c r="B403" s="2" t="s">
        <v>1129</v>
      </c>
      <c r="C403" s="2"/>
      <c r="D403" s="2"/>
      <c r="E403" s="3" t="s">
        <v>1194</v>
      </c>
      <c r="F403" s="56">
        <v>7.69</v>
      </c>
      <c r="G403" s="3">
        <f>SUMIF(Tabela2[Código],Tabela6[[#This Row],[Código]],Tabela2[Saldo])</f>
        <v>1</v>
      </c>
      <c r="H403" s="2">
        <v>402</v>
      </c>
      <c r="K403" s="2"/>
      <c r="L403" s="2"/>
      <c r="M403" s="2"/>
      <c r="N403" s="2"/>
      <c r="O403" s="3"/>
      <c r="P403" s="56"/>
      <c r="Q403" s="3"/>
    </row>
    <row r="404" spans="1:17" x14ac:dyDescent="0.3">
      <c r="A404" s="2" t="s">
        <v>445</v>
      </c>
      <c r="B404" s="2" t="s">
        <v>1130</v>
      </c>
      <c r="C404" s="2"/>
      <c r="D404" s="2"/>
      <c r="E404" s="3" t="s">
        <v>1194</v>
      </c>
      <c r="F404" s="56">
        <v>0.01</v>
      </c>
      <c r="G404" s="3">
        <f>SUMIF(Tabela2[Código],Tabela6[[#This Row],[Código]],Tabela2[Saldo])</f>
        <v>1</v>
      </c>
      <c r="H404" s="3">
        <v>403</v>
      </c>
      <c r="K404" s="2"/>
      <c r="L404" s="2"/>
      <c r="M404" s="2"/>
      <c r="N404" s="2"/>
      <c r="O404" s="3"/>
      <c r="P404" s="56"/>
      <c r="Q404" s="3"/>
    </row>
    <row r="405" spans="1:17" x14ac:dyDescent="0.3">
      <c r="A405" s="2" t="s">
        <v>446</v>
      </c>
      <c r="B405" s="2" t="s">
        <v>1131</v>
      </c>
      <c r="C405" s="2"/>
      <c r="D405" s="2"/>
      <c r="E405" s="3" t="s">
        <v>1194</v>
      </c>
      <c r="F405" s="56">
        <v>0.01</v>
      </c>
      <c r="G405" s="3">
        <f>SUMIF(Tabela2[Código],Tabela6[[#This Row],[Código]],Tabela2[Saldo])</f>
        <v>2</v>
      </c>
      <c r="H405" s="2">
        <v>404</v>
      </c>
      <c r="K405" s="2"/>
      <c r="L405" s="2"/>
      <c r="M405" s="2"/>
      <c r="N405" s="2"/>
      <c r="O405" s="3"/>
      <c r="P405" s="56"/>
      <c r="Q405" s="3"/>
    </row>
    <row r="406" spans="1:17" x14ac:dyDescent="0.3">
      <c r="A406" s="2" t="s">
        <v>447</v>
      </c>
      <c r="B406" s="2" t="s">
        <v>1132</v>
      </c>
      <c r="C406" s="2"/>
      <c r="D406" s="2"/>
      <c r="E406" s="3" t="s">
        <v>1194</v>
      </c>
      <c r="F406" s="56">
        <v>0.01</v>
      </c>
      <c r="G406" s="3">
        <f>SUMIF(Tabela2[Código],Tabela6[[#This Row],[Código]],Tabela2[Saldo])</f>
        <v>1</v>
      </c>
      <c r="H406" s="2">
        <v>405</v>
      </c>
      <c r="K406" s="2"/>
      <c r="L406" s="2"/>
      <c r="M406" s="2"/>
      <c r="N406" s="2"/>
      <c r="O406" s="3"/>
      <c r="P406" s="56"/>
      <c r="Q406" s="3"/>
    </row>
    <row r="407" spans="1:17" x14ac:dyDescent="0.3">
      <c r="A407" s="2" t="s">
        <v>448</v>
      </c>
      <c r="B407" s="2" t="s">
        <v>1133</v>
      </c>
      <c r="C407" s="2"/>
      <c r="D407" s="2"/>
      <c r="E407" s="3" t="s">
        <v>1194</v>
      </c>
      <c r="F407" s="56">
        <v>590</v>
      </c>
      <c r="G407" s="3">
        <f>SUMIF(Tabela2[Código],Tabela6[[#This Row],[Código]],Tabela2[Saldo])</f>
        <v>2</v>
      </c>
      <c r="H407" s="3">
        <v>406</v>
      </c>
      <c r="K407" s="2"/>
      <c r="L407" s="2"/>
      <c r="M407" s="2"/>
      <c r="N407" s="2"/>
      <c r="O407" s="3"/>
      <c r="P407" s="56"/>
      <c r="Q407" s="3"/>
    </row>
    <row r="408" spans="1:17" x14ac:dyDescent="0.3">
      <c r="A408" s="2" t="s">
        <v>449</v>
      </c>
      <c r="B408" s="2" t="s">
        <v>1134</v>
      </c>
      <c r="C408" s="2"/>
      <c r="D408" s="2"/>
      <c r="E408" s="3" t="s">
        <v>1194</v>
      </c>
      <c r="F408" s="56">
        <v>2.81</v>
      </c>
      <c r="G408" s="3">
        <f>SUMIF(Tabela2[Código],Tabela6[[#This Row],[Código]],Tabela2[Saldo])</f>
        <v>0</v>
      </c>
      <c r="H408" s="2">
        <v>407</v>
      </c>
      <c r="K408" s="2"/>
      <c r="L408" s="2"/>
      <c r="M408" s="2"/>
      <c r="N408" s="2"/>
      <c r="O408" s="3"/>
      <c r="P408" s="56"/>
      <c r="Q408" s="3"/>
    </row>
    <row r="409" spans="1:17" x14ac:dyDescent="0.3">
      <c r="A409" s="2" t="s">
        <v>450</v>
      </c>
      <c r="B409" s="2" t="s">
        <v>1135</v>
      </c>
      <c r="C409" s="2"/>
      <c r="D409" s="2"/>
      <c r="E409" s="3" t="s">
        <v>1194</v>
      </c>
      <c r="F409" s="56">
        <v>3.11</v>
      </c>
      <c r="G409" s="3">
        <f>SUMIF(Tabela2[Código],Tabela6[[#This Row],[Código]],Tabela2[Saldo])</f>
        <v>1</v>
      </c>
      <c r="H409" s="2">
        <v>408</v>
      </c>
      <c r="K409" s="2"/>
      <c r="L409" s="2"/>
      <c r="M409" s="2"/>
      <c r="N409" s="2"/>
      <c r="O409" s="3"/>
      <c r="P409" s="56"/>
      <c r="Q409" s="3"/>
    </row>
    <row r="410" spans="1:17" x14ac:dyDescent="0.3">
      <c r="A410" s="2" t="s">
        <v>451</v>
      </c>
      <c r="B410" s="2" t="s">
        <v>1136</v>
      </c>
      <c r="C410" s="2"/>
      <c r="D410" s="2"/>
      <c r="E410" s="3" t="s">
        <v>1194</v>
      </c>
      <c r="F410" s="56">
        <v>3.11</v>
      </c>
      <c r="G410" s="3">
        <f>SUMIF(Tabela2[Código],Tabela6[[#This Row],[Código]],Tabela2[Saldo])</f>
        <v>0.5</v>
      </c>
      <c r="H410" s="3">
        <v>409</v>
      </c>
      <c r="K410" s="2"/>
      <c r="L410" s="2"/>
      <c r="M410" s="2"/>
      <c r="N410" s="2"/>
      <c r="O410" s="3"/>
      <c r="P410" s="56"/>
      <c r="Q410" s="3"/>
    </row>
    <row r="411" spans="1:17" x14ac:dyDescent="0.3">
      <c r="A411" s="2" t="s">
        <v>452</v>
      </c>
      <c r="B411" s="2" t="s">
        <v>729</v>
      </c>
      <c r="C411" s="2"/>
      <c r="D411" s="2"/>
      <c r="E411" s="3" t="s">
        <v>1137</v>
      </c>
      <c r="F411" s="56">
        <v>2.39</v>
      </c>
      <c r="G411" s="3">
        <f>SUMIF(Tabela2[Código],Tabela6[[#This Row],[Código]],Tabela2[Saldo])</f>
        <v>1</v>
      </c>
      <c r="H411" s="2">
        <v>410</v>
      </c>
      <c r="K411" s="2"/>
      <c r="L411" s="2"/>
      <c r="M411" s="2"/>
      <c r="N411" s="2"/>
      <c r="O411" s="3"/>
      <c r="P411" s="56"/>
      <c r="Q411" s="3"/>
    </row>
    <row r="412" spans="1:17" x14ac:dyDescent="0.3">
      <c r="A412" s="2" t="s">
        <v>453</v>
      </c>
      <c r="B412" s="2" t="s">
        <v>730</v>
      </c>
      <c r="C412" s="2"/>
      <c r="D412" s="2"/>
      <c r="E412" s="3" t="s">
        <v>1137</v>
      </c>
      <c r="F412" s="56">
        <v>2.59</v>
      </c>
      <c r="G412" s="3">
        <f>SUMIF(Tabela2[Código],Tabela6[[#This Row],[Código]],Tabela2[Saldo])</f>
        <v>1.5</v>
      </c>
      <c r="H412" s="2">
        <v>411</v>
      </c>
      <c r="K412" s="2"/>
      <c r="L412" s="2"/>
      <c r="M412" s="2"/>
      <c r="N412" s="2"/>
      <c r="O412" s="3"/>
      <c r="P412" s="56"/>
      <c r="Q412" s="3"/>
    </row>
    <row r="413" spans="1:17" x14ac:dyDescent="0.3">
      <c r="A413" s="2" t="s">
        <v>454</v>
      </c>
      <c r="B413" s="2" t="s">
        <v>729</v>
      </c>
      <c r="C413" s="2"/>
      <c r="D413" s="2"/>
      <c r="E413" s="3" t="s">
        <v>1137</v>
      </c>
      <c r="F413" s="56">
        <v>40.090000000000003</v>
      </c>
      <c r="G413" s="3">
        <f>SUMIF(Tabela2[Código],Tabela6[[#This Row],[Código]],Tabela2[Saldo])</f>
        <v>1</v>
      </c>
      <c r="H413" s="3">
        <v>412</v>
      </c>
      <c r="K413" s="2"/>
      <c r="L413" s="2"/>
      <c r="M413" s="2"/>
      <c r="N413" s="2"/>
      <c r="O413" s="3"/>
      <c r="P413" s="56"/>
      <c r="Q413" s="3"/>
    </row>
    <row r="414" spans="1:17" x14ac:dyDescent="0.3">
      <c r="A414" s="2" t="s">
        <v>455</v>
      </c>
      <c r="B414" s="2" t="s">
        <v>731</v>
      </c>
      <c r="C414" s="2"/>
      <c r="E414" s="3" t="s">
        <v>1137</v>
      </c>
      <c r="F414" s="56">
        <v>2.97</v>
      </c>
      <c r="G414" s="3">
        <f>SUMIF(Tabela2[Código],Tabela6[[#This Row],[Código]],Tabela2[Saldo])</f>
        <v>217</v>
      </c>
      <c r="H414" s="2">
        <v>413</v>
      </c>
      <c r="K414" s="2"/>
      <c r="L414" s="2"/>
      <c r="M414" s="2"/>
      <c r="O414" s="3"/>
      <c r="P414" s="56"/>
      <c r="Q414" s="3"/>
    </row>
    <row r="415" spans="1:17" x14ac:dyDescent="0.3">
      <c r="A415" s="2" t="s">
        <v>456</v>
      </c>
      <c r="B415" s="2" t="s">
        <v>732</v>
      </c>
      <c r="C415" s="2"/>
      <c r="E415" s="3" t="s">
        <v>1137</v>
      </c>
      <c r="F415" s="56">
        <v>3.06</v>
      </c>
      <c r="G415" s="3">
        <f>SUMIF(Tabela2[Código],Tabela6[[#This Row],[Código]],Tabela2[Saldo])</f>
        <v>297</v>
      </c>
      <c r="H415" s="2">
        <v>414</v>
      </c>
      <c r="K415" s="2"/>
      <c r="L415" s="2"/>
      <c r="M415" s="2"/>
      <c r="O415" s="3"/>
      <c r="P415" s="56"/>
      <c r="Q415" s="3"/>
    </row>
    <row r="416" spans="1:17" x14ac:dyDescent="0.3">
      <c r="A416" s="2" t="s">
        <v>457</v>
      </c>
      <c r="B416" s="2" t="s">
        <v>733</v>
      </c>
      <c r="C416" s="2"/>
      <c r="D416" s="2"/>
      <c r="E416" s="3" t="s">
        <v>1137</v>
      </c>
      <c r="F416" s="56">
        <v>1.7</v>
      </c>
      <c r="G416" s="3">
        <f>SUMIF(Tabela2[Código],Tabela6[[#This Row],[Código]],Tabela2[Saldo])</f>
        <v>0.5</v>
      </c>
      <c r="H416" s="3">
        <v>415</v>
      </c>
      <c r="K416" s="2"/>
      <c r="L416" s="2"/>
      <c r="M416" s="2"/>
      <c r="N416" s="2"/>
      <c r="O416" s="3"/>
      <c r="P416" s="56"/>
      <c r="Q416" s="3"/>
    </row>
    <row r="417" spans="1:17" x14ac:dyDescent="0.3">
      <c r="A417" s="2" t="s">
        <v>458</v>
      </c>
      <c r="B417" s="2" t="s">
        <v>734</v>
      </c>
      <c r="C417" s="2"/>
      <c r="D417" s="2"/>
      <c r="E417" s="3" t="s">
        <v>1137</v>
      </c>
      <c r="F417" s="56">
        <v>0.01</v>
      </c>
      <c r="G417" s="3">
        <f>SUMIF(Tabela2[Código],Tabela6[[#This Row],[Código]],Tabela2[Saldo])</f>
        <v>68</v>
      </c>
      <c r="H417" s="2">
        <v>416</v>
      </c>
      <c r="K417" s="2"/>
      <c r="L417" s="2"/>
      <c r="M417" s="2"/>
      <c r="N417" s="2"/>
      <c r="O417" s="3"/>
      <c r="P417" s="56"/>
      <c r="Q417" s="3"/>
    </row>
    <row r="418" spans="1:17" x14ac:dyDescent="0.3">
      <c r="A418" s="2" t="s">
        <v>459</v>
      </c>
      <c r="B418" s="2" t="s">
        <v>735</v>
      </c>
      <c r="C418" s="2"/>
      <c r="D418" s="2"/>
      <c r="E418" s="3" t="s">
        <v>1137</v>
      </c>
      <c r="F418" s="56">
        <v>0.01</v>
      </c>
      <c r="G418" s="3">
        <f>SUMIF(Tabela2[Código],Tabela6[[#This Row],[Código]],Tabela2[Saldo])</f>
        <v>24</v>
      </c>
      <c r="H418" s="2">
        <v>417</v>
      </c>
      <c r="K418" s="2"/>
      <c r="L418" s="2"/>
      <c r="M418" s="2"/>
      <c r="N418" s="2"/>
      <c r="O418" s="3"/>
      <c r="P418" s="56"/>
      <c r="Q418" s="3"/>
    </row>
    <row r="419" spans="1:17" x14ac:dyDescent="0.3">
      <c r="A419" s="2" t="s">
        <v>460</v>
      </c>
      <c r="B419" s="2" t="s">
        <v>736</v>
      </c>
      <c r="C419" s="2"/>
      <c r="D419" s="2"/>
      <c r="E419" s="3" t="s">
        <v>1138</v>
      </c>
      <c r="F419" s="56">
        <v>0.01</v>
      </c>
      <c r="G419" s="3">
        <f>SUMIF(Tabela2[Código],Tabela6[[#This Row],[Código]],Tabela2[Saldo])</f>
        <v>61</v>
      </c>
      <c r="H419" s="3">
        <v>418</v>
      </c>
      <c r="K419" s="2"/>
      <c r="L419" s="2"/>
      <c r="M419" s="2"/>
      <c r="N419" s="2"/>
      <c r="O419" s="3"/>
      <c r="P419" s="56"/>
      <c r="Q419" s="3"/>
    </row>
    <row r="420" spans="1:17" x14ac:dyDescent="0.3">
      <c r="A420" s="2" t="s">
        <v>461</v>
      </c>
      <c r="B420" s="2" t="s">
        <v>737</v>
      </c>
      <c r="C420" s="2"/>
      <c r="D420" s="2"/>
      <c r="E420" s="3" t="s">
        <v>1138</v>
      </c>
      <c r="F420" s="56">
        <v>0.01</v>
      </c>
      <c r="G420" s="3">
        <f>SUMIF(Tabela2[Código],Tabela6[[#This Row],[Código]],Tabela2[Saldo])</f>
        <v>26</v>
      </c>
      <c r="H420" s="2">
        <v>419</v>
      </c>
      <c r="K420" s="2"/>
      <c r="L420" s="2"/>
      <c r="M420" s="2"/>
      <c r="N420" s="2"/>
      <c r="O420" s="3"/>
      <c r="P420" s="56"/>
      <c r="Q420" s="3"/>
    </row>
    <row r="421" spans="1:17" x14ac:dyDescent="0.3">
      <c r="A421" s="2" t="s">
        <v>462</v>
      </c>
      <c r="B421" s="2" t="s">
        <v>738</v>
      </c>
      <c r="C421" s="2"/>
      <c r="D421" s="2"/>
      <c r="E421" s="3" t="s">
        <v>1138</v>
      </c>
      <c r="F421" s="56">
        <v>0.01</v>
      </c>
      <c r="G421" s="3">
        <f>SUMIF(Tabela2[Código],Tabela6[[#This Row],[Código]],Tabela2[Saldo])</f>
        <v>19</v>
      </c>
      <c r="H421" s="2">
        <v>420</v>
      </c>
      <c r="K421" s="2"/>
      <c r="L421" s="2"/>
      <c r="M421" s="2"/>
      <c r="N421" s="2"/>
      <c r="O421" s="3"/>
      <c r="P421" s="56"/>
      <c r="Q421" s="3"/>
    </row>
    <row r="422" spans="1:17" x14ac:dyDescent="0.3">
      <c r="A422" s="2" t="s">
        <v>463</v>
      </c>
      <c r="B422" s="2" t="s">
        <v>739</v>
      </c>
      <c r="C422" s="2"/>
      <c r="D422" s="2"/>
      <c r="E422" s="3" t="s">
        <v>1138</v>
      </c>
      <c r="F422" s="56">
        <v>475.01</v>
      </c>
      <c r="G422" s="3">
        <f>SUMIF(Tabela2[Código],Tabela6[[#This Row],[Código]],Tabela2[Saldo])</f>
        <v>0.5</v>
      </c>
      <c r="H422" s="3">
        <v>421</v>
      </c>
      <c r="K422" s="2"/>
      <c r="L422" s="2"/>
      <c r="M422" s="2"/>
      <c r="N422" s="2"/>
      <c r="O422" s="3"/>
      <c r="P422" s="56"/>
      <c r="Q422" s="3"/>
    </row>
    <row r="423" spans="1:17" x14ac:dyDescent="0.3">
      <c r="A423" s="2" t="s">
        <v>464</v>
      </c>
      <c r="B423" s="2" t="s">
        <v>740</v>
      </c>
      <c r="C423" s="2"/>
      <c r="D423" s="2"/>
      <c r="E423" s="3" t="s">
        <v>1138</v>
      </c>
      <c r="F423" s="56">
        <v>0.01</v>
      </c>
      <c r="G423" s="3">
        <f>SUMIF(Tabela2[Código],Tabela6[[#This Row],[Código]],Tabela2[Saldo])</f>
        <v>1</v>
      </c>
      <c r="H423" s="2">
        <v>422</v>
      </c>
      <c r="K423" s="2"/>
      <c r="L423" s="2"/>
      <c r="M423" s="2"/>
      <c r="N423" s="2"/>
      <c r="O423" s="3"/>
      <c r="P423" s="56"/>
      <c r="Q423" s="3"/>
    </row>
    <row r="424" spans="1:17" x14ac:dyDescent="0.3">
      <c r="A424" s="2" t="s">
        <v>465</v>
      </c>
      <c r="B424" s="2" t="s">
        <v>741</v>
      </c>
      <c r="C424" s="2"/>
      <c r="D424" s="2"/>
      <c r="E424" s="3" t="s">
        <v>1138</v>
      </c>
      <c r="F424" s="56">
        <v>28.26</v>
      </c>
      <c r="G424" s="3">
        <f>SUMIF(Tabela2[Código],Tabela6[[#This Row],[Código]],Tabela2[Saldo])</f>
        <v>0</v>
      </c>
      <c r="H424" s="2">
        <v>423</v>
      </c>
      <c r="K424" s="2"/>
      <c r="L424" s="2"/>
      <c r="M424" s="2"/>
      <c r="N424" s="2"/>
      <c r="O424" s="3"/>
      <c r="P424" s="56"/>
      <c r="Q424" s="3"/>
    </row>
    <row r="425" spans="1:17" x14ac:dyDescent="0.3">
      <c r="A425" s="2" t="s">
        <v>466</v>
      </c>
      <c r="B425" s="2" t="s">
        <v>742</v>
      </c>
      <c r="C425" s="2"/>
      <c r="D425" s="2"/>
      <c r="E425" s="3" t="s">
        <v>1139</v>
      </c>
      <c r="F425" s="56">
        <v>0.01</v>
      </c>
      <c r="G425" s="3">
        <f>SUMIF(Tabela2[Código],Tabela6[[#This Row],[Código]],Tabela2[Saldo])</f>
        <v>1</v>
      </c>
      <c r="H425" s="3">
        <v>424</v>
      </c>
      <c r="K425" s="2"/>
      <c r="L425" s="2"/>
      <c r="M425" s="2"/>
      <c r="N425" s="2"/>
      <c r="O425" s="3"/>
      <c r="P425" s="56"/>
      <c r="Q425" s="3"/>
    </row>
    <row r="426" spans="1:17" x14ac:dyDescent="0.3">
      <c r="A426" s="2" t="s">
        <v>467</v>
      </c>
      <c r="B426" s="2" t="s">
        <v>743</v>
      </c>
      <c r="C426" s="2"/>
      <c r="D426" s="2"/>
      <c r="E426" s="3" t="s">
        <v>1140</v>
      </c>
      <c r="F426" s="56">
        <v>0.89</v>
      </c>
      <c r="G426" s="3">
        <f>SUMIF(Tabela2[Código],Tabela6[[#This Row],[Código]],Tabela2[Saldo])</f>
        <v>2</v>
      </c>
      <c r="H426" s="2">
        <v>425</v>
      </c>
      <c r="K426" s="2"/>
      <c r="L426" s="2"/>
      <c r="M426" s="2"/>
      <c r="N426" s="2"/>
      <c r="O426" s="3"/>
      <c r="P426" s="56"/>
      <c r="Q426" s="3"/>
    </row>
    <row r="427" spans="1:17" x14ac:dyDescent="0.3">
      <c r="A427" s="2" t="s">
        <v>468</v>
      </c>
      <c r="B427" s="2" t="s">
        <v>744</v>
      </c>
      <c r="C427" s="2"/>
      <c r="D427" s="2"/>
      <c r="E427" s="3" t="s">
        <v>1141</v>
      </c>
      <c r="F427" s="56">
        <v>6</v>
      </c>
      <c r="G427" s="3">
        <f>SUMIF(Tabela2[Código],Tabela6[[#This Row],[Código]],Tabela2[Saldo])</f>
        <v>0</v>
      </c>
      <c r="H427" s="2">
        <v>426</v>
      </c>
      <c r="K427" s="2"/>
      <c r="L427" s="2"/>
      <c r="M427" s="2"/>
      <c r="N427" s="2"/>
      <c r="O427" s="3"/>
      <c r="P427" s="56"/>
      <c r="Q427" s="3"/>
    </row>
    <row r="428" spans="1:17" x14ac:dyDescent="0.3">
      <c r="A428" s="2" t="s">
        <v>469</v>
      </c>
      <c r="B428" s="2" t="s">
        <v>745</v>
      </c>
      <c r="C428" s="2"/>
      <c r="D428" s="2"/>
      <c r="E428" s="3" t="s">
        <v>1141</v>
      </c>
      <c r="F428" s="56">
        <v>309.89999999999998</v>
      </c>
      <c r="G428" s="3">
        <f>SUMIF(Tabela2[Código],Tabela6[[#This Row],[Código]],Tabela2[Saldo])</f>
        <v>1</v>
      </c>
      <c r="H428" s="3">
        <v>427</v>
      </c>
      <c r="K428" s="2"/>
      <c r="L428" s="2"/>
      <c r="M428" s="2"/>
      <c r="N428" s="2"/>
      <c r="O428" s="3"/>
      <c r="P428" s="56"/>
      <c r="Q428" s="3"/>
    </row>
    <row r="429" spans="1:17" x14ac:dyDescent="0.3">
      <c r="A429" s="2" t="s">
        <v>470</v>
      </c>
      <c r="B429" s="2" t="s">
        <v>746</v>
      </c>
      <c r="C429" s="2"/>
      <c r="D429" s="2"/>
      <c r="E429" s="3" t="s">
        <v>1141</v>
      </c>
      <c r="F429" s="56">
        <v>34.9</v>
      </c>
      <c r="G429" s="3">
        <f>SUMIF(Tabela2[Código],Tabela6[[#This Row],[Código]],Tabela2[Saldo])</f>
        <v>1</v>
      </c>
      <c r="H429" s="2">
        <v>428</v>
      </c>
      <c r="K429" s="2"/>
      <c r="L429" s="2"/>
      <c r="M429" s="2"/>
      <c r="N429" s="2"/>
      <c r="O429" s="3"/>
      <c r="P429" s="56"/>
      <c r="Q429" s="3"/>
    </row>
    <row r="430" spans="1:17" x14ac:dyDescent="0.3">
      <c r="A430" s="2" t="s">
        <v>471</v>
      </c>
      <c r="B430" s="2" t="s">
        <v>747</v>
      </c>
      <c r="C430" s="2"/>
      <c r="D430" s="2"/>
      <c r="E430" s="3" t="s">
        <v>1142</v>
      </c>
      <c r="F430" s="56">
        <v>101.62</v>
      </c>
      <c r="G430" s="3">
        <f>SUMIF(Tabela2[Código],Tabela6[[#This Row],[Código]],Tabela2[Saldo])</f>
        <v>1</v>
      </c>
      <c r="H430" s="2">
        <v>429</v>
      </c>
      <c r="K430" s="2"/>
      <c r="L430" s="2"/>
      <c r="M430" s="2"/>
      <c r="N430" s="2"/>
      <c r="O430" s="3"/>
      <c r="P430" s="56"/>
      <c r="Q430" s="3"/>
    </row>
    <row r="431" spans="1:17" x14ac:dyDescent="0.3">
      <c r="A431" s="2" t="s">
        <v>472</v>
      </c>
      <c r="B431" s="2" t="s">
        <v>748</v>
      </c>
      <c r="C431" s="2"/>
      <c r="D431" s="2"/>
      <c r="E431" s="3" t="s">
        <v>1141</v>
      </c>
      <c r="F431" s="56">
        <v>45</v>
      </c>
      <c r="G431" s="3">
        <f>SUMIF(Tabela2[Código],Tabela6[[#This Row],[Código]],Tabela2[Saldo])</f>
        <v>0.7</v>
      </c>
      <c r="H431" s="3">
        <v>430</v>
      </c>
      <c r="K431" s="2"/>
      <c r="L431" s="2"/>
      <c r="M431" s="2"/>
      <c r="N431" s="2"/>
      <c r="O431" s="3"/>
      <c r="P431" s="56"/>
      <c r="Q431" s="3"/>
    </row>
    <row r="432" spans="1:17" x14ac:dyDescent="0.3">
      <c r="A432" s="2" t="s">
        <v>473</v>
      </c>
      <c r="B432" s="2" t="s">
        <v>749</v>
      </c>
      <c r="C432" s="2"/>
      <c r="D432" s="2"/>
      <c r="E432" s="3" t="s">
        <v>1143</v>
      </c>
      <c r="F432" s="56">
        <v>21.9</v>
      </c>
      <c r="G432" s="3">
        <f>SUMIF(Tabela2[Código],Tabela6[[#This Row],[Código]],Tabela2[Saldo])</f>
        <v>12</v>
      </c>
      <c r="H432" s="2">
        <v>431</v>
      </c>
      <c r="K432" s="2"/>
      <c r="L432" s="2"/>
      <c r="M432" s="2"/>
      <c r="N432" s="2"/>
      <c r="O432" s="3"/>
      <c r="P432" s="56"/>
      <c r="Q432" s="3"/>
    </row>
    <row r="433" spans="1:17" x14ac:dyDescent="0.3">
      <c r="A433" s="2" t="s">
        <v>474</v>
      </c>
      <c r="B433" s="2" t="s">
        <v>750</v>
      </c>
      <c r="C433" s="2"/>
      <c r="D433" s="2"/>
      <c r="E433" s="3" t="s">
        <v>1143</v>
      </c>
      <c r="F433" s="56">
        <v>7.2</v>
      </c>
      <c r="G433" s="3">
        <f>SUMIF(Tabela2[Código],Tabela6[[#This Row],[Código]],Tabela2[Saldo])</f>
        <v>1</v>
      </c>
      <c r="H433" s="2">
        <v>432</v>
      </c>
      <c r="K433" s="2"/>
      <c r="L433" s="2"/>
      <c r="M433" s="2"/>
      <c r="N433" s="2"/>
      <c r="O433" s="3"/>
      <c r="P433" s="56"/>
      <c r="Q433" s="3"/>
    </row>
    <row r="434" spans="1:17" x14ac:dyDescent="0.3">
      <c r="A434" s="2" t="s">
        <v>475</v>
      </c>
      <c r="B434" s="2" t="s">
        <v>751</v>
      </c>
      <c r="C434" s="2"/>
      <c r="D434" s="2"/>
      <c r="E434" s="3" t="s">
        <v>1144</v>
      </c>
      <c r="F434" s="56">
        <v>24.55</v>
      </c>
      <c r="G434" s="3">
        <f>SUMIF(Tabela2[Código],Tabela6[[#This Row],[Código]],Tabela2[Saldo])</f>
        <v>2</v>
      </c>
      <c r="H434" s="3">
        <v>433</v>
      </c>
      <c r="K434" s="2"/>
      <c r="L434" s="2"/>
      <c r="M434" s="2"/>
      <c r="N434" s="2"/>
      <c r="O434" s="3"/>
      <c r="P434" s="56"/>
      <c r="Q434" s="3"/>
    </row>
    <row r="435" spans="1:17" x14ac:dyDescent="0.3">
      <c r="A435" s="2" t="s">
        <v>476</v>
      </c>
      <c r="B435" s="2" t="s">
        <v>752</v>
      </c>
      <c r="C435" s="2"/>
      <c r="D435" s="2"/>
      <c r="E435" s="3" t="s">
        <v>1144</v>
      </c>
      <c r="F435" s="56">
        <v>44.18</v>
      </c>
      <c r="G435" s="3">
        <f>SUMIF(Tabela2[Código],Tabela6[[#This Row],[Código]],Tabela2[Saldo])</f>
        <v>0</v>
      </c>
      <c r="H435" s="2">
        <v>434</v>
      </c>
      <c r="K435" s="2"/>
      <c r="L435" s="2"/>
      <c r="M435" s="2"/>
      <c r="N435" s="2"/>
      <c r="O435" s="3"/>
      <c r="P435" s="56"/>
      <c r="Q435" s="3"/>
    </row>
    <row r="436" spans="1:17" x14ac:dyDescent="0.3">
      <c r="A436" s="2" t="s">
        <v>477</v>
      </c>
      <c r="B436" s="2" t="s">
        <v>753</v>
      </c>
      <c r="C436" s="2"/>
      <c r="D436" s="2"/>
      <c r="E436" s="3" t="s">
        <v>1145</v>
      </c>
      <c r="F436" s="56">
        <v>0.44</v>
      </c>
      <c r="G436" s="3">
        <f>SUMIF(Tabela2[Código],Tabela6[[#This Row],[Código]],Tabela2[Saldo])</f>
        <v>0</v>
      </c>
      <c r="H436" s="2">
        <v>435</v>
      </c>
      <c r="K436" s="2"/>
      <c r="L436" s="2"/>
      <c r="M436" s="2"/>
      <c r="N436" s="2"/>
      <c r="O436" s="3"/>
      <c r="P436" s="56"/>
      <c r="Q436" s="3"/>
    </row>
    <row r="437" spans="1:17" x14ac:dyDescent="0.3">
      <c r="A437" s="36" t="s">
        <v>478</v>
      </c>
      <c r="B437" s="36" t="s">
        <v>754</v>
      </c>
      <c r="C437" s="36"/>
      <c r="D437" s="36"/>
      <c r="E437" s="3" t="s">
        <v>1146</v>
      </c>
      <c r="F437" s="56">
        <v>70</v>
      </c>
      <c r="G437" s="3">
        <f>SUMIF(Tabela2[Código],Tabela6[[#This Row],[Código]],Tabela2[Saldo])</f>
        <v>0</v>
      </c>
      <c r="H437" s="3">
        <v>436</v>
      </c>
      <c r="K437" s="36"/>
      <c r="L437" s="36"/>
      <c r="M437" s="36"/>
      <c r="N437" s="36"/>
      <c r="O437" s="3"/>
      <c r="P437" s="56"/>
      <c r="Q437" s="3"/>
    </row>
    <row r="438" spans="1:17" x14ac:dyDescent="0.3">
      <c r="A438" s="36" t="s">
        <v>499</v>
      </c>
      <c r="B438" s="36" t="s">
        <v>755</v>
      </c>
      <c r="C438" s="36"/>
      <c r="D438" s="36"/>
      <c r="E438" s="3" t="s">
        <v>1146</v>
      </c>
      <c r="F438" s="56">
        <v>157.9</v>
      </c>
      <c r="G438" s="3">
        <f>SUMIF(Tabela2[Código],Tabela6[[#This Row],[Código]],Tabela2[Saldo])</f>
        <v>0</v>
      </c>
      <c r="H438" s="2">
        <v>437</v>
      </c>
      <c r="K438" s="36"/>
      <c r="L438" s="36"/>
      <c r="M438" s="36"/>
      <c r="N438" s="36"/>
      <c r="O438" s="3"/>
      <c r="P438" s="56"/>
      <c r="Q438" s="3"/>
    </row>
    <row r="439" spans="1:17" x14ac:dyDescent="0.3">
      <c r="A439" s="2" t="s">
        <v>486</v>
      </c>
      <c r="B439" s="2" t="s">
        <v>756</v>
      </c>
      <c r="C439" s="2"/>
      <c r="D439" s="2"/>
      <c r="E439" s="3" t="s">
        <v>1146</v>
      </c>
      <c r="F439" s="56">
        <v>192.27</v>
      </c>
      <c r="G439" s="3">
        <f>SUMIF(Tabela2[Código],Tabela6[[#This Row],[Código]],Tabela2[Saldo])</f>
        <v>1</v>
      </c>
      <c r="H439" s="2">
        <v>438</v>
      </c>
      <c r="K439" s="2"/>
      <c r="L439" s="2"/>
      <c r="M439" s="2"/>
      <c r="N439" s="2"/>
      <c r="O439" s="3"/>
      <c r="P439" s="56"/>
      <c r="Q439" s="3"/>
    </row>
    <row r="440" spans="1:17" x14ac:dyDescent="0.3">
      <c r="A440" s="2" t="s">
        <v>487</v>
      </c>
      <c r="B440" s="2" t="s">
        <v>757</v>
      </c>
      <c r="C440" s="2"/>
      <c r="D440" s="2"/>
      <c r="E440" s="3" t="s">
        <v>1146</v>
      </c>
      <c r="F440" s="56">
        <v>129.9</v>
      </c>
      <c r="G440" s="3">
        <f>SUMIF(Tabela2[Código],Tabela6[[#This Row],[Código]],Tabela2[Saldo])</f>
        <v>1</v>
      </c>
      <c r="H440" s="3">
        <v>439</v>
      </c>
      <c r="K440" s="2"/>
      <c r="L440" s="2"/>
      <c r="M440" s="2"/>
      <c r="N440" s="2"/>
      <c r="O440" s="3"/>
      <c r="P440" s="56"/>
      <c r="Q440" s="3"/>
    </row>
    <row r="441" spans="1:17" x14ac:dyDescent="0.3">
      <c r="A441" s="2" t="s">
        <v>488</v>
      </c>
      <c r="B441" s="2" t="s">
        <v>758</v>
      </c>
      <c r="C441" s="2"/>
      <c r="D441" s="2"/>
      <c r="E441" s="3" t="s">
        <v>1146</v>
      </c>
      <c r="F441" s="56">
        <v>167.49</v>
      </c>
      <c r="G441" s="3">
        <f>SUMIF(Tabela2[Código],Tabela6[[#This Row],[Código]],Tabela2[Saldo])</f>
        <v>0</v>
      </c>
      <c r="H441" s="2">
        <v>440</v>
      </c>
      <c r="K441" s="2"/>
      <c r="L441" s="2"/>
      <c r="M441" s="2"/>
      <c r="N441" s="2"/>
      <c r="O441" s="3"/>
      <c r="P441" s="56"/>
      <c r="Q441" s="3"/>
    </row>
    <row r="442" spans="1:17" x14ac:dyDescent="0.3">
      <c r="A442" s="2" t="s">
        <v>489</v>
      </c>
      <c r="B442" s="2" t="s">
        <v>759</v>
      </c>
      <c r="C442" s="2"/>
      <c r="D442" s="2"/>
      <c r="E442" s="3" t="s">
        <v>1146</v>
      </c>
      <c r="F442" s="56">
        <v>56.9</v>
      </c>
      <c r="G442" s="3">
        <f>SUMIF(Tabela2[Código],Tabela6[[#This Row],[Código]],Tabela2[Saldo])</f>
        <v>0.9</v>
      </c>
      <c r="H442" s="2">
        <v>441</v>
      </c>
      <c r="K442" s="2"/>
      <c r="L442" s="2"/>
      <c r="M442" s="2"/>
      <c r="N442" s="2"/>
      <c r="O442" s="3"/>
      <c r="P442" s="56"/>
      <c r="Q442" s="3"/>
    </row>
    <row r="443" spans="1:17" x14ac:dyDescent="0.3">
      <c r="A443" s="2" t="s">
        <v>490</v>
      </c>
      <c r="B443" s="2" t="s">
        <v>760</v>
      </c>
      <c r="C443" s="2"/>
      <c r="D443" s="2"/>
      <c r="E443" s="3" t="s">
        <v>1146</v>
      </c>
      <c r="F443" s="56">
        <v>47.9</v>
      </c>
      <c r="G443" s="3">
        <f>SUMIF(Tabela2[Código],Tabela6[[#This Row],[Código]],Tabela2[Saldo])</f>
        <v>0.8</v>
      </c>
      <c r="H443" s="3">
        <v>442</v>
      </c>
      <c r="K443" s="2"/>
      <c r="L443" s="2"/>
      <c r="M443" s="2"/>
      <c r="N443" s="2"/>
      <c r="O443" s="3"/>
      <c r="P443" s="56"/>
      <c r="Q443" s="3"/>
    </row>
    <row r="444" spans="1:17" x14ac:dyDescent="0.3">
      <c r="A444" s="2" t="s">
        <v>491</v>
      </c>
      <c r="B444" s="2" t="s">
        <v>761</v>
      </c>
      <c r="C444" s="2"/>
      <c r="D444" s="2"/>
      <c r="E444" s="3" t="s">
        <v>1146</v>
      </c>
      <c r="F444" s="56">
        <v>78.900000000000006</v>
      </c>
      <c r="G444" s="3">
        <f>SUMIF(Tabela2[Código],Tabela6[[#This Row],[Código]],Tabela2[Saldo])</f>
        <v>0.6</v>
      </c>
      <c r="H444" s="2">
        <v>443</v>
      </c>
      <c r="K444" s="2"/>
      <c r="L444" s="2"/>
      <c r="M444" s="2"/>
      <c r="N444" s="2"/>
      <c r="O444" s="3"/>
      <c r="P444" s="56"/>
      <c r="Q444" s="3"/>
    </row>
    <row r="445" spans="1:17" x14ac:dyDescent="0.3">
      <c r="A445" s="2" t="s">
        <v>492</v>
      </c>
      <c r="B445" s="2" t="s">
        <v>762</v>
      </c>
      <c r="C445" s="2"/>
      <c r="D445" s="2"/>
      <c r="E445" s="3" t="s">
        <v>1147</v>
      </c>
      <c r="F445" s="56">
        <v>87.9</v>
      </c>
      <c r="G445" s="3">
        <f>SUMIF(Tabela2[Código],Tabela6[[#This Row],[Código]],Tabela2[Saldo])</f>
        <v>0.85</v>
      </c>
      <c r="H445" s="2">
        <v>444</v>
      </c>
      <c r="K445" s="2"/>
      <c r="L445" s="2"/>
      <c r="M445" s="2"/>
      <c r="N445" s="2"/>
      <c r="O445" s="3"/>
      <c r="P445" s="56"/>
      <c r="Q445" s="3"/>
    </row>
    <row r="446" spans="1:17" x14ac:dyDescent="0.3">
      <c r="A446" s="2" t="s">
        <v>493</v>
      </c>
      <c r="B446" s="2" t="s">
        <v>763</v>
      </c>
      <c r="C446" s="2"/>
      <c r="D446" s="2"/>
      <c r="E446" s="3" t="s">
        <v>1148</v>
      </c>
      <c r="F446" s="56">
        <v>265.89999999999998</v>
      </c>
      <c r="G446" s="3">
        <f>SUMIF(Tabela2[Código],Tabela6[[#This Row],[Código]],Tabela2[Saldo])</f>
        <v>1</v>
      </c>
      <c r="H446" s="3">
        <v>445</v>
      </c>
      <c r="K446" s="2"/>
      <c r="L446" s="2"/>
      <c r="M446" s="2"/>
      <c r="N446" s="2"/>
      <c r="O446" s="3"/>
      <c r="P446" s="56"/>
      <c r="Q446" s="3"/>
    </row>
    <row r="447" spans="1:17" x14ac:dyDescent="0.3">
      <c r="A447" s="2" t="s">
        <v>494</v>
      </c>
      <c r="B447" s="2" t="s">
        <v>764</v>
      </c>
      <c r="C447" s="2"/>
      <c r="D447" s="2"/>
      <c r="E447" s="3" t="s">
        <v>1149</v>
      </c>
      <c r="F447" s="56">
        <v>56.9</v>
      </c>
      <c r="G447" s="3">
        <f>SUMIF(Tabela2[Código],Tabela6[[#This Row],[Código]],Tabela2[Saldo])</f>
        <v>1</v>
      </c>
      <c r="H447" s="2">
        <v>446</v>
      </c>
      <c r="K447" s="2"/>
      <c r="L447" s="2"/>
      <c r="M447" s="2"/>
      <c r="N447" s="2"/>
      <c r="O447" s="3"/>
      <c r="P447" s="56"/>
      <c r="Q447" s="3"/>
    </row>
    <row r="448" spans="1:17" x14ac:dyDescent="0.3">
      <c r="A448" s="2" t="s">
        <v>495</v>
      </c>
      <c r="B448" s="2" t="s">
        <v>765</v>
      </c>
      <c r="C448" s="2"/>
      <c r="D448" s="2"/>
      <c r="E448" s="3" t="s">
        <v>1149</v>
      </c>
      <c r="F448" s="56">
        <v>34</v>
      </c>
      <c r="G448" s="3">
        <f>SUMIF(Tabela2[Código],Tabela6[[#This Row],[Código]],Tabela2[Saldo])</f>
        <v>1</v>
      </c>
      <c r="H448" s="2">
        <v>447</v>
      </c>
      <c r="K448" s="2"/>
      <c r="L448" s="2"/>
      <c r="M448" s="2"/>
      <c r="N448" s="2"/>
      <c r="O448" s="3"/>
      <c r="P448" s="56"/>
      <c r="Q448" s="3"/>
    </row>
    <row r="449" spans="1:17" x14ac:dyDescent="0.3">
      <c r="A449" s="2" t="s">
        <v>496</v>
      </c>
      <c r="B449" s="2" t="s">
        <v>766</v>
      </c>
      <c r="C449" s="2"/>
      <c r="D449" s="2"/>
      <c r="E449" s="3" t="s">
        <v>1150</v>
      </c>
      <c r="F449" s="56">
        <v>24</v>
      </c>
      <c r="G449" s="3">
        <f>SUMIF(Tabela2[Código],Tabela6[[#This Row],[Código]],Tabela2[Saldo])</f>
        <v>1</v>
      </c>
      <c r="H449" s="3">
        <v>448</v>
      </c>
      <c r="K449" s="2"/>
      <c r="L449" s="2"/>
      <c r="M449" s="2"/>
      <c r="N449" s="2"/>
      <c r="O449" s="3"/>
      <c r="P449" s="56"/>
      <c r="Q449" s="3"/>
    </row>
    <row r="450" spans="1:17" x14ac:dyDescent="0.3">
      <c r="A450" s="2" t="s">
        <v>497</v>
      </c>
      <c r="B450" s="2" t="s">
        <v>767</v>
      </c>
      <c r="C450" s="2"/>
      <c r="D450" s="2"/>
      <c r="E450" s="3" t="s">
        <v>1150</v>
      </c>
      <c r="F450" s="56">
        <v>181.61</v>
      </c>
      <c r="G450" s="3">
        <f>SUMIF(Tabela2[Código],Tabela6[[#This Row],[Código]],Tabela2[Saldo])</f>
        <v>0</v>
      </c>
      <c r="H450" s="2">
        <v>449</v>
      </c>
      <c r="K450" s="2"/>
      <c r="L450" s="2"/>
      <c r="M450" s="2"/>
      <c r="N450" s="2"/>
      <c r="O450" s="3"/>
      <c r="P450" s="56"/>
      <c r="Q450" s="3"/>
    </row>
    <row r="451" spans="1:17" x14ac:dyDescent="0.3">
      <c r="A451" s="2" t="s">
        <v>498</v>
      </c>
      <c r="B451" s="2" t="s">
        <v>768</v>
      </c>
      <c r="C451" s="2"/>
      <c r="D451" s="2"/>
      <c r="E451" s="3" t="s">
        <v>1151</v>
      </c>
      <c r="F451" s="56">
        <v>9.9</v>
      </c>
      <c r="G451" s="3">
        <f>SUMIF(Tabela2[Código],Tabela6[[#This Row],[Código]],Tabela2[Saldo])</f>
        <v>1</v>
      </c>
      <c r="H451" s="2">
        <v>450</v>
      </c>
      <c r="K451" s="2"/>
      <c r="L451" s="2"/>
      <c r="M451" s="2"/>
      <c r="N451" s="2"/>
      <c r="O451" s="3"/>
      <c r="P451" s="56"/>
      <c r="Q451" s="3"/>
    </row>
    <row r="452" spans="1:17" x14ac:dyDescent="0.3">
      <c r="A452" s="2" t="s">
        <v>500</v>
      </c>
      <c r="B452" s="2" t="s">
        <v>769</v>
      </c>
      <c r="C452" s="2"/>
      <c r="D452" s="2"/>
      <c r="E452" s="3" t="s">
        <v>1152</v>
      </c>
      <c r="F452" s="56">
        <v>43.05</v>
      </c>
      <c r="G452" s="3">
        <f>SUMIF(Tabela2[Código],Tabela6[[#This Row],[Código]],Tabela2[Saldo])</f>
        <v>0.9</v>
      </c>
      <c r="H452" s="3">
        <v>451</v>
      </c>
      <c r="K452" s="2"/>
      <c r="L452" s="2"/>
      <c r="M452" s="2"/>
      <c r="N452" s="2"/>
      <c r="O452" s="3"/>
      <c r="P452" s="56"/>
      <c r="Q452" s="3"/>
    </row>
    <row r="453" spans="1:17" x14ac:dyDescent="0.3">
      <c r="A453" s="36" t="s">
        <v>501</v>
      </c>
      <c r="B453" s="36" t="s">
        <v>770</v>
      </c>
      <c r="C453" s="36"/>
      <c r="D453" s="36"/>
      <c r="E453" s="3" t="s">
        <v>1153</v>
      </c>
      <c r="F453" s="56">
        <v>19.100000000000001</v>
      </c>
      <c r="G453" s="3">
        <f>SUMIF(Tabela2[Código],Tabela6[[#This Row],[Código]],Tabela2[Saldo])</f>
        <v>0.8</v>
      </c>
      <c r="H453" s="2">
        <v>452</v>
      </c>
      <c r="K453" s="36"/>
      <c r="L453" s="36"/>
      <c r="M453" s="36"/>
      <c r="N453" s="36"/>
      <c r="O453" s="3"/>
      <c r="P453" s="56"/>
      <c r="Q453" s="3"/>
    </row>
    <row r="454" spans="1:17" x14ac:dyDescent="0.3">
      <c r="A454" s="2" t="s">
        <v>502</v>
      </c>
      <c r="B454" s="2" t="s">
        <v>771</v>
      </c>
      <c r="C454" s="2"/>
      <c r="D454" s="2"/>
      <c r="E454" s="3" t="s">
        <v>1154</v>
      </c>
      <c r="F454" s="56">
        <v>19.899999999999999</v>
      </c>
      <c r="G454" s="3">
        <f>SUMIF(Tabela2[Código],Tabela6[[#This Row],[Código]],Tabela2[Saldo])</f>
        <v>2</v>
      </c>
      <c r="H454" s="2">
        <v>453</v>
      </c>
      <c r="K454" s="2"/>
      <c r="L454" s="2"/>
      <c r="M454" s="2"/>
      <c r="N454" s="2"/>
      <c r="O454" s="3"/>
      <c r="P454" s="56"/>
      <c r="Q454" s="3"/>
    </row>
    <row r="455" spans="1:17" x14ac:dyDescent="0.3">
      <c r="A455" s="2" t="s">
        <v>503</v>
      </c>
      <c r="B455" s="2" t="s">
        <v>772</v>
      </c>
      <c r="C455" s="2"/>
      <c r="D455" s="2"/>
      <c r="E455" s="3" t="s">
        <v>1155</v>
      </c>
      <c r="F455" s="56">
        <v>0.01</v>
      </c>
      <c r="G455" s="3">
        <f>SUMIF(Tabela2[Código],Tabela6[[#This Row],[Código]],Tabela2[Saldo])</f>
        <v>0</v>
      </c>
      <c r="H455" s="3">
        <v>454</v>
      </c>
      <c r="K455" s="2"/>
      <c r="L455" s="2"/>
      <c r="M455" s="2"/>
      <c r="N455" s="2"/>
      <c r="O455" s="3"/>
      <c r="P455" s="56"/>
      <c r="Q455" s="3"/>
    </row>
    <row r="456" spans="1:17" x14ac:dyDescent="0.3">
      <c r="A456" s="2" t="s">
        <v>504</v>
      </c>
      <c r="B456" s="2" t="s">
        <v>773</v>
      </c>
      <c r="C456" s="2"/>
      <c r="D456" s="2"/>
      <c r="E456" s="3" t="s">
        <v>1156</v>
      </c>
      <c r="F456" s="56">
        <v>0.01</v>
      </c>
      <c r="G456" s="3">
        <f>SUMIF(Tabela2[Código],Tabela6[[#This Row],[Código]],Tabela2[Saldo])</f>
        <v>0.5</v>
      </c>
      <c r="H456" s="2">
        <v>455</v>
      </c>
      <c r="K456" s="2"/>
      <c r="L456" s="2"/>
      <c r="M456" s="2"/>
      <c r="N456" s="2"/>
      <c r="O456" s="3"/>
      <c r="P456" s="56"/>
      <c r="Q456" s="3"/>
    </row>
    <row r="457" spans="1:17" x14ac:dyDescent="0.3">
      <c r="A457" s="36" t="s">
        <v>505</v>
      </c>
      <c r="B457" s="36" t="s">
        <v>774</v>
      </c>
      <c r="C457" s="36"/>
      <c r="D457" s="36"/>
      <c r="E457" s="3" t="s">
        <v>1156</v>
      </c>
      <c r="F457" s="56">
        <v>23.11</v>
      </c>
      <c r="G457" s="3">
        <f>SUMIF(Tabela2[Código],Tabela6[[#This Row],[Código]],Tabela2[Saldo])</f>
        <v>25</v>
      </c>
      <c r="H457" s="2">
        <v>456</v>
      </c>
      <c r="K457" s="36"/>
      <c r="L457" s="36"/>
      <c r="M457" s="36"/>
      <c r="N457" s="36"/>
      <c r="O457" s="3"/>
      <c r="P457" s="56"/>
      <c r="Q457" s="3"/>
    </row>
    <row r="458" spans="1:17" x14ac:dyDescent="0.3">
      <c r="A458" s="2" t="s">
        <v>506</v>
      </c>
      <c r="B458" s="2" t="s">
        <v>775</v>
      </c>
      <c r="C458" s="2"/>
      <c r="D458" s="2"/>
      <c r="E458" s="3" t="s">
        <v>1156</v>
      </c>
      <c r="F458" s="56">
        <v>292.82</v>
      </c>
      <c r="G458" s="3">
        <f>SUMIF(Tabela2[Código],Tabela6[[#This Row],[Código]],Tabela2[Saldo])</f>
        <v>1</v>
      </c>
      <c r="H458" s="3">
        <v>457</v>
      </c>
      <c r="K458" s="2"/>
      <c r="L458" s="2"/>
      <c r="M458" s="2"/>
      <c r="N458" s="2"/>
      <c r="O458" s="3"/>
      <c r="P458" s="56"/>
      <c r="Q458" s="3"/>
    </row>
    <row r="459" spans="1:17" x14ac:dyDescent="0.3">
      <c r="A459" s="2" t="s">
        <v>507</v>
      </c>
      <c r="B459" s="2" t="s">
        <v>776</v>
      </c>
      <c r="C459" s="2"/>
      <c r="D459" s="2"/>
      <c r="E459" s="3" t="s">
        <v>1156</v>
      </c>
      <c r="F459" s="56">
        <v>1.49</v>
      </c>
      <c r="G459" s="3">
        <f>SUMIF(Tabela2[Código],Tabela6[[#This Row],[Código]],Tabela2[Saldo])</f>
        <v>8</v>
      </c>
      <c r="H459" s="2">
        <v>458</v>
      </c>
      <c r="K459" s="2"/>
      <c r="L459" s="2"/>
      <c r="M459" s="2"/>
      <c r="N459" s="2"/>
      <c r="O459" s="3"/>
      <c r="P459" s="56"/>
      <c r="Q459" s="3"/>
    </row>
    <row r="460" spans="1:17" x14ac:dyDescent="0.3">
      <c r="A460" s="2" t="s">
        <v>508</v>
      </c>
      <c r="B460" s="2" t="s">
        <v>777</v>
      </c>
      <c r="C460" s="2"/>
      <c r="D460" s="2"/>
      <c r="E460" s="3" t="s">
        <v>1156</v>
      </c>
      <c r="F460" s="56">
        <v>14.5</v>
      </c>
      <c r="G460" s="3">
        <f>SUMIF(Tabela2[Código],Tabela6[[#This Row],[Código]],Tabela2[Saldo])</f>
        <v>1</v>
      </c>
      <c r="H460" s="2">
        <v>459</v>
      </c>
      <c r="K460" s="2"/>
      <c r="L460" s="2"/>
      <c r="M460" s="2"/>
      <c r="N460" s="2"/>
      <c r="O460" s="3"/>
      <c r="P460" s="56"/>
      <c r="Q460" s="3"/>
    </row>
    <row r="461" spans="1:17" x14ac:dyDescent="0.3">
      <c r="A461" s="2" t="s">
        <v>509</v>
      </c>
      <c r="B461" s="2" t="s">
        <v>778</v>
      </c>
      <c r="C461" s="2"/>
      <c r="D461" s="2"/>
      <c r="E461" s="3" t="s">
        <v>1156</v>
      </c>
      <c r="F461" s="56">
        <v>3.55</v>
      </c>
      <c r="G461" s="3">
        <f>SUMIF(Tabela2[Código],Tabela6[[#This Row],[Código]],Tabela2[Saldo])</f>
        <v>1</v>
      </c>
      <c r="H461" s="3">
        <v>460</v>
      </c>
      <c r="K461" s="2"/>
      <c r="L461" s="2"/>
      <c r="M461" s="2"/>
      <c r="N461" s="2"/>
      <c r="O461" s="3"/>
      <c r="P461" s="56"/>
      <c r="Q461" s="3"/>
    </row>
    <row r="462" spans="1:17" x14ac:dyDescent="0.3">
      <c r="A462" s="2" t="s">
        <v>510</v>
      </c>
      <c r="B462" s="2" t="s">
        <v>779</v>
      </c>
      <c r="C462" s="2"/>
      <c r="D462" s="2"/>
      <c r="E462" s="3" t="s">
        <v>1156</v>
      </c>
      <c r="F462" s="56">
        <v>3.41</v>
      </c>
      <c r="G462" s="3">
        <f>SUMIF(Tabela2[Código],Tabela6[[#This Row],[Código]],Tabela2[Saldo])</f>
        <v>9</v>
      </c>
      <c r="H462" s="2">
        <v>461</v>
      </c>
      <c r="K462" s="2"/>
      <c r="L462" s="2"/>
      <c r="M462" s="2"/>
      <c r="N462" s="2"/>
      <c r="O462" s="3"/>
      <c r="P462" s="56"/>
      <c r="Q462" s="3"/>
    </row>
    <row r="463" spans="1:17" x14ac:dyDescent="0.3">
      <c r="A463" s="2" t="s">
        <v>511</v>
      </c>
      <c r="B463" s="2" t="s">
        <v>780</v>
      </c>
      <c r="C463" s="2"/>
      <c r="D463" s="2"/>
      <c r="E463" s="3" t="s">
        <v>1156</v>
      </c>
      <c r="F463" s="56">
        <v>2.15</v>
      </c>
      <c r="G463" s="3">
        <f>SUMIF(Tabela2[Código],Tabela6[[#This Row],[Código]],Tabela2[Saldo])</f>
        <v>11</v>
      </c>
      <c r="H463" s="2">
        <v>462</v>
      </c>
      <c r="K463" s="2"/>
      <c r="L463" s="2"/>
      <c r="M463" s="2"/>
      <c r="N463" s="2"/>
      <c r="O463" s="3"/>
      <c r="P463" s="56"/>
      <c r="Q463" s="3"/>
    </row>
    <row r="464" spans="1:17" x14ac:dyDescent="0.3">
      <c r="A464" s="2" t="s">
        <v>512</v>
      </c>
      <c r="B464" s="2" t="s">
        <v>781</v>
      </c>
      <c r="C464" s="2"/>
      <c r="D464" s="2"/>
      <c r="E464" s="3" t="s">
        <v>1156</v>
      </c>
      <c r="F464" s="56">
        <v>2.4700000000000002</v>
      </c>
      <c r="G464" s="3">
        <f>SUMIF(Tabela2[Código],Tabela6[[#This Row],[Código]],Tabela2[Saldo])</f>
        <v>32</v>
      </c>
      <c r="H464" s="3">
        <v>463</v>
      </c>
      <c r="K464" s="2"/>
      <c r="L464" s="2"/>
      <c r="M464" s="2"/>
      <c r="N464" s="2"/>
      <c r="O464" s="3"/>
      <c r="P464" s="56"/>
      <c r="Q464" s="3"/>
    </row>
    <row r="465" spans="1:17" x14ac:dyDescent="0.3">
      <c r="A465" s="2" t="s">
        <v>513</v>
      </c>
      <c r="B465" s="2" t="s">
        <v>782</v>
      </c>
      <c r="C465" s="2"/>
      <c r="D465" s="2"/>
      <c r="E465" s="3" t="s">
        <v>1156</v>
      </c>
      <c r="F465" s="56">
        <v>4.1500000000000004</v>
      </c>
      <c r="G465" s="3">
        <f>SUMIF(Tabela2[Código],Tabela6[[#This Row],[Código]],Tabela2[Saldo])</f>
        <v>1</v>
      </c>
      <c r="H465" s="2">
        <v>464</v>
      </c>
      <c r="K465" s="2"/>
      <c r="L465" s="2"/>
      <c r="M465" s="2"/>
      <c r="N465" s="2"/>
      <c r="O465" s="3"/>
      <c r="P465" s="56"/>
      <c r="Q465" s="3"/>
    </row>
    <row r="466" spans="1:17" x14ac:dyDescent="0.3">
      <c r="A466" s="2" t="s">
        <v>514</v>
      </c>
      <c r="B466" s="2" t="s">
        <v>783</v>
      </c>
      <c r="C466" s="2"/>
      <c r="D466" s="2"/>
      <c r="E466" s="3" t="s">
        <v>1156</v>
      </c>
      <c r="F466" s="56">
        <v>7.39</v>
      </c>
      <c r="G466" s="3">
        <f>SUMIF(Tabela2[Código],Tabela6[[#This Row],[Código]],Tabela2[Saldo])</f>
        <v>1</v>
      </c>
      <c r="H466" s="2">
        <v>465</v>
      </c>
      <c r="K466" s="2"/>
      <c r="L466" s="2"/>
      <c r="M466" s="2"/>
      <c r="N466" s="2"/>
      <c r="O466" s="3"/>
      <c r="P466" s="56"/>
      <c r="Q466" s="3"/>
    </row>
    <row r="467" spans="1:17" x14ac:dyDescent="0.3">
      <c r="A467" s="2" t="s">
        <v>515</v>
      </c>
      <c r="B467" s="2" t="s">
        <v>784</v>
      </c>
      <c r="C467" s="2"/>
      <c r="D467" s="2"/>
      <c r="E467" s="3" t="s">
        <v>1156</v>
      </c>
      <c r="F467" s="56">
        <v>1.66</v>
      </c>
      <c r="G467" s="3">
        <f>SUMIF(Tabela2[Código],Tabela6[[#This Row],[Código]],Tabela2[Saldo])</f>
        <v>4</v>
      </c>
      <c r="H467" s="3">
        <v>466</v>
      </c>
      <c r="K467" s="2"/>
      <c r="L467" s="2"/>
      <c r="M467" s="2"/>
      <c r="N467" s="2"/>
      <c r="O467" s="3"/>
      <c r="P467" s="56"/>
      <c r="Q467" s="3"/>
    </row>
    <row r="468" spans="1:17" x14ac:dyDescent="0.3">
      <c r="A468" s="2" t="s">
        <v>516</v>
      </c>
      <c r="B468" s="2" t="s">
        <v>785</v>
      </c>
      <c r="C468" s="2"/>
      <c r="D468" s="2"/>
      <c r="E468" s="3" t="s">
        <v>1156</v>
      </c>
      <c r="F468" s="56">
        <v>2.96</v>
      </c>
      <c r="G468" s="3">
        <f>SUMIF(Tabela2[Código],Tabela6[[#This Row],[Código]],Tabela2[Saldo])</f>
        <v>3</v>
      </c>
      <c r="H468" s="2">
        <v>467</v>
      </c>
      <c r="K468" s="2"/>
      <c r="L468" s="2"/>
      <c r="M468" s="2"/>
      <c r="N468" s="2"/>
      <c r="O468" s="3"/>
      <c r="P468" s="56"/>
      <c r="Q468" s="3"/>
    </row>
    <row r="469" spans="1:17" x14ac:dyDescent="0.3">
      <c r="A469" s="2" t="s">
        <v>517</v>
      </c>
      <c r="B469" s="2" t="s">
        <v>786</v>
      </c>
      <c r="C469" s="2"/>
      <c r="D469" s="2"/>
      <c r="E469" s="3" t="s">
        <v>1156</v>
      </c>
      <c r="F469" s="56">
        <v>3.1</v>
      </c>
      <c r="G469" s="3">
        <f>SUMIF(Tabela2[Código],Tabela6[[#This Row],[Código]],Tabela2[Saldo])</f>
        <v>13</v>
      </c>
      <c r="H469" s="2">
        <v>468</v>
      </c>
      <c r="K469" s="2"/>
      <c r="L469" s="2"/>
      <c r="M469" s="2"/>
      <c r="N469" s="2"/>
      <c r="O469" s="3"/>
      <c r="P469" s="56"/>
      <c r="Q469" s="3"/>
    </row>
    <row r="470" spans="1:17" x14ac:dyDescent="0.3">
      <c r="A470" s="2" t="s">
        <v>518</v>
      </c>
      <c r="B470" s="2" t="s">
        <v>787</v>
      </c>
      <c r="C470" s="2"/>
      <c r="D470" s="2"/>
      <c r="E470" s="3" t="s">
        <v>1156</v>
      </c>
      <c r="F470" s="56">
        <v>22.57</v>
      </c>
      <c r="G470" s="3">
        <f>SUMIF(Tabela2[Código],Tabela6[[#This Row],[Código]],Tabela2[Saldo])</f>
        <v>0</v>
      </c>
      <c r="H470" s="3">
        <v>469</v>
      </c>
      <c r="K470" s="2"/>
      <c r="L470" s="2"/>
      <c r="M470" s="2"/>
      <c r="N470" s="2"/>
      <c r="O470" s="3"/>
      <c r="P470" s="56"/>
      <c r="Q470" s="3"/>
    </row>
    <row r="471" spans="1:17" x14ac:dyDescent="0.3">
      <c r="A471" s="2" t="s">
        <v>519</v>
      </c>
      <c r="B471" s="2" t="s">
        <v>788</v>
      </c>
      <c r="C471" s="2"/>
      <c r="D471" s="2"/>
      <c r="E471" s="3" t="s">
        <v>1156</v>
      </c>
      <c r="F471" s="56">
        <v>10.95</v>
      </c>
      <c r="G471" s="3">
        <f>SUMIF(Tabela2[Código],Tabela6[[#This Row],[Código]],Tabela2[Saldo])</f>
        <v>15</v>
      </c>
      <c r="H471" s="2">
        <v>470</v>
      </c>
      <c r="K471" s="2"/>
      <c r="L471" s="2"/>
      <c r="M471" s="2"/>
      <c r="N471" s="2"/>
      <c r="O471" s="3"/>
      <c r="P471" s="56"/>
      <c r="Q471" s="3"/>
    </row>
    <row r="472" spans="1:17" x14ac:dyDescent="0.3">
      <c r="A472" s="2" t="s">
        <v>520</v>
      </c>
      <c r="B472" s="2" t="s">
        <v>789</v>
      </c>
      <c r="C472" s="2"/>
      <c r="D472" s="2"/>
      <c r="E472" s="3" t="s">
        <v>1156</v>
      </c>
      <c r="F472" s="56">
        <v>0.01</v>
      </c>
      <c r="G472" s="3">
        <f>SUMIF(Tabela2[Código],Tabela6[[#This Row],[Código]],Tabela2[Saldo])</f>
        <v>1060</v>
      </c>
      <c r="H472" s="2">
        <v>471</v>
      </c>
      <c r="K472" s="2"/>
      <c r="L472" s="2"/>
      <c r="M472" s="2"/>
      <c r="N472" s="2"/>
      <c r="O472" s="3"/>
      <c r="P472" s="56"/>
      <c r="Q472" s="3"/>
    </row>
    <row r="473" spans="1:17" x14ac:dyDescent="0.3">
      <c r="A473" s="2" t="s">
        <v>521</v>
      </c>
      <c r="B473" s="2" t="s">
        <v>790</v>
      </c>
      <c r="C473" s="2"/>
      <c r="D473" s="2"/>
      <c r="E473" s="3" t="s">
        <v>1156</v>
      </c>
      <c r="F473" s="56">
        <v>0.01</v>
      </c>
      <c r="G473" s="3">
        <f>SUMIF(Tabela2[Código],Tabela6[[#This Row],[Código]],Tabela2[Saldo])</f>
        <v>8</v>
      </c>
      <c r="H473" s="3">
        <v>472</v>
      </c>
      <c r="K473" s="2"/>
      <c r="L473" s="2"/>
      <c r="M473" s="2"/>
      <c r="N473" s="2"/>
      <c r="O473" s="3"/>
      <c r="P473" s="56"/>
      <c r="Q473" s="3"/>
    </row>
    <row r="474" spans="1:17" x14ac:dyDescent="0.3">
      <c r="A474" s="2" t="s">
        <v>522</v>
      </c>
      <c r="B474" s="2" t="s">
        <v>791</v>
      </c>
      <c r="C474" s="2"/>
      <c r="D474" s="2"/>
      <c r="E474" s="3" t="s">
        <v>1156</v>
      </c>
      <c r="F474" s="56">
        <v>17.440000000000001</v>
      </c>
      <c r="G474" s="3">
        <f>SUMIF(Tabela2[Código],Tabela6[[#This Row],[Código]],Tabela2[Saldo])</f>
        <v>2</v>
      </c>
      <c r="H474" s="2">
        <v>473</v>
      </c>
      <c r="K474" s="2"/>
      <c r="L474" s="2"/>
      <c r="M474" s="2"/>
      <c r="N474" s="2"/>
      <c r="O474" s="3"/>
      <c r="P474" s="56"/>
      <c r="Q474" s="3"/>
    </row>
    <row r="475" spans="1:17" x14ac:dyDescent="0.3">
      <c r="A475" s="2" t="s">
        <v>523</v>
      </c>
      <c r="B475" s="2" t="s">
        <v>792</v>
      </c>
      <c r="C475" s="2"/>
      <c r="D475" s="2"/>
      <c r="E475" s="3" t="s">
        <v>1156</v>
      </c>
      <c r="F475" s="56">
        <v>28.09</v>
      </c>
      <c r="G475" s="3">
        <f>SUMIF(Tabela2[Código],Tabela6[[#This Row],[Código]],Tabela2[Saldo])</f>
        <v>1</v>
      </c>
      <c r="H475" s="2">
        <v>474</v>
      </c>
      <c r="K475" s="2"/>
      <c r="L475" s="2"/>
      <c r="M475" s="2"/>
      <c r="N475" s="2"/>
      <c r="O475" s="3"/>
      <c r="P475" s="56"/>
      <c r="Q475" s="3"/>
    </row>
    <row r="476" spans="1:17" x14ac:dyDescent="0.3">
      <c r="A476" s="2" t="s">
        <v>524</v>
      </c>
      <c r="B476" s="2" t="s">
        <v>793</v>
      </c>
      <c r="C476" s="2"/>
      <c r="D476" s="2"/>
      <c r="E476" s="3" t="s">
        <v>1156</v>
      </c>
      <c r="F476" s="56">
        <v>8.73</v>
      </c>
      <c r="G476" s="3">
        <f>SUMIF(Tabela2[Código],Tabela6[[#This Row],[Código]],Tabela2[Saldo])</f>
        <v>86</v>
      </c>
      <c r="H476" s="3">
        <v>475</v>
      </c>
      <c r="K476" s="2"/>
      <c r="L476" s="2"/>
      <c r="M476" s="2"/>
      <c r="N476" s="2"/>
      <c r="O476" s="3"/>
      <c r="P476" s="56"/>
      <c r="Q476" s="3"/>
    </row>
    <row r="477" spans="1:17" x14ac:dyDescent="0.3">
      <c r="A477" s="2" t="s">
        <v>525</v>
      </c>
      <c r="B477" s="2" t="s">
        <v>794</v>
      </c>
      <c r="C477" s="2"/>
      <c r="D477" s="2"/>
      <c r="E477" s="3" t="s">
        <v>1156</v>
      </c>
      <c r="F477" s="56">
        <v>11.17</v>
      </c>
      <c r="G477" s="3">
        <f>SUMIF(Tabela2[Código],Tabela6[[#This Row],[Código]],Tabela2[Saldo])</f>
        <v>19</v>
      </c>
      <c r="H477" s="2">
        <v>476</v>
      </c>
      <c r="K477" s="2"/>
      <c r="L477" s="2"/>
      <c r="M477" s="2"/>
      <c r="N477" s="2"/>
      <c r="O477" s="3"/>
      <c r="P477" s="56"/>
      <c r="Q477" s="3"/>
    </row>
    <row r="478" spans="1:17" x14ac:dyDescent="0.3">
      <c r="A478" s="2" t="s">
        <v>526</v>
      </c>
      <c r="B478" s="2" t="s">
        <v>795</v>
      </c>
      <c r="C478" s="2"/>
      <c r="D478" s="2"/>
      <c r="E478" s="3" t="s">
        <v>1156</v>
      </c>
      <c r="F478" s="56">
        <v>7.76</v>
      </c>
      <c r="G478" s="3">
        <f>SUMIF(Tabela2[Código],Tabela6[[#This Row],[Código]],Tabela2[Saldo])</f>
        <v>7</v>
      </c>
      <c r="H478" s="2">
        <v>477</v>
      </c>
      <c r="K478" s="2"/>
      <c r="L478" s="2"/>
      <c r="M478" s="2"/>
      <c r="N478" s="2"/>
      <c r="O478" s="3"/>
      <c r="P478" s="56"/>
      <c r="Q478" s="3"/>
    </row>
    <row r="479" spans="1:17" x14ac:dyDescent="0.3">
      <c r="A479" s="2" t="s">
        <v>527</v>
      </c>
      <c r="B479" s="2" t="s">
        <v>796</v>
      </c>
      <c r="C479" s="2"/>
      <c r="D479" s="2"/>
      <c r="E479" s="3" t="s">
        <v>1156</v>
      </c>
      <c r="F479" s="56">
        <v>3.71</v>
      </c>
      <c r="G479" s="3">
        <f>SUMIF(Tabela2[Código],Tabela6[[#This Row],[Código]],Tabela2[Saldo])</f>
        <v>13</v>
      </c>
      <c r="H479" s="3">
        <v>478</v>
      </c>
      <c r="K479" s="2"/>
      <c r="L479" s="2"/>
      <c r="M479" s="2"/>
      <c r="N479" s="2"/>
      <c r="O479" s="3"/>
      <c r="P479" s="56"/>
      <c r="Q479" s="3"/>
    </row>
    <row r="480" spans="1:17" x14ac:dyDescent="0.3">
      <c r="A480" s="2" t="s">
        <v>528</v>
      </c>
      <c r="B480" s="2" t="s">
        <v>797</v>
      </c>
      <c r="C480" s="2"/>
      <c r="D480" s="2"/>
      <c r="E480" s="3" t="s">
        <v>1156</v>
      </c>
      <c r="F480" s="56">
        <v>6.6</v>
      </c>
      <c r="G480" s="3">
        <f>SUMIF(Tabela2[Código],Tabela6[[#This Row],[Código]],Tabela2[Saldo])</f>
        <v>2</v>
      </c>
      <c r="H480" s="2">
        <v>479</v>
      </c>
      <c r="K480" s="2"/>
      <c r="L480" s="2"/>
      <c r="M480" s="2"/>
      <c r="N480" s="2"/>
      <c r="O480" s="3"/>
      <c r="P480" s="56"/>
      <c r="Q480" s="3"/>
    </row>
    <row r="481" spans="1:17" x14ac:dyDescent="0.3">
      <c r="A481" s="2" t="s">
        <v>529</v>
      </c>
      <c r="B481" s="2" t="s">
        <v>798</v>
      </c>
      <c r="C481" s="2"/>
      <c r="D481" s="2"/>
      <c r="E481" s="3" t="s">
        <v>1156</v>
      </c>
      <c r="F481" s="56">
        <v>0.01</v>
      </c>
      <c r="G481" s="3">
        <f>SUMIF(Tabela2[Código],Tabela6[[#This Row],[Código]],Tabela2[Saldo])</f>
        <v>1</v>
      </c>
      <c r="H481" s="2">
        <v>480</v>
      </c>
      <c r="K481" s="2"/>
      <c r="L481" s="2"/>
      <c r="M481" s="2"/>
      <c r="N481" s="2"/>
      <c r="O481" s="3"/>
      <c r="P481" s="56"/>
      <c r="Q481" s="3"/>
    </row>
    <row r="482" spans="1:17" x14ac:dyDescent="0.3">
      <c r="A482" s="2" t="s">
        <v>530</v>
      </c>
      <c r="B482" s="2" t="s">
        <v>799</v>
      </c>
      <c r="C482" s="2"/>
      <c r="D482" s="2"/>
      <c r="E482" s="3" t="s">
        <v>1156</v>
      </c>
      <c r="F482" s="56">
        <v>153.94999999999999</v>
      </c>
      <c r="G482" s="3">
        <f>SUMIF(Tabela2[Código],Tabela6[[#This Row],[Código]],Tabela2[Saldo])</f>
        <v>10</v>
      </c>
      <c r="H482" s="3">
        <v>481</v>
      </c>
      <c r="K482" s="2"/>
      <c r="L482" s="2"/>
      <c r="M482" s="2"/>
      <c r="N482" s="2"/>
      <c r="O482" s="3"/>
      <c r="P482" s="56"/>
      <c r="Q482" s="3"/>
    </row>
    <row r="483" spans="1:17" x14ac:dyDescent="0.3">
      <c r="A483" s="2" t="s">
        <v>531</v>
      </c>
      <c r="B483" s="2" t="s">
        <v>800</v>
      </c>
      <c r="C483" s="2"/>
      <c r="D483" s="2"/>
      <c r="E483" s="3" t="s">
        <v>1157</v>
      </c>
      <c r="F483" s="56">
        <v>28.12</v>
      </c>
      <c r="G483" s="3">
        <f>SUMIF(Tabela2[Código],Tabela6[[#This Row],[Código]],Tabela2[Saldo])</f>
        <v>0</v>
      </c>
      <c r="H483" s="2">
        <v>482</v>
      </c>
      <c r="K483" s="2"/>
      <c r="L483" s="2"/>
      <c r="M483" s="2"/>
      <c r="N483" s="2"/>
      <c r="O483" s="3"/>
      <c r="P483" s="56"/>
      <c r="Q483" s="3"/>
    </row>
    <row r="484" spans="1:17" x14ac:dyDescent="0.3">
      <c r="A484" s="2" t="s">
        <v>532</v>
      </c>
      <c r="B484" s="2" t="s">
        <v>801</v>
      </c>
      <c r="C484" s="2"/>
      <c r="D484" s="2"/>
      <c r="E484" s="3" t="s">
        <v>1158</v>
      </c>
      <c r="F484" s="56">
        <v>25.22</v>
      </c>
      <c r="G484" s="3">
        <f>SUMIF(Tabela2[Código],Tabela6[[#This Row],[Código]],Tabela2[Saldo])</f>
        <v>0</v>
      </c>
      <c r="H484" s="2">
        <v>483</v>
      </c>
      <c r="K484" s="2"/>
      <c r="L484" s="2"/>
      <c r="M484" s="2"/>
      <c r="N484" s="2"/>
      <c r="O484" s="3"/>
      <c r="P484" s="56"/>
      <c r="Q484" s="3"/>
    </row>
    <row r="485" spans="1:17" x14ac:dyDescent="0.3">
      <c r="A485" s="2" t="s">
        <v>533</v>
      </c>
      <c r="B485" s="2" t="s">
        <v>802</v>
      </c>
      <c r="C485" s="2"/>
      <c r="D485" s="2"/>
      <c r="E485" s="3" t="s">
        <v>1158</v>
      </c>
      <c r="F485" s="56">
        <v>140.09</v>
      </c>
      <c r="G485" s="3">
        <f>SUMIF(Tabela2[Código],Tabela6[[#This Row],[Código]],Tabela2[Saldo])</f>
        <v>0</v>
      </c>
      <c r="H485" s="3">
        <v>484</v>
      </c>
      <c r="K485" s="2"/>
      <c r="L485" s="2"/>
      <c r="M485" s="2"/>
      <c r="N485" s="2"/>
      <c r="O485" s="3"/>
      <c r="P485" s="56"/>
      <c r="Q485" s="3"/>
    </row>
    <row r="486" spans="1:17" x14ac:dyDescent="0.3">
      <c r="A486" s="2" t="s">
        <v>534</v>
      </c>
      <c r="B486" s="2" t="s">
        <v>803</v>
      </c>
      <c r="C486" s="2"/>
      <c r="D486" s="2"/>
      <c r="E486" s="3" t="s">
        <v>1158</v>
      </c>
      <c r="F486" s="56">
        <v>19.95</v>
      </c>
      <c r="G486" s="3">
        <f>SUMIF(Tabela2[Código],Tabela6[[#This Row],[Código]],Tabela2[Saldo])</f>
        <v>2</v>
      </c>
      <c r="H486" s="2">
        <v>485</v>
      </c>
      <c r="K486" s="2"/>
      <c r="L486" s="2"/>
      <c r="M486" s="2"/>
      <c r="N486" s="2"/>
      <c r="O486" s="3"/>
      <c r="P486" s="56"/>
      <c r="Q486" s="3"/>
    </row>
    <row r="487" spans="1:17" x14ac:dyDescent="0.3">
      <c r="A487" s="2" t="s">
        <v>535</v>
      </c>
      <c r="B487" s="2" t="s">
        <v>804</v>
      </c>
      <c r="C487" s="2"/>
      <c r="D487" s="2"/>
      <c r="E487" s="3" t="s">
        <v>1158</v>
      </c>
      <c r="F487" s="56">
        <v>49</v>
      </c>
      <c r="G487" s="3">
        <f>SUMIF(Tabela2[Código],Tabela6[[#This Row],[Código]],Tabela2[Saldo])</f>
        <v>1</v>
      </c>
      <c r="H487" s="2">
        <v>486</v>
      </c>
      <c r="K487" s="2"/>
      <c r="L487" s="2"/>
      <c r="M487" s="2"/>
      <c r="N487" s="2"/>
      <c r="O487" s="3"/>
      <c r="P487" s="56"/>
      <c r="Q487" s="3"/>
    </row>
    <row r="488" spans="1:17" x14ac:dyDescent="0.3">
      <c r="A488" s="2" t="s">
        <v>536</v>
      </c>
      <c r="B488" s="2" t="s">
        <v>805</v>
      </c>
      <c r="C488" s="2"/>
      <c r="D488" s="2"/>
      <c r="E488" s="3" t="s">
        <v>1158</v>
      </c>
      <c r="F488" s="56">
        <v>91.09</v>
      </c>
      <c r="G488" s="3">
        <f>SUMIF(Tabela2[Código],Tabela6[[#This Row],[Código]],Tabela2[Saldo])</f>
        <v>2</v>
      </c>
      <c r="H488" s="3">
        <v>487</v>
      </c>
      <c r="K488" s="2"/>
      <c r="L488" s="2"/>
      <c r="M488" s="2"/>
      <c r="N488" s="2"/>
      <c r="O488" s="3"/>
      <c r="P488" s="56"/>
      <c r="Q488" s="3"/>
    </row>
    <row r="489" spans="1:17" x14ac:dyDescent="0.3">
      <c r="A489" s="2" t="s">
        <v>537</v>
      </c>
      <c r="B489" s="2" t="s">
        <v>806</v>
      </c>
      <c r="C489" s="2"/>
      <c r="D489" s="2"/>
      <c r="E489" s="3" t="s">
        <v>1158</v>
      </c>
      <c r="F489" s="56">
        <v>15</v>
      </c>
      <c r="G489" s="3">
        <f>SUMIF(Tabela2[Código],Tabela6[[#This Row],[Código]],Tabela2[Saldo])</f>
        <v>1</v>
      </c>
      <c r="H489" s="2">
        <v>488</v>
      </c>
      <c r="K489" s="2"/>
      <c r="L489" s="2"/>
      <c r="M489" s="2"/>
      <c r="N489" s="2"/>
      <c r="O489" s="3"/>
      <c r="P489" s="56"/>
      <c r="Q489" s="3"/>
    </row>
    <row r="490" spans="1:17" x14ac:dyDescent="0.3">
      <c r="A490" s="2" t="s">
        <v>538</v>
      </c>
      <c r="B490" s="2" t="s">
        <v>807</v>
      </c>
      <c r="C490" s="2"/>
      <c r="D490" s="2"/>
      <c r="E490" s="3" t="s">
        <v>1158</v>
      </c>
      <c r="F490" s="56">
        <v>0.01</v>
      </c>
      <c r="G490" s="3">
        <f>SUMIF(Tabela2[Código],Tabela6[[#This Row],[Código]],Tabela2[Saldo])</f>
        <v>4</v>
      </c>
      <c r="H490" s="2">
        <v>489</v>
      </c>
      <c r="K490" s="2"/>
      <c r="L490" s="2"/>
      <c r="M490" s="2"/>
      <c r="N490" s="2"/>
      <c r="O490" s="3"/>
      <c r="P490" s="56"/>
      <c r="Q490" s="3"/>
    </row>
    <row r="491" spans="1:17" x14ac:dyDescent="0.3">
      <c r="A491" s="2" t="s">
        <v>539</v>
      </c>
      <c r="B491" s="2" t="s">
        <v>808</v>
      </c>
      <c r="C491" s="2"/>
      <c r="D491" s="2"/>
      <c r="E491" s="3" t="s">
        <v>1158</v>
      </c>
      <c r="F491" s="56">
        <v>45</v>
      </c>
      <c r="G491" s="3">
        <f>SUMIF(Tabela2[Código],Tabela6[[#This Row],[Código]],Tabela2[Saldo])</f>
        <v>1</v>
      </c>
      <c r="H491" s="3">
        <v>490</v>
      </c>
      <c r="K491" s="2"/>
      <c r="L491" s="2"/>
      <c r="M491" s="2"/>
      <c r="N491" s="2"/>
      <c r="O491" s="3"/>
      <c r="P491" s="56"/>
      <c r="Q491" s="3"/>
    </row>
    <row r="492" spans="1:17" x14ac:dyDescent="0.3">
      <c r="A492" s="2" t="s">
        <v>540</v>
      </c>
      <c r="B492" s="2" t="s">
        <v>809</v>
      </c>
      <c r="C492" s="2"/>
      <c r="D492" s="2"/>
      <c r="E492" s="3" t="s">
        <v>1158</v>
      </c>
      <c r="F492" s="56">
        <v>37.75</v>
      </c>
      <c r="G492" s="3">
        <f>SUMIF(Tabela2[Código],Tabela6[[#This Row],[Código]],Tabela2[Saldo])</f>
        <v>0</v>
      </c>
      <c r="H492" s="2">
        <v>491</v>
      </c>
      <c r="K492" s="2"/>
      <c r="L492" s="2"/>
      <c r="M492" s="2"/>
      <c r="N492" s="2"/>
      <c r="O492" s="3"/>
      <c r="P492" s="56"/>
      <c r="Q492" s="3"/>
    </row>
    <row r="493" spans="1:17" x14ac:dyDescent="0.3">
      <c r="A493" s="2" t="s">
        <v>541</v>
      </c>
      <c r="B493" s="2" t="s">
        <v>810</v>
      </c>
      <c r="C493" s="2"/>
      <c r="D493" s="2"/>
      <c r="E493" s="3" t="s">
        <v>1158</v>
      </c>
      <c r="F493" s="56">
        <v>37.75</v>
      </c>
      <c r="G493" s="3">
        <f>SUMIF(Tabela2[Código],Tabela6[[#This Row],[Código]],Tabela2[Saldo])</f>
        <v>0</v>
      </c>
      <c r="H493" s="2">
        <v>492</v>
      </c>
      <c r="K493" s="2"/>
      <c r="L493" s="2"/>
      <c r="M493" s="2"/>
      <c r="N493" s="2"/>
      <c r="O493" s="3"/>
      <c r="P493" s="56"/>
      <c r="Q493" s="3"/>
    </row>
    <row r="494" spans="1:17" x14ac:dyDescent="0.3">
      <c r="A494" s="36" t="s">
        <v>542</v>
      </c>
      <c r="B494" s="36" t="s">
        <v>811</v>
      </c>
      <c r="C494" s="36"/>
      <c r="D494" s="36"/>
      <c r="E494" s="3" t="s">
        <v>1158</v>
      </c>
      <c r="F494" s="60">
        <v>0.39</v>
      </c>
      <c r="G494" s="3">
        <f>SUMIF(Tabela2[Código],Tabela6[[#This Row],[Código]],Tabela2[Saldo])</f>
        <v>66</v>
      </c>
      <c r="H494" s="3">
        <v>493</v>
      </c>
      <c r="K494" s="36"/>
      <c r="L494" s="36"/>
      <c r="M494" s="36"/>
      <c r="N494" s="36"/>
      <c r="O494" s="3"/>
      <c r="P494" s="60"/>
      <c r="Q494" s="3"/>
    </row>
    <row r="495" spans="1:17" x14ac:dyDescent="0.3">
      <c r="A495" s="2" t="s">
        <v>543</v>
      </c>
      <c r="B495" s="2" t="s">
        <v>812</v>
      </c>
      <c r="C495" s="2"/>
      <c r="D495" s="2"/>
      <c r="E495" s="3" t="s">
        <v>1158</v>
      </c>
      <c r="F495" s="61">
        <v>0.39</v>
      </c>
      <c r="G495" s="3">
        <f>SUMIF(Tabela2[Código],Tabela6[[#This Row],[Código]],Tabela2[Saldo])</f>
        <v>8</v>
      </c>
      <c r="H495" s="2">
        <v>494</v>
      </c>
      <c r="K495" s="2"/>
      <c r="L495" s="2"/>
      <c r="M495" s="2"/>
      <c r="N495" s="2"/>
      <c r="O495" s="3"/>
      <c r="P495" s="61"/>
      <c r="Q495" s="3"/>
    </row>
    <row r="496" spans="1:17" x14ac:dyDescent="0.3">
      <c r="A496" s="2" t="s">
        <v>544</v>
      </c>
      <c r="B496" s="2" t="s">
        <v>813</v>
      </c>
      <c r="C496" s="2"/>
      <c r="D496" s="2"/>
      <c r="E496" s="3" t="s">
        <v>1158</v>
      </c>
      <c r="F496" s="61">
        <v>1.03</v>
      </c>
      <c r="G496" s="3">
        <f>SUMIF(Tabela2[Código],Tabela6[[#This Row],[Código]],Tabela2[Saldo])</f>
        <v>26</v>
      </c>
      <c r="H496" s="2">
        <v>495</v>
      </c>
      <c r="K496" s="2"/>
      <c r="L496" s="2"/>
      <c r="M496" s="2"/>
      <c r="N496" s="2"/>
      <c r="O496" s="3"/>
      <c r="P496" s="61"/>
      <c r="Q496" s="3"/>
    </row>
    <row r="497" spans="1:17" x14ac:dyDescent="0.3">
      <c r="A497" s="2" t="s">
        <v>545</v>
      </c>
      <c r="B497" s="2" t="s">
        <v>814</v>
      </c>
      <c r="C497" s="2"/>
      <c r="D497" s="2"/>
      <c r="E497" s="3" t="s">
        <v>1158</v>
      </c>
      <c r="F497" s="61">
        <v>1.21</v>
      </c>
      <c r="G497" s="3">
        <f>SUMIF(Tabela2[Código],Tabela6[[#This Row],[Código]],Tabela2[Saldo])</f>
        <v>49</v>
      </c>
      <c r="H497" s="3">
        <v>496</v>
      </c>
      <c r="K497" s="2"/>
      <c r="L497" s="2"/>
      <c r="M497" s="2"/>
      <c r="N497" s="2"/>
      <c r="O497" s="3"/>
      <c r="P497" s="61"/>
      <c r="Q497" s="3"/>
    </row>
    <row r="498" spans="1:17" x14ac:dyDescent="0.3">
      <c r="A498" s="2" t="s">
        <v>546</v>
      </c>
      <c r="B498" s="2" t="s">
        <v>815</v>
      </c>
      <c r="C498" s="2"/>
      <c r="D498" s="2"/>
      <c r="E498" s="3" t="s">
        <v>1158</v>
      </c>
      <c r="F498" s="61">
        <v>0.44</v>
      </c>
      <c r="G498" s="3">
        <f>SUMIF(Tabela2[Código],Tabela6[[#This Row],[Código]],Tabela2[Saldo])</f>
        <v>8</v>
      </c>
      <c r="H498" s="2">
        <v>497</v>
      </c>
      <c r="K498" s="2"/>
      <c r="L498" s="2"/>
      <c r="M498" s="2"/>
      <c r="N498" s="2"/>
      <c r="O498" s="3"/>
      <c r="P498" s="61"/>
      <c r="Q498" s="3"/>
    </row>
    <row r="499" spans="1:17" x14ac:dyDescent="0.3">
      <c r="A499" s="2" t="s">
        <v>547</v>
      </c>
      <c r="B499" s="2" t="s">
        <v>816</v>
      </c>
      <c r="C499" s="2"/>
      <c r="D499" s="2"/>
      <c r="E499" s="3" t="s">
        <v>1158</v>
      </c>
      <c r="F499" s="61">
        <v>1.26</v>
      </c>
      <c r="G499" s="3">
        <f>SUMIF(Tabela2[Código],Tabela6[[#This Row],[Código]],Tabela2[Saldo])</f>
        <v>54</v>
      </c>
      <c r="H499" s="2">
        <v>498</v>
      </c>
      <c r="K499" s="2"/>
      <c r="L499" s="2"/>
      <c r="M499" s="2"/>
      <c r="N499" s="2"/>
      <c r="O499" s="3"/>
      <c r="P499" s="61"/>
      <c r="Q499" s="3"/>
    </row>
    <row r="500" spans="1:17" x14ac:dyDescent="0.3">
      <c r="A500" s="2" t="s">
        <v>548</v>
      </c>
      <c r="B500" s="2" t="s">
        <v>817</v>
      </c>
      <c r="C500" s="2"/>
      <c r="D500" s="2"/>
      <c r="E500" s="3" t="s">
        <v>1158</v>
      </c>
      <c r="F500" s="61">
        <v>1.63</v>
      </c>
      <c r="G500" s="3">
        <f>SUMIF(Tabela2[Código],Tabela6[[#This Row],[Código]],Tabela2[Saldo])</f>
        <v>20</v>
      </c>
      <c r="H500" s="3">
        <v>499</v>
      </c>
      <c r="K500" s="2"/>
      <c r="L500" s="2"/>
      <c r="M500" s="2"/>
      <c r="N500" s="2"/>
      <c r="O500" s="3"/>
      <c r="P500" s="61"/>
      <c r="Q500" s="3"/>
    </row>
    <row r="501" spans="1:17" x14ac:dyDescent="0.3">
      <c r="A501" s="2" t="s">
        <v>549</v>
      </c>
      <c r="B501" s="2" t="s">
        <v>818</v>
      </c>
      <c r="C501" s="2"/>
      <c r="D501" s="2"/>
      <c r="E501" s="3" t="s">
        <v>1158</v>
      </c>
      <c r="F501" s="61">
        <v>1.71</v>
      </c>
      <c r="G501" s="3">
        <f>SUMIF(Tabela2[Código],Tabela6[[#This Row],[Código]],Tabela2[Saldo])</f>
        <v>29</v>
      </c>
      <c r="H501" s="2">
        <v>500</v>
      </c>
      <c r="K501" s="2"/>
      <c r="L501" s="2"/>
      <c r="M501" s="2"/>
      <c r="N501" s="2"/>
      <c r="O501" s="3"/>
      <c r="P501" s="61"/>
      <c r="Q501" s="3"/>
    </row>
    <row r="502" spans="1:17" x14ac:dyDescent="0.3">
      <c r="A502" s="2" t="s">
        <v>550</v>
      </c>
      <c r="B502" s="2" t="s">
        <v>819</v>
      </c>
      <c r="C502" s="2"/>
      <c r="D502" s="2"/>
      <c r="E502" s="3" t="s">
        <v>1158</v>
      </c>
      <c r="F502" s="61">
        <v>1.83</v>
      </c>
      <c r="G502" s="3">
        <f>SUMIF(Tabela2[Código],Tabela6[[#This Row],[Código]],Tabela2[Saldo])</f>
        <v>18</v>
      </c>
      <c r="H502" s="2">
        <v>501</v>
      </c>
      <c r="K502" s="2"/>
      <c r="L502" s="2"/>
      <c r="M502" s="2"/>
      <c r="N502" s="2"/>
      <c r="O502" s="3"/>
      <c r="P502" s="61"/>
      <c r="Q502" s="3"/>
    </row>
    <row r="503" spans="1:17" x14ac:dyDescent="0.3">
      <c r="A503" s="2" t="s">
        <v>551</v>
      </c>
      <c r="B503" s="2" t="s">
        <v>820</v>
      </c>
      <c r="C503" s="2"/>
      <c r="D503" s="2"/>
      <c r="E503" s="3" t="s">
        <v>1158</v>
      </c>
      <c r="F503" s="61">
        <v>0.69</v>
      </c>
      <c r="G503" s="3">
        <f>SUMIF(Tabela2[Código],Tabela6[[#This Row],[Código]],Tabela2[Saldo])</f>
        <v>25</v>
      </c>
      <c r="H503" s="3">
        <v>502</v>
      </c>
      <c r="K503" s="2"/>
      <c r="L503" s="2"/>
      <c r="M503" s="2"/>
      <c r="N503" s="2"/>
      <c r="O503" s="3"/>
      <c r="P503" s="61"/>
      <c r="Q503" s="3"/>
    </row>
    <row r="504" spans="1:17" x14ac:dyDescent="0.3">
      <c r="A504" s="2" t="s">
        <v>552</v>
      </c>
      <c r="B504" s="2" t="s">
        <v>821</v>
      </c>
      <c r="C504" s="2"/>
      <c r="D504" s="2"/>
      <c r="E504" s="3" t="s">
        <v>1159</v>
      </c>
      <c r="F504" s="61">
        <v>0.82</v>
      </c>
      <c r="G504" s="3">
        <f>SUMIF(Tabela2[Código],Tabela6[[#This Row],[Código]],Tabela2[Saldo])</f>
        <v>20</v>
      </c>
      <c r="H504" s="2">
        <v>503</v>
      </c>
      <c r="K504" s="2"/>
      <c r="L504" s="2"/>
      <c r="M504" s="2"/>
      <c r="N504" s="2"/>
      <c r="O504" s="3"/>
      <c r="P504" s="61"/>
      <c r="Q504" s="3"/>
    </row>
    <row r="505" spans="1:17" x14ac:dyDescent="0.3">
      <c r="A505" s="2" t="s">
        <v>553</v>
      </c>
      <c r="B505" s="2" t="s">
        <v>822</v>
      </c>
      <c r="C505" s="2"/>
      <c r="D505" s="2"/>
      <c r="E505" s="3" t="s">
        <v>1159</v>
      </c>
      <c r="F505" s="61">
        <v>1.06</v>
      </c>
      <c r="G505" s="3">
        <f>SUMIF(Tabela2[Código],Tabela6[[#This Row],[Código]],Tabela2[Saldo])</f>
        <v>33</v>
      </c>
      <c r="H505" s="2">
        <v>504</v>
      </c>
      <c r="K505" s="2"/>
      <c r="L505" s="2"/>
      <c r="M505" s="2"/>
      <c r="N505" s="2"/>
      <c r="O505" s="3"/>
      <c r="P505" s="61"/>
      <c r="Q505" s="3"/>
    </row>
    <row r="506" spans="1:17" x14ac:dyDescent="0.3">
      <c r="A506" s="2" t="s">
        <v>554</v>
      </c>
      <c r="B506" s="2" t="s">
        <v>823</v>
      </c>
      <c r="C506" s="2"/>
      <c r="D506" s="2"/>
      <c r="E506" s="3" t="s">
        <v>1159</v>
      </c>
      <c r="F506" s="61">
        <v>1.54</v>
      </c>
      <c r="G506" s="3">
        <f>SUMIF(Tabela2[Código],Tabela6[[#This Row],[Código]],Tabela2[Saldo])</f>
        <v>39</v>
      </c>
      <c r="H506" s="3">
        <v>505</v>
      </c>
      <c r="K506" s="2"/>
      <c r="L506" s="2"/>
      <c r="M506" s="2"/>
      <c r="N506" s="2"/>
      <c r="O506" s="3"/>
      <c r="P506" s="61"/>
      <c r="Q506" s="3"/>
    </row>
    <row r="507" spans="1:17" x14ac:dyDescent="0.3">
      <c r="A507" s="2" t="s">
        <v>555</v>
      </c>
      <c r="B507" s="2" t="s">
        <v>824</v>
      </c>
      <c r="C507" s="2"/>
      <c r="D507" s="2"/>
      <c r="E507" s="3" t="s">
        <v>1159</v>
      </c>
      <c r="F507" s="61">
        <v>1.85</v>
      </c>
      <c r="G507" s="3">
        <f>SUMIF(Tabela2[Código],Tabela6[[#This Row],[Código]],Tabela2[Saldo])</f>
        <v>14</v>
      </c>
      <c r="H507" s="2">
        <v>506</v>
      </c>
      <c r="K507" s="2"/>
      <c r="L507" s="2"/>
      <c r="M507" s="2"/>
      <c r="N507" s="2"/>
      <c r="O507" s="3"/>
      <c r="P507" s="61"/>
      <c r="Q507" s="3"/>
    </row>
    <row r="508" spans="1:17" x14ac:dyDescent="0.3">
      <c r="A508" s="2" t="s">
        <v>556</v>
      </c>
      <c r="B508" s="2" t="s">
        <v>825</v>
      </c>
      <c r="C508" s="2"/>
      <c r="D508" s="2"/>
      <c r="E508" s="3" t="s">
        <v>1159</v>
      </c>
      <c r="F508" s="61">
        <v>2.0299999999999998</v>
      </c>
      <c r="G508" s="3">
        <f>SUMIF(Tabela2[Código],Tabela6[[#This Row],[Código]],Tabela2[Saldo])</f>
        <v>5</v>
      </c>
      <c r="H508" s="2">
        <v>507</v>
      </c>
      <c r="K508" s="2"/>
      <c r="L508" s="2"/>
      <c r="M508" s="2"/>
      <c r="N508" s="2"/>
      <c r="O508" s="3"/>
      <c r="P508" s="61"/>
      <c r="Q508" s="3"/>
    </row>
    <row r="509" spans="1:17" x14ac:dyDescent="0.3">
      <c r="A509" s="2" t="s">
        <v>557</v>
      </c>
      <c r="B509" s="2" t="s">
        <v>826</v>
      </c>
      <c r="C509" s="2"/>
      <c r="D509" s="2"/>
      <c r="E509" s="3" t="s">
        <v>1159</v>
      </c>
      <c r="F509" s="61">
        <v>0.4</v>
      </c>
      <c r="G509" s="3">
        <f>SUMIF(Tabela2[Código],Tabela6[[#This Row],[Código]],Tabela2[Saldo])</f>
        <v>57</v>
      </c>
      <c r="H509" s="3">
        <v>508</v>
      </c>
      <c r="K509" s="2"/>
      <c r="L509" s="2"/>
      <c r="M509" s="2"/>
      <c r="N509" s="2"/>
      <c r="O509" s="3"/>
      <c r="P509" s="61"/>
      <c r="Q509" s="3"/>
    </row>
    <row r="510" spans="1:17" x14ac:dyDescent="0.3">
      <c r="A510" s="2" t="s">
        <v>558</v>
      </c>
      <c r="B510" s="2" t="s">
        <v>827</v>
      </c>
      <c r="C510" s="2"/>
      <c r="D510" s="2"/>
      <c r="E510" s="3" t="s">
        <v>1160</v>
      </c>
      <c r="F510" s="61">
        <v>0.6</v>
      </c>
      <c r="G510" s="3">
        <f>SUMIF(Tabela2[Código],Tabela6[[#This Row],[Código]],Tabela2[Saldo])</f>
        <v>25</v>
      </c>
      <c r="H510" s="2">
        <v>509</v>
      </c>
      <c r="K510" s="2"/>
      <c r="L510" s="2"/>
      <c r="M510" s="2"/>
      <c r="N510" s="2"/>
      <c r="O510" s="3"/>
      <c r="P510" s="61"/>
      <c r="Q510" s="3"/>
    </row>
    <row r="511" spans="1:17" x14ac:dyDescent="0.3">
      <c r="A511" s="2" t="s">
        <v>559</v>
      </c>
      <c r="B511" s="2" t="s">
        <v>828</v>
      </c>
      <c r="C511" s="2"/>
      <c r="D511" s="2"/>
      <c r="E511" s="3" t="s">
        <v>1160</v>
      </c>
      <c r="F511" s="61">
        <v>0.62</v>
      </c>
      <c r="G511" s="3">
        <f>SUMIF(Tabela2[Código],Tabela6[[#This Row],[Código]],Tabela2[Saldo])</f>
        <v>59</v>
      </c>
      <c r="H511" s="2">
        <v>510</v>
      </c>
      <c r="K511" s="2"/>
      <c r="L511" s="2"/>
      <c r="M511" s="2"/>
      <c r="N511" s="2"/>
      <c r="O511" s="3"/>
      <c r="P511" s="61"/>
      <c r="Q511" s="3"/>
    </row>
    <row r="512" spans="1:17" x14ac:dyDescent="0.3">
      <c r="A512" s="2" t="s">
        <v>560</v>
      </c>
      <c r="B512" s="2" t="s">
        <v>829</v>
      </c>
      <c r="C512" s="2"/>
      <c r="D512" s="2"/>
      <c r="E512" s="3" t="s">
        <v>1160</v>
      </c>
      <c r="F512" s="61">
        <v>0.66</v>
      </c>
      <c r="G512" s="3">
        <f>SUMIF(Tabela2[Código],Tabela6[[#This Row],[Código]],Tabela2[Saldo])</f>
        <v>61</v>
      </c>
      <c r="H512" s="3">
        <v>511</v>
      </c>
      <c r="K512" s="2"/>
      <c r="L512" s="2"/>
      <c r="M512" s="2"/>
      <c r="N512" s="2"/>
      <c r="O512" s="3"/>
      <c r="P512" s="61"/>
      <c r="Q512" s="3"/>
    </row>
    <row r="513" spans="1:17" x14ac:dyDescent="0.3">
      <c r="A513" s="2" t="s">
        <v>561</v>
      </c>
      <c r="B513" s="2" t="s">
        <v>830</v>
      </c>
      <c r="C513" s="2"/>
      <c r="D513" s="2"/>
      <c r="E513" s="3" t="s">
        <v>1160</v>
      </c>
      <c r="F513" s="61">
        <v>1.17</v>
      </c>
      <c r="G513" s="3">
        <f>SUMIF(Tabela2[Código],Tabela6[[#This Row],[Código]],Tabela2[Saldo])</f>
        <v>6</v>
      </c>
      <c r="H513" s="2">
        <v>512</v>
      </c>
      <c r="K513" s="2"/>
      <c r="L513" s="2"/>
      <c r="M513" s="2"/>
      <c r="N513" s="2"/>
      <c r="O513" s="3"/>
      <c r="P513" s="61"/>
      <c r="Q513" s="3"/>
    </row>
    <row r="514" spans="1:17" x14ac:dyDescent="0.3">
      <c r="A514" s="2" t="s">
        <v>562</v>
      </c>
      <c r="B514" s="2" t="s">
        <v>831</v>
      </c>
      <c r="C514" s="2"/>
      <c r="D514" s="2"/>
      <c r="E514" s="3" t="s">
        <v>1160</v>
      </c>
      <c r="F514" s="61">
        <v>14.65</v>
      </c>
      <c r="G514" s="3">
        <f>SUMIF(Tabela2[Código],Tabela6[[#This Row],[Código]],Tabela2[Saldo])</f>
        <v>46</v>
      </c>
      <c r="H514" s="2">
        <v>513</v>
      </c>
      <c r="K514" s="2"/>
      <c r="L514" s="2"/>
      <c r="M514" s="2"/>
      <c r="N514" s="2"/>
      <c r="O514" s="3"/>
      <c r="P514" s="61"/>
      <c r="Q514" s="3"/>
    </row>
    <row r="515" spans="1:17" x14ac:dyDescent="0.3">
      <c r="A515" s="2" t="s">
        <v>563</v>
      </c>
      <c r="B515" s="2" t="s">
        <v>832</v>
      </c>
      <c r="C515" s="2"/>
      <c r="D515" s="2"/>
      <c r="E515" s="3" t="s">
        <v>1160</v>
      </c>
      <c r="F515" s="61">
        <v>9.5</v>
      </c>
      <c r="G515" s="3">
        <f>SUMIF(Tabela2[Código],Tabela6[[#This Row],[Código]],Tabela2[Saldo])</f>
        <v>4</v>
      </c>
      <c r="H515" s="3">
        <v>514</v>
      </c>
      <c r="K515" s="2"/>
      <c r="L515" s="2"/>
      <c r="M515" s="2"/>
      <c r="N515" s="2"/>
      <c r="O515" s="3"/>
      <c r="P515" s="61"/>
      <c r="Q515" s="3"/>
    </row>
    <row r="516" spans="1:17" x14ac:dyDescent="0.3">
      <c r="A516" s="2" t="s">
        <v>564</v>
      </c>
      <c r="B516" s="2" t="s">
        <v>833</v>
      </c>
      <c r="C516" s="2"/>
      <c r="D516" s="2"/>
      <c r="E516" s="3" t="s">
        <v>1160</v>
      </c>
      <c r="F516" s="61">
        <v>39.979999999999997</v>
      </c>
      <c r="G516" s="3">
        <f>SUMIF(Tabela2[Código],Tabela6[[#This Row],[Código]],Tabela2[Saldo])</f>
        <v>4</v>
      </c>
      <c r="H516" s="2">
        <v>515</v>
      </c>
      <c r="K516" s="2"/>
      <c r="L516" s="2"/>
      <c r="M516" s="2"/>
      <c r="N516" s="2"/>
      <c r="O516" s="3"/>
      <c r="P516" s="61"/>
      <c r="Q516" s="3"/>
    </row>
    <row r="517" spans="1:17" x14ac:dyDescent="0.3">
      <c r="A517" s="2" t="s">
        <v>565</v>
      </c>
      <c r="B517" s="2" t="s">
        <v>834</v>
      </c>
      <c r="C517" s="2"/>
      <c r="D517" s="2"/>
      <c r="E517" s="3" t="s">
        <v>1160</v>
      </c>
      <c r="F517" s="61">
        <v>14.7</v>
      </c>
      <c r="G517" s="3">
        <f>SUMIF(Tabela2[Código],Tabela6[[#This Row],[Código]],Tabela2[Saldo])</f>
        <v>5</v>
      </c>
      <c r="H517" s="2">
        <v>516</v>
      </c>
      <c r="K517" s="2"/>
      <c r="L517" s="2"/>
      <c r="M517" s="2"/>
      <c r="N517" s="2"/>
      <c r="O517" s="3"/>
      <c r="P517" s="61"/>
      <c r="Q517" s="3"/>
    </row>
    <row r="518" spans="1:17" x14ac:dyDescent="0.3">
      <c r="A518" s="2" t="s">
        <v>566</v>
      </c>
      <c r="B518" s="2" t="s">
        <v>835</v>
      </c>
      <c r="C518" s="2"/>
      <c r="D518" s="2"/>
      <c r="E518" s="3" t="s">
        <v>1160</v>
      </c>
      <c r="F518" s="61">
        <v>0.55000000000000004</v>
      </c>
      <c r="G518" s="3">
        <f>SUMIF(Tabela2[Código],Tabela6[[#This Row],[Código]],Tabela2[Saldo])</f>
        <v>13</v>
      </c>
      <c r="H518" s="3">
        <v>517</v>
      </c>
      <c r="K518" s="2"/>
      <c r="L518" s="2"/>
      <c r="M518" s="2"/>
      <c r="N518" s="2"/>
      <c r="O518" s="3"/>
      <c r="P518" s="61"/>
      <c r="Q518" s="3"/>
    </row>
    <row r="519" spans="1:17" x14ac:dyDescent="0.3">
      <c r="A519" s="2" t="s">
        <v>567</v>
      </c>
      <c r="B519" s="2" t="s">
        <v>836</v>
      </c>
      <c r="C519" s="2"/>
      <c r="D519" s="2"/>
      <c r="E519" s="3" t="s">
        <v>1161</v>
      </c>
      <c r="F519" s="61">
        <v>5.54</v>
      </c>
      <c r="G519" s="3">
        <f>SUMIF(Tabela2[Código],Tabela6[[#This Row],[Código]],Tabela2[Saldo])</f>
        <v>19</v>
      </c>
      <c r="H519" s="2">
        <v>518</v>
      </c>
      <c r="K519" s="2"/>
      <c r="L519" s="2"/>
      <c r="M519" s="2"/>
      <c r="N519" s="2"/>
      <c r="O519" s="3"/>
      <c r="P519" s="61"/>
      <c r="Q519" s="3"/>
    </row>
    <row r="520" spans="1:17" x14ac:dyDescent="0.3">
      <c r="A520" s="2" t="s">
        <v>568</v>
      </c>
      <c r="B520" s="2" t="s">
        <v>837</v>
      </c>
      <c r="C520" s="2"/>
      <c r="D520" s="2"/>
      <c r="E520" s="3" t="s">
        <v>1161</v>
      </c>
      <c r="F520" s="61">
        <v>1.4</v>
      </c>
      <c r="G520" s="3">
        <f>SUMIF(Tabela2[Código],Tabela6[[#This Row],[Código]],Tabela2[Saldo])</f>
        <v>20</v>
      </c>
      <c r="H520" s="2">
        <v>519</v>
      </c>
      <c r="K520" s="2"/>
      <c r="L520" s="2"/>
      <c r="M520" s="2"/>
      <c r="N520" s="2"/>
      <c r="O520" s="3"/>
      <c r="P520" s="61"/>
      <c r="Q520" s="3"/>
    </row>
    <row r="521" spans="1:17" x14ac:dyDescent="0.3">
      <c r="A521" s="2" t="s">
        <v>569</v>
      </c>
      <c r="B521" s="2" t="s">
        <v>838</v>
      </c>
      <c r="C521" s="2"/>
      <c r="D521" s="2"/>
      <c r="E521" s="3" t="s">
        <v>1161</v>
      </c>
      <c r="F521" s="61">
        <v>1.8</v>
      </c>
      <c r="G521" s="3">
        <f>SUMIF(Tabela2[Código],Tabela6[[#This Row],[Código]],Tabela2[Saldo])</f>
        <v>38</v>
      </c>
      <c r="H521" s="3">
        <v>520</v>
      </c>
      <c r="K521" s="2"/>
      <c r="L521" s="2"/>
      <c r="M521" s="2"/>
      <c r="N521" s="2"/>
      <c r="O521" s="3"/>
      <c r="P521" s="61"/>
      <c r="Q521" s="3"/>
    </row>
    <row r="522" spans="1:17" x14ac:dyDescent="0.3">
      <c r="A522" s="2" t="s">
        <v>570</v>
      </c>
      <c r="B522" s="2" t="s">
        <v>839</v>
      </c>
      <c r="C522" s="2"/>
      <c r="D522" s="2"/>
      <c r="E522" s="3" t="s">
        <v>1161</v>
      </c>
      <c r="F522" s="61">
        <v>3.5</v>
      </c>
      <c r="G522" s="3">
        <f>SUMIF(Tabela2[Código],Tabela6[[#This Row],[Código]],Tabela2[Saldo])</f>
        <v>4</v>
      </c>
      <c r="H522" s="2">
        <v>521</v>
      </c>
      <c r="K522" s="2"/>
      <c r="L522" s="2"/>
      <c r="M522" s="2"/>
      <c r="N522" s="2"/>
      <c r="O522" s="3"/>
      <c r="P522" s="61"/>
      <c r="Q522" s="3"/>
    </row>
    <row r="523" spans="1:17" x14ac:dyDescent="0.3">
      <c r="A523" s="2" t="s">
        <v>571</v>
      </c>
      <c r="B523" s="2" t="s">
        <v>840</v>
      </c>
      <c r="C523" s="2"/>
      <c r="D523" s="2"/>
      <c r="E523" s="3" t="s">
        <v>1161</v>
      </c>
      <c r="F523" s="61">
        <v>35.18</v>
      </c>
      <c r="G523" s="3">
        <f>SUMIF(Tabela2[Código],Tabela6[[#This Row],[Código]],Tabela2[Saldo])</f>
        <v>2</v>
      </c>
      <c r="H523" s="2">
        <v>522</v>
      </c>
      <c r="K523" s="2"/>
      <c r="L523" s="2"/>
      <c r="M523" s="2"/>
      <c r="N523" s="2"/>
      <c r="O523" s="3"/>
      <c r="P523" s="61"/>
      <c r="Q523" s="3"/>
    </row>
    <row r="524" spans="1:17" x14ac:dyDescent="0.3">
      <c r="A524" s="2" t="s">
        <v>572</v>
      </c>
      <c r="B524" s="2" t="s">
        <v>841</v>
      </c>
      <c r="C524" s="2"/>
      <c r="D524" s="2"/>
      <c r="E524" s="3" t="s">
        <v>1161</v>
      </c>
      <c r="F524" s="61">
        <v>0.01</v>
      </c>
      <c r="G524" s="3">
        <f>SUMIF(Tabela2[Código],Tabela6[[#This Row],[Código]],Tabela2[Saldo])</f>
        <v>2</v>
      </c>
      <c r="H524" s="3">
        <v>523</v>
      </c>
      <c r="K524" s="2"/>
      <c r="L524" s="2"/>
      <c r="M524" s="2"/>
      <c r="N524" s="2"/>
      <c r="O524" s="3"/>
      <c r="P524" s="61"/>
      <c r="Q524" s="3"/>
    </row>
    <row r="525" spans="1:17" x14ac:dyDescent="0.3">
      <c r="A525" s="2" t="s">
        <v>573</v>
      </c>
      <c r="B525" s="2" t="s">
        <v>842</v>
      </c>
      <c r="C525" s="2"/>
      <c r="D525" s="2"/>
      <c r="E525" s="3" t="s">
        <v>1161</v>
      </c>
      <c r="F525" s="61">
        <v>3.5</v>
      </c>
      <c r="G525" s="3">
        <f>SUMIF(Tabela2[Código],Tabela6[[#This Row],[Código]],Tabela2[Saldo])</f>
        <v>1</v>
      </c>
      <c r="H525" s="2">
        <v>524</v>
      </c>
      <c r="K525" s="2"/>
      <c r="L525" s="2"/>
      <c r="M525" s="2"/>
      <c r="N525" s="2"/>
      <c r="O525" s="3"/>
      <c r="P525" s="61"/>
      <c r="Q525" s="3"/>
    </row>
    <row r="526" spans="1:17" x14ac:dyDescent="0.3">
      <c r="A526" s="2" t="s">
        <v>574</v>
      </c>
      <c r="B526" s="2" t="s">
        <v>843</v>
      </c>
      <c r="C526" s="2"/>
      <c r="D526" s="2"/>
      <c r="E526" s="3" t="s">
        <v>1161</v>
      </c>
      <c r="F526" s="61">
        <v>4.5</v>
      </c>
      <c r="G526" s="3">
        <f>SUMIF(Tabela2[Código],Tabela6[[#This Row],[Código]],Tabela2[Saldo])</f>
        <v>2</v>
      </c>
      <c r="H526" s="2">
        <v>525</v>
      </c>
      <c r="K526" s="2"/>
      <c r="L526" s="2"/>
      <c r="M526" s="2"/>
      <c r="N526" s="2"/>
      <c r="O526" s="3"/>
      <c r="P526" s="61"/>
      <c r="Q526" s="3"/>
    </row>
    <row r="527" spans="1:17" x14ac:dyDescent="0.3">
      <c r="A527" s="2" t="s">
        <v>575</v>
      </c>
      <c r="B527" s="2" t="s">
        <v>844</v>
      </c>
      <c r="C527" s="2"/>
      <c r="D527" s="2"/>
      <c r="E527" s="3" t="s">
        <v>1161</v>
      </c>
      <c r="F527" s="61">
        <v>4.8499999999999996</v>
      </c>
      <c r="G527" s="3">
        <f>SUMIF(Tabela2[Código],Tabela6[[#This Row],[Código]],Tabela2[Saldo])</f>
        <v>12</v>
      </c>
      <c r="H527" s="3">
        <v>526</v>
      </c>
      <c r="K527" s="2"/>
      <c r="L527" s="2"/>
      <c r="M527" s="2"/>
      <c r="N527" s="2"/>
      <c r="O527" s="3"/>
      <c r="P527" s="61"/>
      <c r="Q527" s="3"/>
    </row>
    <row r="528" spans="1:17" x14ac:dyDescent="0.3">
      <c r="A528" s="2" t="s">
        <v>576</v>
      </c>
      <c r="B528" s="2" t="s">
        <v>845</v>
      </c>
      <c r="C528" s="2"/>
      <c r="D528" s="2"/>
      <c r="E528" s="3" t="s">
        <v>1161</v>
      </c>
      <c r="F528" s="61">
        <v>5.95</v>
      </c>
      <c r="G528" s="3">
        <f>SUMIF(Tabela2[Código],Tabela6[[#This Row],[Código]],Tabela2[Saldo])</f>
        <v>5</v>
      </c>
      <c r="H528" s="2">
        <v>527</v>
      </c>
      <c r="K528" s="2"/>
      <c r="L528" s="2"/>
      <c r="M528" s="2"/>
      <c r="N528" s="2"/>
      <c r="O528" s="3"/>
      <c r="P528" s="61"/>
      <c r="Q528" s="3"/>
    </row>
    <row r="529" spans="1:17" x14ac:dyDescent="0.3">
      <c r="A529" s="2" t="s">
        <v>577</v>
      </c>
      <c r="B529" s="2" t="s">
        <v>846</v>
      </c>
      <c r="C529" s="2"/>
      <c r="D529" s="2"/>
      <c r="E529" s="3" t="s">
        <v>1161</v>
      </c>
      <c r="F529" s="61">
        <v>25.29</v>
      </c>
      <c r="G529" s="3">
        <f>SUMIF(Tabela2[Código],Tabela6[[#This Row],[Código]],Tabela2[Saldo])</f>
        <v>1</v>
      </c>
      <c r="H529" s="2">
        <v>528</v>
      </c>
      <c r="K529" s="2"/>
      <c r="L529" s="2"/>
      <c r="M529" s="2"/>
      <c r="N529" s="2"/>
      <c r="O529" s="3"/>
      <c r="P529" s="61"/>
      <c r="Q529" s="3"/>
    </row>
    <row r="530" spans="1:17" x14ac:dyDescent="0.3">
      <c r="A530" s="2" t="s">
        <v>578</v>
      </c>
      <c r="B530" s="2" t="s">
        <v>847</v>
      </c>
      <c r="C530" s="2"/>
      <c r="D530" s="2"/>
      <c r="E530" s="3" t="s">
        <v>1161</v>
      </c>
      <c r="F530" s="61">
        <v>39.840000000000003</v>
      </c>
      <c r="G530" s="3">
        <f>SUMIF(Tabela2[Código],Tabela6[[#This Row],[Código]],Tabela2[Saldo])</f>
        <v>1</v>
      </c>
      <c r="H530" s="3">
        <v>529</v>
      </c>
      <c r="K530" s="2"/>
      <c r="L530" s="2"/>
      <c r="M530" s="2"/>
      <c r="N530" s="2"/>
      <c r="O530" s="3"/>
      <c r="P530" s="61"/>
      <c r="Q530" s="3"/>
    </row>
    <row r="531" spans="1:17" x14ac:dyDescent="0.3">
      <c r="A531" s="2" t="s">
        <v>579</v>
      </c>
      <c r="B531" s="2" t="s">
        <v>848</v>
      </c>
      <c r="C531" s="2"/>
      <c r="D531" s="2"/>
      <c r="E531" s="3" t="s">
        <v>1161</v>
      </c>
      <c r="F531" s="61">
        <v>30.23</v>
      </c>
      <c r="G531" s="3">
        <f>SUMIF(Tabela2[Código],Tabela6[[#This Row],[Código]],Tabela2[Saldo])</f>
        <v>4</v>
      </c>
      <c r="H531" s="2">
        <v>530</v>
      </c>
      <c r="K531" s="2"/>
      <c r="L531" s="2"/>
      <c r="M531" s="2"/>
      <c r="N531" s="2"/>
      <c r="O531" s="3"/>
      <c r="P531" s="61"/>
      <c r="Q531" s="3"/>
    </row>
    <row r="532" spans="1:17" x14ac:dyDescent="0.3">
      <c r="A532" s="2" t="s">
        <v>580</v>
      </c>
      <c r="B532" s="2" t="s">
        <v>849</v>
      </c>
      <c r="C532" s="2"/>
      <c r="D532" s="2"/>
      <c r="E532" s="3" t="s">
        <v>1161</v>
      </c>
      <c r="F532" s="61">
        <v>60.29</v>
      </c>
      <c r="G532" s="3">
        <f>SUMIF(Tabela2[Código],Tabela6[[#This Row],[Código]],Tabela2[Saldo])</f>
        <v>3</v>
      </c>
      <c r="H532" s="2">
        <v>531</v>
      </c>
      <c r="K532" s="2"/>
      <c r="L532" s="2"/>
      <c r="M532" s="2"/>
      <c r="N532" s="2"/>
      <c r="O532" s="3"/>
      <c r="P532" s="61"/>
      <c r="Q532" s="3"/>
    </row>
    <row r="533" spans="1:17" x14ac:dyDescent="0.3">
      <c r="A533" s="2" t="s">
        <v>581</v>
      </c>
      <c r="B533" s="2" t="s">
        <v>850</v>
      </c>
      <c r="C533" s="2"/>
      <c r="D533" s="2"/>
      <c r="E533" s="3" t="s">
        <v>1161</v>
      </c>
      <c r="F533" s="61">
        <v>0.01</v>
      </c>
      <c r="G533" s="3">
        <f>SUMIF(Tabela2[Código],Tabela6[[#This Row],[Código]],Tabela2[Saldo])</f>
        <v>3</v>
      </c>
      <c r="H533" s="3">
        <v>532</v>
      </c>
      <c r="K533" s="2"/>
      <c r="L533" s="2"/>
      <c r="M533" s="2"/>
      <c r="N533" s="2"/>
      <c r="O533" s="3"/>
      <c r="P533" s="61"/>
      <c r="Q533" s="3"/>
    </row>
    <row r="534" spans="1:17" x14ac:dyDescent="0.3">
      <c r="A534" s="2" t="s">
        <v>582</v>
      </c>
      <c r="B534" s="2" t="s">
        <v>851</v>
      </c>
      <c r="C534" s="2"/>
      <c r="D534" s="2"/>
      <c r="E534" s="3" t="s">
        <v>1161</v>
      </c>
      <c r="F534" s="61">
        <v>10.8</v>
      </c>
      <c r="G534" s="3">
        <f>SUMIF(Tabela2[Código],Tabela6[[#This Row],[Código]],Tabela2[Saldo])</f>
        <v>2</v>
      </c>
      <c r="H534" s="2">
        <v>533</v>
      </c>
      <c r="K534" s="2"/>
      <c r="L534" s="2"/>
      <c r="M534" s="2"/>
      <c r="N534" s="2"/>
      <c r="O534" s="3"/>
      <c r="P534" s="61"/>
      <c r="Q534" s="3"/>
    </row>
    <row r="535" spans="1:17" x14ac:dyDescent="0.3">
      <c r="A535" s="2" t="s">
        <v>583</v>
      </c>
      <c r="B535" s="2" t="s">
        <v>852</v>
      </c>
      <c r="C535" s="2"/>
      <c r="D535" s="2"/>
      <c r="E535" s="3" t="s">
        <v>1161</v>
      </c>
      <c r="F535" s="61">
        <v>12.77</v>
      </c>
      <c r="G535" s="3">
        <f>SUMIF(Tabela2[Código],Tabela6[[#This Row],[Código]],Tabela2[Saldo])</f>
        <v>4</v>
      </c>
      <c r="H535" s="2">
        <v>534</v>
      </c>
      <c r="K535" s="2"/>
      <c r="L535" s="2"/>
      <c r="M535" s="2"/>
      <c r="N535" s="2"/>
      <c r="O535" s="3"/>
      <c r="P535" s="61"/>
      <c r="Q535" s="3"/>
    </row>
    <row r="536" spans="1:17" x14ac:dyDescent="0.3">
      <c r="A536" s="2" t="s">
        <v>584</v>
      </c>
      <c r="B536" s="2" t="s">
        <v>853</v>
      </c>
      <c r="C536" s="2"/>
      <c r="D536" s="2"/>
      <c r="E536" s="3" t="s">
        <v>1161</v>
      </c>
      <c r="F536" s="61">
        <v>41.88</v>
      </c>
      <c r="G536" s="3">
        <f>SUMIF(Tabela2[Código],Tabela6[[#This Row],[Código]],Tabela2[Saldo])</f>
        <v>3</v>
      </c>
      <c r="H536" s="3">
        <v>535</v>
      </c>
      <c r="K536" s="2"/>
      <c r="L536" s="2"/>
      <c r="M536" s="2"/>
      <c r="N536" s="2"/>
      <c r="O536" s="3"/>
      <c r="P536" s="61"/>
      <c r="Q536" s="3"/>
    </row>
    <row r="537" spans="1:17" x14ac:dyDescent="0.3">
      <c r="A537" s="2" t="s">
        <v>585</v>
      </c>
      <c r="B537" s="2" t="s">
        <v>854</v>
      </c>
      <c r="C537" s="2"/>
      <c r="D537" s="2"/>
      <c r="E537" s="3" t="s">
        <v>1161</v>
      </c>
      <c r="F537" s="61">
        <v>82.27</v>
      </c>
      <c r="G537" s="3">
        <f>SUMIF(Tabela2[Código],Tabela6[[#This Row],[Código]],Tabela2[Saldo])</f>
        <v>5</v>
      </c>
      <c r="H537" s="2">
        <v>536</v>
      </c>
      <c r="K537" s="2"/>
      <c r="L537" s="2"/>
      <c r="M537" s="2"/>
      <c r="N537" s="2"/>
      <c r="O537" s="3"/>
      <c r="P537" s="61"/>
      <c r="Q537" s="3"/>
    </row>
    <row r="538" spans="1:17" x14ac:dyDescent="0.3">
      <c r="A538" s="2" t="s">
        <v>586</v>
      </c>
      <c r="B538" s="2" t="s">
        <v>855</v>
      </c>
      <c r="C538" s="2"/>
      <c r="D538" s="2"/>
      <c r="E538" s="3" t="s">
        <v>1161</v>
      </c>
      <c r="F538" s="61">
        <v>68.22</v>
      </c>
      <c r="G538" s="3">
        <f>SUMIF(Tabela2[Código],Tabela6[[#This Row],[Código]],Tabela2[Saldo])</f>
        <v>1.5</v>
      </c>
      <c r="H538" s="2">
        <v>537</v>
      </c>
      <c r="K538" s="2"/>
      <c r="L538" s="2"/>
      <c r="M538" s="2"/>
      <c r="N538" s="2"/>
      <c r="O538" s="3"/>
      <c r="P538" s="61"/>
      <c r="Q538" s="3"/>
    </row>
    <row r="539" spans="1:17" x14ac:dyDescent="0.3">
      <c r="A539" s="2" t="s">
        <v>587</v>
      </c>
      <c r="B539" s="2" t="s">
        <v>856</v>
      </c>
      <c r="C539" s="2"/>
      <c r="D539" s="2"/>
      <c r="E539" s="3" t="s">
        <v>1161</v>
      </c>
      <c r="F539" s="61">
        <v>39.85</v>
      </c>
      <c r="G539" s="3">
        <f>SUMIF(Tabela2[Código],Tabela6[[#This Row],[Código]],Tabela2[Saldo])</f>
        <v>1</v>
      </c>
      <c r="H539" s="3">
        <v>538</v>
      </c>
      <c r="K539" s="2"/>
      <c r="L539" s="2"/>
      <c r="M539" s="2"/>
      <c r="N539" s="2"/>
      <c r="O539" s="3"/>
      <c r="P539" s="61"/>
      <c r="Q539" s="3"/>
    </row>
    <row r="540" spans="1:17" x14ac:dyDescent="0.3">
      <c r="A540" s="2" t="s">
        <v>588</v>
      </c>
      <c r="B540" s="2" t="s">
        <v>857</v>
      </c>
      <c r="C540" s="2"/>
      <c r="D540" s="2"/>
      <c r="E540" s="3" t="s">
        <v>1161</v>
      </c>
      <c r="F540" s="61">
        <v>27.12</v>
      </c>
      <c r="G540" s="3">
        <f>SUMIF(Tabela2[Código],Tabela6[[#This Row],[Código]],Tabela2[Saldo])</f>
        <v>13</v>
      </c>
      <c r="H540" s="2">
        <v>539</v>
      </c>
      <c r="K540" s="2"/>
      <c r="L540" s="2"/>
      <c r="M540" s="2"/>
      <c r="N540" s="2"/>
      <c r="O540" s="3"/>
      <c r="P540" s="61"/>
      <c r="Q540" s="3"/>
    </row>
    <row r="541" spans="1:17" x14ac:dyDescent="0.3">
      <c r="A541" s="2" t="s">
        <v>589</v>
      </c>
      <c r="B541" s="2" t="s">
        <v>858</v>
      </c>
      <c r="C541" s="2"/>
      <c r="D541" s="2"/>
      <c r="E541" s="3" t="s">
        <v>1161</v>
      </c>
      <c r="F541" s="61">
        <v>16.989999999999998</v>
      </c>
      <c r="G541" s="3">
        <f>SUMIF(Tabela2[Código],Tabela6[[#This Row],[Código]],Tabela2[Saldo])</f>
        <v>2</v>
      </c>
      <c r="H541" s="2">
        <v>540</v>
      </c>
      <c r="K541" s="2"/>
      <c r="L541" s="2"/>
      <c r="M541" s="2"/>
      <c r="N541" s="2"/>
      <c r="O541" s="3"/>
      <c r="P541" s="61"/>
      <c r="Q541" s="3"/>
    </row>
    <row r="542" spans="1:17" x14ac:dyDescent="0.3">
      <c r="A542" s="2" t="s">
        <v>590</v>
      </c>
      <c r="B542" s="2" t="s">
        <v>859</v>
      </c>
      <c r="C542" s="2"/>
      <c r="D542" s="2"/>
      <c r="E542" s="3" t="s">
        <v>1161</v>
      </c>
      <c r="F542" s="61">
        <v>22.7</v>
      </c>
      <c r="G542" s="3">
        <f>SUMIF(Tabela2[Código],Tabela6[[#This Row],[Código]],Tabela2[Saldo])</f>
        <v>29</v>
      </c>
      <c r="H542" s="3">
        <v>541</v>
      </c>
      <c r="K542" s="2"/>
      <c r="L542" s="2"/>
      <c r="M542" s="2"/>
      <c r="N542" s="2"/>
      <c r="O542" s="3"/>
      <c r="P542" s="61"/>
      <c r="Q542" s="3"/>
    </row>
    <row r="543" spans="1:17" x14ac:dyDescent="0.3">
      <c r="A543" s="2" t="s">
        <v>591</v>
      </c>
      <c r="B543" s="2" t="s">
        <v>860</v>
      </c>
      <c r="C543" s="2"/>
      <c r="D543" s="2"/>
      <c r="E543" s="3" t="s">
        <v>1161</v>
      </c>
      <c r="F543" s="61">
        <v>37.01</v>
      </c>
      <c r="G543" s="3">
        <f>SUMIF(Tabela2[Código],Tabela6[[#This Row],[Código]],Tabela2[Saldo])</f>
        <v>1</v>
      </c>
      <c r="H543" s="2">
        <v>542</v>
      </c>
      <c r="K543" s="2"/>
      <c r="L543" s="2"/>
      <c r="M543" s="2"/>
      <c r="N543" s="2"/>
      <c r="O543" s="3"/>
      <c r="P543" s="61"/>
      <c r="Q543" s="3"/>
    </row>
    <row r="544" spans="1:17" x14ac:dyDescent="0.3">
      <c r="A544" s="2" t="s">
        <v>592</v>
      </c>
      <c r="B544" s="2" t="s">
        <v>861</v>
      </c>
      <c r="C544" s="2"/>
      <c r="D544" s="2"/>
      <c r="E544" s="3" t="s">
        <v>1161</v>
      </c>
      <c r="F544" s="61">
        <v>42.1</v>
      </c>
      <c r="G544" s="3">
        <f>SUMIF(Tabela2[Código],Tabela6[[#This Row],[Código]],Tabela2[Saldo])</f>
        <v>1</v>
      </c>
      <c r="H544" s="2">
        <v>543</v>
      </c>
      <c r="K544" s="2"/>
      <c r="L544" s="2"/>
      <c r="M544" s="2"/>
      <c r="N544" s="2"/>
      <c r="O544" s="3"/>
      <c r="P544" s="61"/>
      <c r="Q544" s="3"/>
    </row>
    <row r="545" spans="1:17" x14ac:dyDescent="0.3">
      <c r="A545" s="2" t="s">
        <v>593</v>
      </c>
      <c r="B545" s="2" t="s">
        <v>862</v>
      </c>
      <c r="C545" s="2"/>
      <c r="D545" s="2"/>
      <c r="E545" s="3" t="s">
        <v>1161</v>
      </c>
      <c r="F545" s="61">
        <v>64.58</v>
      </c>
      <c r="G545" s="3">
        <f>SUMIF(Tabela2[Código],Tabela6[[#This Row],[Código]],Tabela2[Saldo])</f>
        <v>1</v>
      </c>
      <c r="H545" s="3">
        <v>544</v>
      </c>
      <c r="K545" s="2"/>
      <c r="L545" s="2"/>
      <c r="M545" s="2"/>
      <c r="N545" s="2"/>
      <c r="O545" s="3"/>
      <c r="P545" s="61"/>
      <c r="Q545" s="3"/>
    </row>
    <row r="546" spans="1:17" x14ac:dyDescent="0.3">
      <c r="A546" s="2" t="s">
        <v>594</v>
      </c>
      <c r="B546" s="2" t="s">
        <v>863</v>
      </c>
      <c r="C546" s="2"/>
      <c r="D546" s="2"/>
      <c r="E546" s="3" t="s">
        <v>1161</v>
      </c>
      <c r="F546" s="61">
        <v>4.7300000000000004</v>
      </c>
      <c r="G546" s="3">
        <f>SUMIF(Tabela2[Código],Tabela6[[#This Row],[Código]],Tabela2[Saldo])</f>
        <v>2</v>
      </c>
      <c r="H546" s="2">
        <v>545</v>
      </c>
      <c r="K546" s="2"/>
      <c r="L546" s="2"/>
      <c r="M546" s="2"/>
      <c r="N546" s="2"/>
      <c r="O546" s="3"/>
      <c r="P546" s="61"/>
      <c r="Q546" s="3"/>
    </row>
    <row r="547" spans="1:17" x14ac:dyDescent="0.3">
      <c r="A547" s="2" t="s">
        <v>595</v>
      </c>
      <c r="B547" s="2" t="s">
        <v>864</v>
      </c>
      <c r="C547" s="2"/>
      <c r="D547" s="2"/>
      <c r="E547" s="3" t="s">
        <v>1161</v>
      </c>
      <c r="F547" s="61">
        <v>7.79</v>
      </c>
      <c r="G547" s="3">
        <f>SUMIF(Tabela2[Código],Tabela6[[#This Row],[Código]],Tabela2[Saldo])</f>
        <v>2</v>
      </c>
      <c r="H547" s="2">
        <v>546</v>
      </c>
      <c r="K547" s="2"/>
      <c r="L547" s="2"/>
      <c r="M547" s="2"/>
      <c r="N547" s="2"/>
      <c r="O547" s="3"/>
      <c r="P547" s="61"/>
      <c r="Q547" s="3"/>
    </row>
    <row r="548" spans="1:17" x14ac:dyDescent="0.3">
      <c r="A548" s="2" t="s">
        <v>596</v>
      </c>
      <c r="B548" s="2" t="s">
        <v>865</v>
      </c>
      <c r="C548" s="2"/>
      <c r="D548" s="2"/>
      <c r="E548" s="3" t="s">
        <v>1162</v>
      </c>
      <c r="F548" s="61">
        <v>10.32</v>
      </c>
      <c r="G548" s="3">
        <f>SUMIF(Tabela2[Código],Tabela6[[#This Row],[Código]],Tabela2[Saldo])</f>
        <v>1</v>
      </c>
      <c r="H548" s="3">
        <v>547</v>
      </c>
      <c r="K548" s="2"/>
      <c r="L548" s="2"/>
      <c r="M548" s="2"/>
      <c r="N548" s="2"/>
      <c r="O548" s="3"/>
      <c r="P548" s="61"/>
      <c r="Q548" s="3"/>
    </row>
    <row r="549" spans="1:17" x14ac:dyDescent="0.3">
      <c r="A549" s="2" t="s">
        <v>597</v>
      </c>
      <c r="B549" s="2" t="s">
        <v>866</v>
      </c>
      <c r="C549" s="2"/>
      <c r="D549" s="2"/>
      <c r="E549" s="3" t="s">
        <v>1162</v>
      </c>
      <c r="F549" s="61">
        <v>54.94</v>
      </c>
      <c r="G549" s="3">
        <f>SUMIF(Tabela2[Código],Tabela6[[#This Row],[Código]],Tabela2[Saldo])</f>
        <v>1</v>
      </c>
      <c r="H549" s="2">
        <v>548</v>
      </c>
      <c r="K549" s="2"/>
      <c r="L549" s="2"/>
      <c r="M549" s="2"/>
      <c r="N549" s="2"/>
      <c r="O549" s="3"/>
      <c r="P549" s="61"/>
      <c r="Q549" s="3"/>
    </row>
    <row r="550" spans="1:17" x14ac:dyDescent="0.3">
      <c r="A550" s="2" t="s">
        <v>598</v>
      </c>
      <c r="B550" s="2" t="s">
        <v>867</v>
      </c>
      <c r="C550" s="2"/>
      <c r="D550" s="2"/>
      <c r="E550" s="3" t="s">
        <v>1163</v>
      </c>
      <c r="F550" s="61">
        <v>4.75</v>
      </c>
      <c r="G550" s="3">
        <f>SUMIF(Tabela2[Código],Tabela6[[#This Row],[Código]],Tabela2[Saldo])</f>
        <v>24</v>
      </c>
      <c r="H550" s="2">
        <v>549</v>
      </c>
      <c r="K550" s="2"/>
      <c r="L550" s="2"/>
      <c r="M550" s="2"/>
      <c r="N550" s="2"/>
      <c r="O550" s="3"/>
      <c r="P550" s="61"/>
      <c r="Q550" s="3"/>
    </row>
    <row r="551" spans="1:17" x14ac:dyDescent="0.3">
      <c r="A551" s="2" t="s">
        <v>599</v>
      </c>
      <c r="B551" s="2" t="s">
        <v>868</v>
      </c>
      <c r="C551" s="2"/>
      <c r="D551" s="2"/>
      <c r="E551" s="3" t="s">
        <v>1164</v>
      </c>
      <c r="F551" s="61">
        <v>1.48</v>
      </c>
      <c r="G551" s="3">
        <f>SUMIF(Tabela2[Código],Tabela6[[#This Row],[Código]],Tabela2[Saldo])</f>
        <v>2</v>
      </c>
      <c r="H551" s="3">
        <v>550</v>
      </c>
      <c r="K551" s="2"/>
      <c r="L551" s="2"/>
      <c r="M551" s="2"/>
      <c r="N551" s="2"/>
      <c r="O551" s="3"/>
      <c r="P551" s="61"/>
      <c r="Q551" s="3"/>
    </row>
    <row r="552" spans="1:17" x14ac:dyDescent="0.3">
      <c r="A552" s="2" t="s">
        <v>600</v>
      </c>
      <c r="B552" s="2" t="s">
        <v>869</v>
      </c>
      <c r="C552" s="2"/>
      <c r="D552" s="2"/>
      <c r="E552" s="3" t="s">
        <v>1164</v>
      </c>
      <c r="F552" s="61">
        <v>3.47</v>
      </c>
      <c r="G552" s="3">
        <f>SUMIF(Tabela2[Código],Tabela6[[#This Row],[Código]],Tabela2[Saldo])</f>
        <v>2</v>
      </c>
      <c r="H552" s="2">
        <v>551</v>
      </c>
      <c r="K552" s="2"/>
      <c r="L552" s="2"/>
      <c r="M552" s="2"/>
      <c r="N552" s="2"/>
      <c r="O552" s="3"/>
      <c r="P552" s="61"/>
      <c r="Q552" s="3"/>
    </row>
    <row r="553" spans="1:17" x14ac:dyDescent="0.3">
      <c r="A553" s="2" t="s">
        <v>601</v>
      </c>
      <c r="B553" s="2" t="s">
        <v>870</v>
      </c>
      <c r="C553" s="2"/>
      <c r="D553" s="2"/>
      <c r="E553" s="3" t="s">
        <v>1164</v>
      </c>
      <c r="F553" s="61">
        <v>78.36</v>
      </c>
      <c r="G553" s="3">
        <f>SUMIF(Tabela2[Código],Tabela6[[#This Row],[Código]],Tabela2[Saldo])</f>
        <v>1.5</v>
      </c>
      <c r="H553" s="2">
        <v>552</v>
      </c>
      <c r="K553" s="2"/>
      <c r="L553" s="2"/>
      <c r="M553" s="2"/>
      <c r="N553" s="2"/>
      <c r="O553" s="3"/>
      <c r="P553" s="61"/>
      <c r="Q553" s="3"/>
    </row>
    <row r="554" spans="1:17" x14ac:dyDescent="0.3">
      <c r="A554" s="2" t="s">
        <v>602</v>
      </c>
      <c r="B554" s="2" t="s">
        <v>871</v>
      </c>
      <c r="C554" s="2"/>
      <c r="D554" s="2"/>
      <c r="E554" s="3" t="s">
        <v>1164</v>
      </c>
      <c r="F554" s="61">
        <v>1.98</v>
      </c>
      <c r="G554" s="3">
        <f>SUMIF(Tabela2[Código],Tabela6[[#This Row],[Código]],Tabela2[Saldo])</f>
        <v>2</v>
      </c>
      <c r="H554" s="3">
        <v>553</v>
      </c>
      <c r="K554" s="2"/>
      <c r="L554" s="2"/>
      <c r="M554" s="2"/>
      <c r="N554" s="2"/>
      <c r="O554" s="3"/>
      <c r="P554" s="61"/>
      <c r="Q554" s="3"/>
    </row>
    <row r="555" spans="1:17" x14ac:dyDescent="0.3">
      <c r="A555" s="2" t="s">
        <v>603</v>
      </c>
      <c r="B555" s="2" t="s">
        <v>872</v>
      </c>
      <c r="C555" s="2"/>
      <c r="D555" s="2"/>
      <c r="E555" s="3" t="s">
        <v>1164</v>
      </c>
      <c r="F555" s="61">
        <v>2.88</v>
      </c>
      <c r="G555" s="3">
        <f>SUMIF(Tabela2[Código],Tabela6[[#This Row],[Código]],Tabela2[Saldo])</f>
        <v>19</v>
      </c>
      <c r="H555" s="2">
        <v>554</v>
      </c>
      <c r="K555" s="2"/>
      <c r="L555" s="2"/>
      <c r="M555" s="2"/>
      <c r="N555" s="2"/>
      <c r="O555" s="3"/>
      <c r="P555" s="61"/>
      <c r="Q555" s="3"/>
    </row>
    <row r="556" spans="1:17" x14ac:dyDescent="0.3">
      <c r="A556" s="2" t="s">
        <v>604</v>
      </c>
      <c r="B556" s="2" t="s">
        <v>873</v>
      </c>
      <c r="C556" s="2"/>
      <c r="D556" s="2"/>
      <c r="E556" s="3" t="s">
        <v>1164</v>
      </c>
      <c r="F556" s="61">
        <v>2.74</v>
      </c>
      <c r="G556" s="3">
        <f>SUMIF(Tabela2[Código],Tabela6[[#This Row],[Código]],Tabela2[Saldo])</f>
        <v>37</v>
      </c>
      <c r="H556" s="2">
        <v>555</v>
      </c>
      <c r="K556" s="2"/>
      <c r="L556" s="2"/>
      <c r="M556" s="2"/>
      <c r="N556" s="2"/>
      <c r="O556" s="3"/>
      <c r="P556" s="61"/>
      <c r="Q556" s="3"/>
    </row>
    <row r="557" spans="1:17" x14ac:dyDescent="0.3">
      <c r="A557" s="2" t="s">
        <v>605</v>
      </c>
      <c r="B557" s="2" t="s">
        <v>874</v>
      </c>
      <c r="C557" s="2"/>
      <c r="D557" s="2"/>
      <c r="E557" s="3" t="s">
        <v>1164</v>
      </c>
      <c r="F557" s="61">
        <v>1.51</v>
      </c>
      <c r="G557" s="3">
        <f>SUMIF(Tabela2[Código],Tabela6[[#This Row],[Código]],Tabela2[Saldo])</f>
        <v>6</v>
      </c>
      <c r="H557" s="3">
        <v>556</v>
      </c>
      <c r="K557" s="2"/>
      <c r="L557" s="2"/>
      <c r="M557" s="2"/>
      <c r="N557" s="2"/>
      <c r="O557" s="3"/>
      <c r="P557" s="61"/>
      <c r="Q557" s="3"/>
    </row>
    <row r="558" spans="1:17" x14ac:dyDescent="0.3">
      <c r="A558" s="2" t="s">
        <v>606</v>
      </c>
      <c r="B558" s="2" t="s">
        <v>875</v>
      </c>
      <c r="C558" s="2"/>
      <c r="D558" s="2"/>
      <c r="E558" s="3" t="s">
        <v>1164</v>
      </c>
      <c r="F558" s="61">
        <v>3.77</v>
      </c>
      <c r="G558" s="3">
        <f>SUMIF(Tabela2[Código],Tabela6[[#This Row],[Código]],Tabela2[Saldo])</f>
        <v>8</v>
      </c>
      <c r="H558" s="2">
        <v>557</v>
      </c>
      <c r="K558" s="2"/>
      <c r="L558" s="2"/>
      <c r="M558" s="2"/>
      <c r="N558" s="2"/>
      <c r="O558" s="3"/>
      <c r="P558" s="61"/>
      <c r="Q558" s="3"/>
    </row>
    <row r="559" spans="1:17" x14ac:dyDescent="0.3">
      <c r="A559" s="2" t="s">
        <v>607</v>
      </c>
      <c r="B559" s="2" t="s">
        <v>876</v>
      </c>
      <c r="C559" s="2"/>
      <c r="D559" s="2"/>
      <c r="E559" s="3" t="s">
        <v>1164</v>
      </c>
      <c r="F559" s="61">
        <v>37.68</v>
      </c>
      <c r="G559" s="3">
        <f>SUMIF(Tabela2[Código],Tabela6[[#This Row],[Código]],Tabela2[Saldo])</f>
        <v>4</v>
      </c>
      <c r="H559" s="2">
        <v>558</v>
      </c>
      <c r="K559" s="2"/>
      <c r="L559" s="2"/>
      <c r="M559" s="2"/>
      <c r="N559" s="2"/>
      <c r="O559" s="3"/>
      <c r="P559" s="61"/>
      <c r="Q559" s="3"/>
    </row>
    <row r="560" spans="1:17" x14ac:dyDescent="0.3">
      <c r="A560" s="2" t="s">
        <v>608</v>
      </c>
      <c r="B560" s="2" t="s">
        <v>877</v>
      </c>
      <c r="C560" s="2"/>
      <c r="D560" s="2"/>
      <c r="E560" s="3" t="s">
        <v>1164</v>
      </c>
      <c r="F560" s="61">
        <v>0.9</v>
      </c>
      <c r="G560" s="3">
        <f>SUMIF(Tabela2[Código],Tabela6[[#This Row],[Código]],Tabela2[Saldo])</f>
        <v>42</v>
      </c>
      <c r="H560" s="3">
        <v>559</v>
      </c>
      <c r="K560" s="2"/>
      <c r="L560" s="2"/>
      <c r="M560" s="2"/>
      <c r="N560" s="2"/>
      <c r="O560" s="3"/>
      <c r="P560" s="61"/>
      <c r="Q560" s="3"/>
    </row>
    <row r="561" spans="1:17" x14ac:dyDescent="0.3">
      <c r="A561" s="2" t="s">
        <v>609</v>
      </c>
      <c r="B561" s="2" t="s">
        <v>878</v>
      </c>
      <c r="C561" s="2"/>
      <c r="D561" s="2"/>
      <c r="E561" s="3" t="s">
        <v>1164</v>
      </c>
      <c r="F561" s="61">
        <v>1.1200000000000001</v>
      </c>
      <c r="G561" s="3">
        <f>SUMIF(Tabela2[Código],Tabela6[[#This Row],[Código]],Tabela2[Saldo])</f>
        <v>11</v>
      </c>
      <c r="H561" s="2">
        <v>560</v>
      </c>
      <c r="K561" s="2"/>
      <c r="L561" s="2"/>
      <c r="M561" s="2"/>
      <c r="N561" s="2"/>
      <c r="O561" s="3"/>
      <c r="P561" s="61"/>
      <c r="Q561" s="3"/>
    </row>
    <row r="562" spans="1:17" x14ac:dyDescent="0.3">
      <c r="A562" s="2" t="s">
        <v>610</v>
      </c>
      <c r="B562" s="2" t="s">
        <v>879</v>
      </c>
      <c r="C562" s="2"/>
      <c r="D562" s="2"/>
      <c r="E562" s="3" t="s">
        <v>1164</v>
      </c>
      <c r="F562" s="61">
        <v>2.1</v>
      </c>
      <c r="G562" s="3">
        <f>SUMIF(Tabela2[Código],Tabela6[[#This Row],[Código]],Tabela2[Saldo])</f>
        <v>19</v>
      </c>
      <c r="H562" s="2">
        <v>561</v>
      </c>
      <c r="K562" s="2"/>
      <c r="L562" s="2"/>
      <c r="M562" s="2"/>
      <c r="N562" s="2"/>
      <c r="O562" s="3"/>
      <c r="P562" s="61"/>
      <c r="Q562" s="3"/>
    </row>
    <row r="563" spans="1:17" x14ac:dyDescent="0.3">
      <c r="A563" s="2" t="s">
        <v>611</v>
      </c>
      <c r="B563" s="2" t="s">
        <v>880</v>
      </c>
      <c r="C563" s="2"/>
      <c r="D563" s="2"/>
      <c r="E563" s="3" t="s">
        <v>1164</v>
      </c>
      <c r="F563" s="61">
        <v>3.85</v>
      </c>
      <c r="G563" s="3">
        <f>SUMIF(Tabela2[Código],Tabela6[[#This Row],[Código]],Tabela2[Saldo])</f>
        <v>23</v>
      </c>
      <c r="H563" s="3">
        <v>562</v>
      </c>
      <c r="K563" s="2"/>
      <c r="L563" s="2"/>
      <c r="M563" s="2"/>
      <c r="N563" s="2"/>
      <c r="O563" s="3"/>
      <c r="P563" s="61"/>
      <c r="Q563" s="3"/>
    </row>
    <row r="564" spans="1:17" x14ac:dyDescent="0.3">
      <c r="A564" s="2" t="s">
        <v>612</v>
      </c>
      <c r="B564" s="2" t="s">
        <v>881</v>
      </c>
      <c r="C564" s="2"/>
      <c r="D564" s="2"/>
      <c r="E564" s="3" t="s">
        <v>1164</v>
      </c>
      <c r="F564" s="61">
        <v>7.32</v>
      </c>
      <c r="G564" s="3">
        <f>SUMIF(Tabela2[Código],Tabela6[[#This Row],[Código]],Tabela2[Saldo])</f>
        <v>13</v>
      </c>
      <c r="H564" s="2">
        <v>563</v>
      </c>
      <c r="K564" s="2"/>
      <c r="L564" s="2"/>
      <c r="M564" s="2"/>
      <c r="N564" s="2"/>
      <c r="O564" s="3"/>
      <c r="P564" s="61"/>
      <c r="Q564" s="3"/>
    </row>
    <row r="565" spans="1:17" x14ac:dyDescent="0.3">
      <c r="A565" s="2" t="s">
        <v>613</v>
      </c>
      <c r="B565" s="2" t="s">
        <v>882</v>
      </c>
      <c r="C565" s="2"/>
      <c r="D565" s="2"/>
      <c r="E565" s="3" t="s">
        <v>1164</v>
      </c>
      <c r="F565" s="61">
        <v>14.5</v>
      </c>
      <c r="G565" s="3">
        <f>SUMIF(Tabela2[Código],Tabela6[[#This Row],[Código]],Tabela2[Saldo])</f>
        <v>3</v>
      </c>
      <c r="H565" s="2">
        <v>564</v>
      </c>
      <c r="K565" s="2"/>
      <c r="L565" s="2"/>
      <c r="M565" s="2"/>
      <c r="N565" s="2"/>
      <c r="O565" s="3"/>
      <c r="P565" s="61"/>
      <c r="Q565" s="3"/>
    </row>
    <row r="566" spans="1:17" x14ac:dyDescent="0.3">
      <c r="A566" s="2" t="s">
        <v>614</v>
      </c>
      <c r="B566" s="2" t="s">
        <v>883</v>
      </c>
      <c r="C566" s="2"/>
      <c r="D566" s="2"/>
      <c r="E566" s="3" t="s">
        <v>1164</v>
      </c>
      <c r="F566" s="61">
        <v>1.2</v>
      </c>
      <c r="G566" s="3">
        <f>SUMIF(Tabela2[Código],Tabela6[[#This Row],[Código]],Tabela2[Saldo])</f>
        <v>2</v>
      </c>
      <c r="H566" s="3">
        <v>565</v>
      </c>
      <c r="K566" s="2"/>
      <c r="L566" s="2"/>
      <c r="M566" s="2"/>
      <c r="N566" s="2"/>
      <c r="O566" s="3"/>
      <c r="P566" s="61"/>
      <c r="Q566" s="3"/>
    </row>
    <row r="567" spans="1:17" x14ac:dyDescent="0.3">
      <c r="A567" s="2" t="s">
        <v>615</v>
      </c>
      <c r="B567" s="2" t="s">
        <v>884</v>
      </c>
      <c r="C567" s="2"/>
      <c r="D567" s="2"/>
      <c r="E567" s="3" t="s">
        <v>1165</v>
      </c>
      <c r="F567" s="61">
        <v>15.15</v>
      </c>
      <c r="G567" s="3">
        <f>SUMIF(Tabela2[Código],Tabela6[[#This Row],[Código]],Tabela2[Saldo])</f>
        <v>4</v>
      </c>
      <c r="H567" s="2">
        <v>566</v>
      </c>
      <c r="K567" s="2"/>
      <c r="L567" s="2"/>
      <c r="M567" s="2"/>
      <c r="N567" s="2"/>
      <c r="O567" s="3"/>
      <c r="P567" s="61"/>
      <c r="Q567" s="3"/>
    </row>
    <row r="568" spans="1:17" x14ac:dyDescent="0.3">
      <c r="A568" s="2" t="s">
        <v>616</v>
      </c>
      <c r="B568" s="2" t="s">
        <v>885</v>
      </c>
      <c r="C568" s="2"/>
      <c r="D568" s="2"/>
      <c r="E568" s="3" t="s">
        <v>1166</v>
      </c>
      <c r="F568" s="61">
        <v>0.43</v>
      </c>
      <c r="G568" s="3">
        <f>SUMIF(Tabela2[Código],Tabela6[[#This Row],[Código]],Tabela2[Saldo])</f>
        <v>8</v>
      </c>
      <c r="H568" s="2">
        <v>567</v>
      </c>
      <c r="K568" s="2"/>
      <c r="L568" s="2"/>
      <c r="M568" s="2"/>
      <c r="N568" s="2"/>
      <c r="O568" s="3"/>
      <c r="P568" s="61"/>
      <c r="Q568" s="3"/>
    </row>
    <row r="569" spans="1:17" x14ac:dyDescent="0.3">
      <c r="A569" s="2" t="s">
        <v>617</v>
      </c>
      <c r="B569" s="2" t="s">
        <v>886</v>
      </c>
      <c r="C569" s="2"/>
      <c r="D569" s="2"/>
      <c r="E569" s="3" t="s">
        <v>1166</v>
      </c>
      <c r="F569" s="61">
        <v>0.88</v>
      </c>
      <c r="G569" s="3">
        <f>SUMIF(Tabela2[Código],Tabela6[[#This Row],[Código]],Tabela2[Saldo])</f>
        <v>4</v>
      </c>
      <c r="H569" s="3">
        <v>568</v>
      </c>
      <c r="K569" s="2"/>
      <c r="L569" s="2"/>
      <c r="M569" s="2"/>
      <c r="N569" s="2"/>
      <c r="O569" s="3"/>
      <c r="P569" s="61"/>
      <c r="Q569" s="3"/>
    </row>
    <row r="570" spans="1:17" x14ac:dyDescent="0.3">
      <c r="A570" s="2" t="s">
        <v>618</v>
      </c>
      <c r="B570" s="2" t="s">
        <v>887</v>
      </c>
      <c r="C570" s="2"/>
      <c r="D570" s="2"/>
      <c r="E570" s="3" t="s">
        <v>1166</v>
      </c>
      <c r="F570" s="61">
        <v>1.75</v>
      </c>
      <c r="G570" s="3">
        <f>SUMIF(Tabela2[Código],Tabela6[[#This Row],[Código]],Tabela2[Saldo])</f>
        <v>5</v>
      </c>
      <c r="H570" s="2">
        <v>569</v>
      </c>
      <c r="K570" s="2"/>
      <c r="L570" s="2"/>
      <c r="M570" s="2"/>
      <c r="N570" s="2"/>
      <c r="O570" s="3"/>
      <c r="P570" s="61"/>
      <c r="Q570" s="3"/>
    </row>
    <row r="571" spans="1:17" x14ac:dyDescent="0.3">
      <c r="A571" s="2" t="s">
        <v>619</v>
      </c>
      <c r="B571" s="2" t="s">
        <v>888</v>
      </c>
      <c r="C571" s="2"/>
      <c r="D571" s="2"/>
      <c r="E571" s="3" t="s">
        <v>1166</v>
      </c>
      <c r="F571" s="61">
        <v>21.87</v>
      </c>
      <c r="G571" s="3">
        <f>SUMIF(Tabela2[Código],Tabela6[[#This Row],[Código]],Tabela2[Saldo])</f>
        <v>6</v>
      </c>
      <c r="H571" s="2">
        <v>570</v>
      </c>
      <c r="K571" s="2"/>
      <c r="L571" s="2"/>
      <c r="M571" s="2"/>
      <c r="N571" s="2"/>
      <c r="O571" s="3"/>
      <c r="P571" s="61"/>
      <c r="Q571" s="3"/>
    </row>
    <row r="572" spans="1:17" x14ac:dyDescent="0.3">
      <c r="A572" s="2" t="s">
        <v>620</v>
      </c>
      <c r="B572" s="2" t="s">
        <v>889</v>
      </c>
      <c r="C572" s="2"/>
      <c r="D572" s="2"/>
      <c r="E572" s="3" t="s">
        <v>1166</v>
      </c>
      <c r="F572" s="61">
        <v>21.95</v>
      </c>
      <c r="G572" s="3">
        <f>SUMIF(Tabela2[Código],Tabela6[[#This Row],[Código]],Tabela2[Saldo])</f>
        <v>14</v>
      </c>
      <c r="H572" s="3">
        <v>571</v>
      </c>
      <c r="K572" s="2"/>
      <c r="L572" s="2"/>
      <c r="M572" s="2"/>
      <c r="N572" s="2"/>
      <c r="O572" s="3"/>
      <c r="P572" s="61"/>
      <c r="Q572" s="3"/>
    </row>
    <row r="573" spans="1:17" x14ac:dyDescent="0.3">
      <c r="A573" s="2" t="s">
        <v>621</v>
      </c>
      <c r="B573" s="2" t="s">
        <v>890</v>
      </c>
      <c r="C573" s="2"/>
      <c r="D573" s="2"/>
      <c r="E573" s="3" t="s">
        <v>1166</v>
      </c>
      <c r="F573" s="61">
        <v>42.45</v>
      </c>
      <c r="G573" s="3">
        <f>SUMIF(Tabela2[Código],Tabela6[[#This Row],[Código]],Tabela2[Saldo])</f>
        <v>9</v>
      </c>
      <c r="H573" s="2">
        <v>572</v>
      </c>
      <c r="K573" s="2"/>
      <c r="L573" s="2"/>
      <c r="M573" s="2"/>
      <c r="N573" s="2"/>
      <c r="O573" s="3"/>
      <c r="P573" s="61"/>
      <c r="Q573" s="3"/>
    </row>
    <row r="574" spans="1:17" x14ac:dyDescent="0.3">
      <c r="A574" s="2" t="s">
        <v>622</v>
      </c>
      <c r="B574" s="2" t="s">
        <v>891</v>
      </c>
      <c r="C574" s="2"/>
      <c r="D574" s="2"/>
      <c r="E574" s="3" t="s">
        <v>1166</v>
      </c>
      <c r="F574" s="61">
        <v>55.6</v>
      </c>
      <c r="G574" s="3">
        <f>SUMIF(Tabela2[Código],Tabela6[[#This Row],[Código]],Tabela2[Saldo])</f>
        <v>4</v>
      </c>
      <c r="H574" s="2">
        <v>573</v>
      </c>
      <c r="K574" s="2"/>
      <c r="L574" s="2"/>
      <c r="M574" s="2"/>
      <c r="N574" s="2"/>
      <c r="O574" s="3"/>
      <c r="P574" s="61"/>
      <c r="Q574" s="3"/>
    </row>
    <row r="575" spans="1:17" x14ac:dyDescent="0.3">
      <c r="A575" s="2" t="s">
        <v>623</v>
      </c>
      <c r="B575" s="2" t="s">
        <v>892</v>
      </c>
      <c r="C575" s="2"/>
      <c r="D575" s="2"/>
      <c r="E575" s="3" t="s">
        <v>1166</v>
      </c>
      <c r="F575" s="61">
        <v>2.13</v>
      </c>
      <c r="G575" s="3">
        <f>SUMIF(Tabela2[Código],Tabela6[[#This Row],[Código]],Tabela2[Saldo])</f>
        <v>4</v>
      </c>
      <c r="H575" s="3">
        <v>574</v>
      </c>
      <c r="K575" s="2"/>
      <c r="L575" s="2"/>
      <c r="M575" s="2"/>
      <c r="N575" s="2"/>
      <c r="O575" s="3"/>
      <c r="P575" s="61"/>
      <c r="Q575" s="3"/>
    </row>
    <row r="576" spans="1:17" x14ac:dyDescent="0.3">
      <c r="A576" s="2" t="s">
        <v>624</v>
      </c>
      <c r="B576" s="2" t="s">
        <v>893</v>
      </c>
      <c r="C576" s="2"/>
      <c r="D576" s="2"/>
      <c r="E576" s="3" t="s">
        <v>1167</v>
      </c>
      <c r="F576" s="61">
        <v>0.01</v>
      </c>
      <c r="G576" s="3">
        <f>SUMIF(Tabela2[Código],Tabela6[[#This Row],[Código]],Tabela2[Saldo])</f>
        <v>1</v>
      </c>
      <c r="H576" s="2">
        <v>575</v>
      </c>
      <c r="K576" s="2"/>
      <c r="L576" s="2"/>
      <c r="M576" s="2"/>
      <c r="N576" s="2"/>
      <c r="O576" s="3"/>
      <c r="P576" s="61"/>
      <c r="Q576" s="3"/>
    </row>
    <row r="577" spans="1:17" x14ac:dyDescent="0.3">
      <c r="A577" s="2" t="s">
        <v>625</v>
      </c>
      <c r="B577" s="2" t="s">
        <v>894</v>
      </c>
      <c r="C577" s="2"/>
      <c r="D577" s="2"/>
      <c r="E577" s="3" t="s">
        <v>1167</v>
      </c>
      <c r="F577" s="61">
        <v>2</v>
      </c>
      <c r="G577" s="3">
        <f>SUMIF(Tabela2[Código],Tabela6[[#This Row],[Código]],Tabela2[Saldo])</f>
        <v>3</v>
      </c>
      <c r="H577" s="2">
        <v>576</v>
      </c>
      <c r="K577" s="2"/>
      <c r="L577" s="2"/>
      <c r="M577" s="2"/>
      <c r="N577" s="2"/>
      <c r="O577" s="3"/>
      <c r="P577" s="61"/>
      <c r="Q577" s="3"/>
    </row>
    <row r="578" spans="1:17" x14ac:dyDescent="0.3">
      <c r="A578" s="2" t="s">
        <v>626</v>
      </c>
      <c r="B578" s="2" t="s">
        <v>895</v>
      </c>
      <c r="C578" s="2"/>
      <c r="D578" s="2"/>
      <c r="E578" s="3" t="s">
        <v>1167</v>
      </c>
      <c r="F578" s="61">
        <v>5.4</v>
      </c>
      <c r="G578" s="3">
        <f>SUMIF(Tabela2[Código],Tabela6[[#This Row],[Código]],Tabela2[Saldo])</f>
        <v>8</v>
      </c>
      <c r="H578" s="3">
        <v>577</v>
      </c>
      <c r="K578" s="2"/>
      <c r="L578" s="2"/>
      <c r="M578" s="2"/>
      <c r="N578" s="2"/>
      <c r="O578" s="3"/>
      <c r="P578" s="61"/>
      <c r="Q578" s="3"/>
    </row>
    <row r="579" spans="1:17" x14ac:dyDescent="0.3">
      <c r="A579" s="2" t="s">
        <v>627</v>
      </c>
      <c r="B579" s="2" t="s">
        <v>896</v>
      </c>
      <c r="C579" s="2"/>
      <c r="D579" s="2"/>
      <c r="E579" s="3" t="s">
        <v>1167</v>
      </c>
      <c r="F579" s="61">
        <v>5.4</v>
      </c>
      <c r="G579" s="3">
        <f>SUMIF(Tabela2[Código],Tabela6[[#This Row],[Código]],Tabela2[Saldo])</f>
        <v>2</v>
      </c>
      <c r="H579" s="2">
        <v>578</v>
      </c>
      <c r="K579" s="2"/>
      <c r="L579" s="2"/>
      <c r="M579" s="2"/>
      <c r="N579" s="2"/>
      <c r="O579" s="3"/>
      <c r="P579" s="61"/>
      <c r="Q579" s="3"/>
    </row>
    <row r="580" spans="1:17" x14ac:dyDescent="0.3">
      <c r="A580" s="2" t="s">
        <v>628</v>
      </c>
      <c r="B580" s="2" t="s">
        <v>897</v>
      </c>
      <c r="C580" s="2"/>
      <c r="D580" s="2"/>
      <c r="E580" s="3" t="s">
        <v>1167</v>
      </c>
      <c r="F580" s="61">
        <v>5.4</v>
      </c>
      <c r="G580" s="3">
        <f>SUMIF(Tabela2[Código],Tabela6[[#This Row],[Código]],Tabela2[Saldo])</f>
        <v>1</v>
      </c>
      <c r="H580" s="2">
        <v>579</v>
      </c>
      <c r="K580" s="2"/>
      <c r="L580" s="2"/>
      <c r="M580" s="2"/>
      <c r="N580" s="2"/>
      <c r="O580" s="3"/>
      <c r="P580" s="61"/>
      <c r="Q580" s="3"/>
    </row>
    <row r="581" spans="1:17" x14ac:dyDescent="0.3">
      <c r="A581" s="2" t="s">
        <v>629</v>
      </c>
      <c r="B581" s="2" t="s">
        <v>898</v>
      </c>
      <c r="C581" s="2"/>
      <c r="D581" s="2"/>
      <c r="E581" s="3" t="s">
        <v>1168</v>
      </c>
      <c r="F581" s="61">
        <v>15.08</v>
      </c>
      <c r="G581" s="3">
        <f>SUMIF(Tabela2[Código],Tabela6[[#This Row],[Código]],Tabela2[Saldo])</f>
        <v>10</v>
      </c>
      <c r="H581" s="3">
        <v>580</v>
      </c>
      <c r="K581" s="2"/>
      <c r="L581" s="2"/>
      <c r="M581" s="2"/>
      <c r="N581" s="2"/>
      <c r="O581" s="3"/>
      <c r="P581" s="61"/>
      <c r="Q581" s="3"/>
    </row>
    <row r="582" spans="1:17" x14ac:dyDescent="0.3">
      <c r="A582" s="2" t="s">
        <v>630</v>
      </c>
      <c r="B582" s="2" t="s">
        <v>899</v>
      </c>
      <c r="C582" s="2"/>
      <c r="D582" s="2"/>
      <c r="E582" s="3" t="s">
        <v>1168</v>
      </c>
      <c r="F582" s="61">
        <v>35.619999999999997</v>
      </c>
      <c r="G582" s="3">
        <f>SUMIF(Tabela2[Código],Tabela6[[#This Row],[Código]],Tabela2[Saldo])</f>
        <v>5</v>
      </c>
      <c r="H582" s="2">
        <v>581</v>
      </c>
      <c r="K582" s="2"/>
      <c r="L582" s="2"/>
      <c r="M582" s="2"/>
      <c r="N582" s="2"/>
      <c r="O582" s="3"/>
      <c r="P582" s="61"/>
      <c r="Q582" s="3"/>
    </row>
    <row r="583" spans="1:17" x14ac:dyDescent="0.3">
      <c r="A583" s="2" t="s">
        <v>631</v>
      </c>
      <c r="B583" s="2" t="s">
        <v>900</v>
      </c>
      <c r="C583" s="2"/>
      <c r="D583" s="2"/>
      <c r="E583" s="3" t="s">
        <v>1168</v>
      </c>
      <c r="F583" s="61">
        <v>39.57</v>
      </c>
      <c r="G583" s="3">
        <f>SUMIF(Tabela2[Código],Tabela6[[#This Row],[Código]],Tabela2[Saldo])</f>
        <v>1</v>
      </c>
      <c r="H583" s="2">
        <v>582</v>
      </c>
      <c r="K583" s="2"/>
      <c r="L583" s="2"/>
      <c r="M583" s="2"/>
      <c r="N583" s="2"/>
      <c r="O583" s="3"/>
      <c r="P583" s="61"/>
      <c r="Q583" s="3"/>
    </row>
    <row r="584" spans="1:17" x14ac:dyDescent="0.3">
      <c r="A584" s="2" t="s">
        <v>632</v>
      </c>
      <c r="B584" s="2" t="s">
        <v>901</v>
      </c>
      <c r="C584" s="2"/>
      <c r="D584" s="2"/>
      <c r="E584" s="3" t="s">
        <v>1168</v>
      </c>
      <c r="F584" s="61">
        <v>29.56</v>
      </c>
      <c r="G584" s="3">
        <f>SUMIF(Tabela2[Código],Tabela6[[#This Row],[Código]],Tabela2[Saldo])</f>
        <v>6</v>
      </c>
      <c r="H584" s="3">
        <v>583</v>
      </c>
      <c r="K584" s="2"/>
      <c r="L584" s="2"/>
      <c r="M584" s="2"/>
      <c r="N584" s="2"/>
      <c r="O584" s="3"/>
      <c r="P584" s="61"/>
      <c r="Q584" s="3"/>
    </row>
    <row r="585" spans="1:17" x14ac:dyDescent="0.3">
      <c r="A585" s="2" t="s">
        <v>633</v>
      </c>
      <c r="B585" s="2" t="s">
        <v>902</v>
      </c>
      <c r="C585" s="2"/>
      <c r="D585" s="2"/>
      <c r="E585" s="3" t="s">
        <v>1168</v>
      </c>
      <c r="F585" s="61">
        <v>1.1299999999999999</v>
      </c>
      <c r="G585" s="3">
        <f>SUMIF(Tabela2[Código],Tabela6[[#This Row],[Código]],Tabela2[Saldo])</f>
        <v>4</v>
      </c>
      <c r="H585" s="2">
        <v>584</v>
      </c>
      <c r="K585" s="2"/>
      <c r="L585" s="2"/>
      <c r="M585" s="2"/>
      <c r="N585" s="2"/>
      <c r="O585" s="3"/>
      <c r="P585" s="61"/>
      <c r="Q585" s="3"/>
    </row>
    <row r="586" spans="1:17" x14ac:dyDescent="0.3">
      <c r="A586" s="2" t="s">
        <v>634</v>
      </c>
      <c r="B586" s="2" t="s">
        <v>903</v>
      </c>
      <c r="C586" s="2"/>
      <c r="D586" s="2"/>
      <c r="E586" s="3" t="s">
        <v>1168</v>
      </c>
      <c r="F586" s="61">
        <v>5.98</v>
      </c>
      <c r="G586" s="3">
        <f>SUMIF(Tabela2[Código],Tabela6[[#This Row],[Código]],Tabela2[Saldo])</f>
        <v>7</v>
      </c>
      <c r="H586" s="2">
        <v>585</v>
      </c>
      <c r="K586" s="2"/>
      <c r="L586" s="2"/>
      <c r="M586" s="2"/>
      <c r="N586" s="2"/>
      <c r="O586" s="3"/>
      <c r="P586" s="61"/>
      <c r="Q586" s="3"/>
    </row>
    <row r="587" spans="1:17" x14ac:dyDescent="0.3">
      <c r="A587" s="2" t="s">
        <v>635</v>
      </c>
      <c r="B587" s="2" t="s">
        <v>904</v>
      </c>
      <c r="C587" s="2"/>
      <c r="D587" s="2"/>
      <c r="E587" s="3" t="s">
        <v>1168</v>
      </c>
      <c r="F587" s="61">
        <v>9.4600000000000009</v>
      </c>
      <c r="G587" s="3">
        <f>SUMIF(Tabela2[Código],Tabela6[[#This Row],[Código]],Tabela2[Saldo])</f>
        <v>5</v>
      </c>
      <c r="H587" s="3">
        <v>586</v>
      </c>
      <c r="K587" s="2"/>
      <c r="L587" s="2"/>
      <c r="M587" s="2"/>
      <c r="N587" s="2"/>
      <c r="O587" s="3"/>
      <c r="P587" s="61"/>
      <c r="Q587" s="3"/>
    </row>
    <row r="588" spans="1:17" x14ac:dyDescent="0.3">
      <c r="A588" s="2" t="s">
        <v>636</v>
      </c>
      <c r="B588" s="2" t="s">
        <v>905</v>
      </c>
      <c r="C588" s="2"/>
      <c r="D588" s="2"/>
      <c r="E588" s="3" t="s">
        <v>1168</v>
      </c>
      <c r="F588" s="61">
        <v>23.01</v>
      </c>
      <c r="G588" s="3">
        <f>SUMIF(Tabela2[Código],Tabela6[[#This Row],[Código]],Tabela2[Saldo])</f>
        <v>46</v>
      </c>
      <c r="H588" s="2">
        <v>587</v>
      </c>
      <c r="K588" s="2"/>
      <c r="L588" s="2"/>
      <c r="M588" s="2"/>
      <c r="N588" s="2"/>
      <c r="O588" s="3"/>
      <c r="P588" s="61"/>
      <c r="Q588" s="3"/>
    </row>
    <row r="589" spans="1:17" x14ac:dyDescent="0.3">
      <c r="A589" s="36" t="s">
        <v>637</v>
      </c>
      <c r="B589" s="36" t="s">
        <v>906</v>
      </c>
      <c r="C589" s="36"/>
      <c r="D589" s="36"/>
      <c r="E589" s="3" t="s">
        <v>1168</v>
      </c>
      <c r="F589" s="60">
        <v>0.01</v>
      </c>
      <c r="G589" s="3">
        <f>SUMIF(Tabela2[Código],Tabela6[[#This Row],[Código]],Tabela2[Saldo])</f>
        <v>17</v>
      </c>
      <c r="H589" s="2">
        <v>588</v>
      </c>
      <c r="K589" s="36"/>
      <c r="L589" s="36"/>
      <c r="M589" s="36"/>
      <c r="N589" s="36"/>
      <c r="O589" s="3"/>
      <c r="P589" s="60"/>
      <c r="Q589" s="3"/>
    </row>
    <row r="590" spans="1:17" x14ac:dyDescent="0.3">
      <c r="A590" s="2" t="s">
        <v>638</v>
      </c>
      <c r="B590" s="2" t="s">
        <v>907</v>
      </c>
      <c r="C590" s="2"/>
      <c r="D590" s="2"/>
      <c r="E590" s="3" t="s">
        <v>1168</v>
      </c>
      <c r="F590" s="61">
        <v>11.89</v>
      </c>
      <c r="G590" s="3">
        <f>SUMIF(Tabela2[Código],Tabela6[[#This Row],[Código]],Tabela2[Saldo])</f>
        <v>3</v>
      </c>
      <c r="H590" s="3">
        <v>589</v>
      </c>
      <c r="K590" s="2"/>
      <c r="L590" s="2"/>
      <c r="M590" s="2"/>
      <c r="N590" s="2"/>
      <c r="O590" s="3"/>
      <c r="P590" s="61"/>
      <c r="Q590" s="3"/>
    </row>
    <row r="591" spans="1:17" x14ac:dyDescent="0.3">
      <c r="A591" s="2" t="s">
        <v>639</v>
      </c>
      <c r="B591" s="2" t="s">
        <v>908</v>
      </c>
      <c r="C591" s="2"/>
      <c r="D591" s="2"/>
      <c r="E591" s="3" t="s">
        <v>1168</v>
      </c>
      <c r="F591" s="61">
        <v>11.89</v>
      </c>
      <c r="G591" s="3">
        <f>SUMIF(Tabela2[Código],Tabela6[[#This Row],[Código]],Tabela2[Saldo])</f>
        <v>1</v>
      </c>
      <c r="H591" s="2">
        <v>590</v>
      </c>
      <c r="K591" s="2"/>
      <c r="L591" s="2"/>
      <c r="M591" s="2"/>
      <c r="N591" s="2"/>
      <c r="O591" s="3"/>
      <c r="P591" s="61"/>
      <c r="Q591" s="3"/>
    </row>
    <row r="592" spans="1:17" x14ac:dyDescent="0.3">
      <c r="A592" s="2" t="s">
        <v>640</v>
      </c>
      <c r="B592" s="2" t="s">
        <v>909</v>
      </c>
      <c r="C592" s="2"/>
      <c r="D592" s="2"/>
      <c r="E592" s="3" t="s">
        <v>1168</v>
      </c>
      <c r="F592" s="61">
        <v>11.89</v>
      </c>
      <c r="G592" s="3">
        <f>SUMIF(Tabela2[Código],Tabela6[[#This Row],[Código]],Tabela2[Saldo])</f>
        <v>1</v>
      </c>
      <c r="H592" s="2">
        <v>591</v>
      </c>
      <c r="K592" s="2"/>
      <c r="L592" s="2"/>
      <c r="M592" s="2"/>
      <c r="N592" s="2"/>
      <c r="O592" s="3"/>
      <c r="P592" s="61"/>
      <c r="Q592" s="3"/>
    </row>
    <row r="593" spans="1:17" x14ac:dyDescent="0.3">
      <c r="A593" s="2" t="s">
        <v>641</v>
      </c>
      <c r="B593" s="2" t="s">
        <v>910</v>
      </c>
      <c r="C593" s="2"/>
      <c r="D593" s="2"/>
      <c r="E593" s="3" t="s">
        <v>1168</v>
      </c>
      <c r="F593" s="61">
        <v>11.89</v>
      </c>
      <c r="G593" s="3">
        <f>SUMIF(Tabela2[Código],Tabela6[[#This Row],[Código]],Tabela2[Saldo])</f>
        <v>3</v>
      </c>
      <c r="H593" s="3">
        <v>592</v>
      </c>
      <c r="K593" s="2"/>
      <c r="L593" s="2"/>
      <c r="M593" s="2"/>
      <c r="N593" s="2"/>
      <c r="O593" s="3"/>
      <c r="P593" s="61"/>
      <c r="Q593" s="3"/>
    </row>
    <row r="594" spans="1:17" x14ac:dyDescent="0.3">
      <c r="A594" s="2" t="s">
        <v>642</v>
      </c>
      <c r="B594" s="2" t="s">
        <v>911</v>
      </c>
      <c r="C594" s="2"/>
      <c r="D594" s="2"/>
      <c r="E594" s="3" t="s">
        <v>1168</v>
      </c>
      <c r="F594" s="61">
        <v>11.89</v>
      </c>
      <c r="G594" s="3">
        <f>SUMIF(Tabela2[Código],Tabela6[[#This Row],[Código]],Tabela2[Saldo])</f>
        <v>5</v>
      </c>
      <c r="H594" s="2">
        <v>593</v>
      </c>
      <c r="K594" s="2"/>
      <c r="L594" s="2"/>
      <c r="M594" s="2"/>
      <c r="N594" s="2"/>
      <c r="O594" s="3"/>
      <c r="P594" s="61"/>
      <c r="Q594" s="3"/>
    </row>
    <row r="595" spans="1:17" x14ac:dyDescent="0.3">
      <c r="A595" s="2" t="s">
        <v>643</v>
      </c>
      <c r="B595" s="2" t="s">
        <v>912</v>
      </c>
      <c r="C595" s="2"/>
      <c r="D595" s="2"/>
      <c r="E595" s="3" t="s">
        <v>1168</v>
      </c>
      <c r="F595" s="61">
        <v>0.01</v>
      </c>
      <c r="G595" s="3">
        <f>SUMIF(Tabela2[Código],Tabela6[[#This Row],[Código]],Tabela2[Saldo])</f>
        <v>2</v>
      </c>
      <c r="H595" s="2">
        <v>594</v>
      </c>
      <c r="K595" s="2"/>
      <c r="L595" s="2"/>
      <c r="M595" s="2"/>
      <c r="N595" s="2"/>
      <c r="O595" s="3"/>
      <c r="P595" s="61"/>
      <c r="Q595" s="3"/>
    </row>
    <row r="596" spans="1:17" x14ac:dyDescent="0.3">
      <c r="A596" s="2" t="s">
        <v>644</v>
      </c>
      <c r="B596" s="2" t="s">
        <v>913</v>
      </c>
      <c r="C596" s="2"/>
      <c r="D596" s="2"/>
      <c r="E596" s="3" t="s">
        <v>1168</v>
      </c>
      <c r="F596" s="61">
        <v>16.989999999999998</v>
      </c>
      <c r="G596" s="3">
        <f>SUMIF(Tabela2[Código],Tabela6[[#This Row],[Código]],Tabela2[Saldo])</f>
        <v>1</v>
      </c>
      <c r="H596" s="3">
        <v>595</v>
      </c>
      <c r="K596" s="2"/>
      <c r="L596" s="2"/>
      <c r="M596" s="2"/>
      <c r="N596" s="2"/>
      <c r="O596" s="3"/>
      <c r="P596" s="61"/>
      <c r="Q596" s="3"/>
    </row>
    <row r="597" spans="1:17" x14ac:dyDescent="0.3">
      <c r="A597" s="2" t="s">
        <v>645</v>
      </c>
      <c r="B597" s="2" t="s">
        <v>914</v>
      </c>
      <c r="C597" s="2"/>
      <c r="D597" s="2"/>
      <c r="E597" s="3" t="s">
        <v>1168</v>
      </c>
      <c r="F597" s="61">
        <v>16.989999999999998</v>
      </c>
      <c r="G597" s="3">
        <f>SUMIF(Tabela2[Código],Tabela6[[#This Row],[Código]],Tabela2[Saldo])</f>
        <v>1</v>
      </c>
      <c r="H597" s="2">
        <v>596</v>
      </c>
      <c r="K597" s="2"/>
      <c r="L597" s="2"/>
      <c r="M597" s="2"/>
      <c r="N597" s="2"/>
      <c r="O597" s="3"/>
      <c r="P597" s="61"/>
      <c r="Q597" s="3"/>
    </row>
    <row r="598" spans="1:17" x14ac:dyDescent="0.3">
      <c r="A598" s="2" t="s">
        <v>646</v>
      </c>
      <c r="B598" s="2" t="s">
        <v>915</v>
      </c>
      <c r="C598" s="2"/>
      <c r="D598" s="2"/>
      <c r="E598" s="3" t="s">
        <v>1168</v>
      </c>
      <c r="F598" s="61">
        <v>16.989999999999998</v>
      </c>
      <c r="G598" s="3">
        <f>SUMIF(Tabela2[Código],Tabela6[[#This Row],[Código]],Tabela2[Saldo])</f>
        <v>4</v>
      </c>
      <c r="H598" s="2">
        <v>597</v>
      </c>
      <c r="K598" s="2"/>
      <c r="L598" s="2"/>
      <c r="M598" s="2"/>
      <c r="N598" s="2"/>
      <c r="O598" s="3"/>
      <c r="P598" s="61"/>
      <c r="Q598" s="3"/>
    </row>
    <row r="599" spans="1:17" x14ac:dyDescent="0.3">
      <c r="A599" s="2" t="s">
        <v>647</v>
      </c>
      <c r="B599" s="2" t="s">
        <v>916</v>
      </c>
      <c r="C599" s="2"/>
      <c r="D599" s="2"/>
      <c r="E599" s="3" t="s">
        <v>1168</v>
      </c>
      <c r="F599" s="61">
        <v>16.989999999999998</v>
      </c>
      <c r="G599" s="3">
        <f>SUMIF(Tabela2[Código],Tabela6[[#This Row],[Código]],Tabela2[Saldo])</f>
        <v>4</v>
      </c>
      <c r="H599" s="3">
        <v>598</v>
      </c>
      <c r="K599" s="2"/>
      <c r="L599" s="2"/>
      <c r="M599" s="2"/>
      <c r="N599" s="2"/>
      <c r="O599" s="3"/>
      <c r="P599" s="61"/>
      <c r="Q599" s="3"/>
    </row>
    <row r="600" spans="1:17" x14ac:dyDescent="0.3">
      <c r="A600" s="2" t="s">
        <v>648</v>
      </c>
      <c r="B600" s="2" t="s">
        <v>917</v>
      </c>
      <c r="C600" s="2"/>
      <c r="D600" s="2"/>
      <c r="E600" s="3" t="s">
        <v>1168</v>
      </c>
      <c r="F600" s="61">
        <v>16.989999999999998</v>
      </c>
      <c r="G600" s="3">
        <f>SUMIF(Tabela2[Código],Tabela6[[#This Row],[Código]],Tabela2[Saldo])</f>
        <v>4</v>
      </c>
      <c r="H600" s="2">
        <v>599</v>
      </c>
      <c r="K600" s="2"/>
      <c r="L600" s="2"/>
      <c r="M600" s="2"/>
      <c r="N600" s="2"/>
      <c r="O600" s="3"/>
      <c r="P600" s="61"/>
      <c r="Q600" s="3"/>
    </row>
    <row r="601" spans="1:17" x14ac:dyDescent="0.3">
      <c r="A601" s="2" t="s">
        <v>649</v>
      </c>
      <c r="B601" s="2" t="s">
        <v>918</v>
      </c>
      <c r="C601" s="2"/>
      <c r="D601" s="2"/>
      <c r="E601" s="3" t="s">
        <v>1168</v>
      </c>
      <c r="F601" s="61">
        <v>16.989999999999998</v>
      </c>
      <c r="G601" s="3">
        <f>SUMIF(Tabela2[Código],Tabela6[[#This Row],[Código]],Tabela2[Saldo])</f>
        <v>5</v>
      </c>
      <c r="H601" s="2">
        <v>600</v>
      </c>
      <c r="K601" s="2"/>
      <c r="L601" s="2"/>
      <c r="M601" s="2"/>
      <c r="N601" s="2"/>
      <c r="O601" s="3"/>
      <c r="P601" s="61"/>
      <c r="Q601" s="3"/>
    </row>
    <row r="602" spans="1:17" x14ac:dyDescent="0.3">
      <c r="A602" s="2" t="s">
        <v>650</v>
      </c>
      <c r="B602" s="2" t="s">
        <v>919</v>
      </c>
      <c r="C602" s="2"/>
      <c r="D602" s="2"/>
      <c r="E602" s="3" t="s">
        <v>1168</v>
      </c>
      <c r="F602" s="61">
        <v>16.989999999999998</v>
      </c>
      <c r="G602" s="3">
        <f>SUMIF(Tabela2[Código],Tabela6[[#This Row],[Código]],Tabela2[Saldo])</f>
        <v>6</v>
      </c>
      <c r="H602" s="3">
        <v>601</v>
      </c>
      <c r="K602" s="2"/>
      <c r="L602" s="2"/>
      <c r="M602" s="2"/>
      <c r="N602" s="2"/>
      <c r="O602" s="3"/>
      <c r="P602" s="61"/>
      <c r="Q602" s="3"/>
    </row>
    <row r="603" spans="1:17" x14ac:dyDescent="0.3">
      <c r="A603" s="2" t="s">
        <v>651</v>
      </c>
      <c r="B603" s="2" t="s">
        <v>920</v>
      </c>
      <c r="C603" s="2"/>
      <c r="D603" s="2"/>
      <c r="E603" s="3" t="s">
        <v>1168</v>
      </c>
      <c r="F603" s="61">
        <v>29.99</v>
      </c>
      <c r="G603" s="3">
        <f>SUMIF(Tabela2[Código],Tabela6[[#This Row],[Código]],Tabela2[Saldo])</f>
        <v>1</v>
      </c>
      <c r="H603" s="2">
        <v>602</v>
      </c>
      <c r="K603" s="2"/>
      <c r="L603" s="2"/>
      <c r="M603" s="2"/>
      <c r="N603" s="2"/>
      <c r="O603" s="3"/>
      <c r="P603" s="61"/>
      <c r="Q603" s="3"/>
    </row>
    <row r="604" spans="1:17" x14ac:dyDescent="0.3">
      <c r="A604" s="2" t="s">
        <v>652</v>
      </c>
      <c r="B604" s="2" t="s">
        <v>921</v>
      </c>
      <c r="C604" s="2"/>
      <c r="D604" s="2"/>
      <c r="E604" s="3" t="s">
        <v>1168</v>
      </c>
      <c r="F604" s="61">
        <v>27.9</v>
      </c>
      <c r="G604" s="3">
        <f>SUMIF(Tabela2[Código],Tabela6[[#This Row],[Código]],Tabela2[Saldo])</f>
        <v>0.5</v>
      </c>
      <c r="H604" s="2">
        <v>603</v>
      </c>
      <c r="K604" s="2"/>
      <c r="L604" s="2"/>
      <c r="M604" s="2"/>
      <c r="N604" s="2"/>
      <c r="O604" s="3"/>
      <c r="P604" s="61"/>
      <c r="Q604" s="3"/>
    </row>
    <row r="605" spans="1:17" x14ac:dyDescent="0.3">
      <c r="A605" s="2" t="s">
        <v>653</v>
      </c>
      <c r="B605" s="2" t="s">
        <v>922</v>
      </c>
      <c r="C605" s="2"/>
      <c r="D605" s="2"/>
      <c r="E605" s="3" t="s">
        <v>1168</v>
      </c>
      <c r="F605" s="61">
        <v>0.01</v>
      </c>
      <c r="G605" s="3">
        <f>SUMIF(Tabela2[Código],Tabela6[[#This Row],[Código]],Tabela2[Saldo])</f>
        <v>3.5</v>
      </c>
      <c r="H605" s="3">
        <v>604</v>
      </c>
      <c r="K605" s="2"/>
      <c r="L605" s="2"/>
      <c r="M605" s="2"/>
      <c r="N605" s="2"/>
      <c r="O605" s="3"/>
      <c r="P605" s="61"/>
      <c r="Q605" s="3"/>
    </row>
    <row r="606" spans="1:17" x14ac:dyDescent="0.3">
      <c r="A606" s="2" t="s">
        <v>654</v>
      </c>
      <c r="B606" s="2" t="s">
        <v>923</v>
      </c>
      <c r="C606" s="2"/>
      <c r="D606" s="2"/>
      <c r="E606" s="3" t="s">
        <v>1168</v>
      </c>
      <c r="F606" s="61">
        <v>0.01</v>
      </c>
      <c r="G606" s="3">
        <f>SUMIF(Tabela2[Código],Tabela6[[#This Row],[Código]],Tabela2[Saldo])</f>
        <v>1</v>
      </c>
      <c r="H606" s="2">
        <v>605</v>
      </c>
      <c r="K606" s="2"/>
      <c r="L606" s="2"/>
      <c r="M606" s="2"/>
      <c r="N606" s="2"/>
      <c r="O606" s="3"/>
      <c r="P606" s="61"/>
      <c r="Q606" s="3"/>
    </row>
    <row r="607" spans="1:17" x14ac:dyDescent="0.3">
      <c r="A607" s="2" t="s">
        <v>655</v>
      </c>
      <c r="B607" s="2" t="s">
        <v>924</v>
      </c>
      <c r="C607" s="2"/>
      <c r="D607" s="2"/>
      <c r="E607" s="3" t="s">
        <v>1168</v>
      </c>
      <c r="F607" s="61">
        <v>0.01</v>
      </c>
      <c r="G607" s="3">
        <f>SUMIF(Tabela2[Código],Tabela6[[#This Row],[Código]],Tabela2[Saldo])</f>
        <v>2</v>
      </c>
      <c r="H607" s="2">
        <v>606</v>
      </c>
      <c r="K607" s="2"/>
      <c r="L607" s="2"/>
      <c r="M607" s="2"/>
      <c r="N607" s="2"/>
      <c r="O607" s="3"/>
      <c r="P607" s="61"/>
      <c r="Q607" s="3"/>
    </row>
    <row r="608" spans="1:17" x14ac:dyDescent="0.3">
      <c r="A608" s="2" t="s">
        <v>656</v>
      </c>
      <c r="B608" s="2" t="s">
        <v>925</v>
      </c>
      <c r="C608" s="2"/>
      <c r="D608" s="2"/>
      <c r="E608" s="3" t="s">
        <v>1169</v>
      </c>
      <c r="F608" s="61">
        <v>0.01</v>
      </c>
      <c r="G608" s="3">
        <f>SUMIF(Tabela2[Código],Tabela6[[#This Row],[Código]],Tabela2[Saldo])</f>
        <v>0</v>
      </c>
      <c r="H608" s="3">
        <v>607</v>
      </c>
      <c r="K608" s="2"/>
      <c r="L608" s="2"/>
      <c r="M608" s="2"/>
      <c r="N608" s="2"/>
      <c r="O608" s="3"/>
      <c r="P608" s="61"/>
      <c r="Q608" s="3"/>
    </row>
    <row r="609" spans="1:17" x14ac:dyDescent="0.3">
      <c r="A609" s="2" t="s">
        <v>657</v>
      </c>
      <c r="B609" s="2" t="s">
        <v>926</v>
      </c>
      <c r="C609" s="2"/>
      <c r="D609" s="2"/>
      <c r="E609" s="3" t="s">
        <v>1170</v>
      </c>
      <c r="F609" s="61">
        <v>0.01</v>
      </c>
      <c r="G609" s="3">
        <f>SUMIF(Tabela2[Código],Tabela6[[#This Row],[Código]],Tabela2[Saldo])</f>
        <v>2</v>
      </c>
      <c r="H609" s="2">
        <v>608</v>
      </c>
      <c r="K609" s="2"/>
      <c r="L609" s="2"/>
      <c r="M609" s="2"/>
      <c r="N609" s="2"/>
      <c r="O609" s="3"/>
      <c r="P609" s="61"/>
      <c r="Q609" s="3"/>
    </row>
    <row r="610" spans="1:17" x14ac:dyDescent="0.3">
      <c r="A610" s="36" t="s">
        <v>658</v>
      </c>
      <c r="B610" s="36" t="s">
        <v>927</v>
      </c>
      <c r="C610" s="36"/>
      <c r="D610" s="36"/>
      <c r="E610" s="3" t="s">
        <v>1171</v>
      </c>
      <c r="F610" s="60">
        <v>25.9</v>
      </c>
      <c r="G610" s="3">
        <f>SUMIF(Tabela2[Código],Tabela6[[#This Row],[Código]],Tabela2[Saldo])</f>
        <v>5</v>
      </c>
      <c r="H610" s="2">
        <v>609</v>
      </c>
      <c r="K610" s="36"/>
      <c r="L610" s="36"/>
      <c r="M610" s="36"/>
      <c r="N610" s="36"/>
      <c r="O610" s="3"/>
      <c r="P610" s="60"/>
      <c r="Q610" s="3"/>
    </row>
    <row r="611" spans="1:17" x14ac:dyDescent="0.3">
      <c r="A611" s="36" t="s">
        <v>659</v>
      </c>
      <c r="B611" s="36" t="s">
        <v>928</v>
      </c>
      <c r="C611" s="36"/>
      <c r="D611" s="36"/>
      <c r="E611" s="3" t="s">
        <v>1172</v>
      </c>
      <c r="F611" s="60">
        <v>28.8</v>
      </c>
      <c r="G611" s="3">
        <f>SUMIF(Tabela2[Código],Tabela6[[#This Row],[Código]],Tabela2[Saldo])</f>
        <v>0.7</v>
      </c>
      <c r="H611" s="3">
        <v>610</v>
      </c>
      <c r="K611" s="36"/>
      <c r="L611" s="36"/>
      <c r="M611" s="36"/>
      <c r="N611" s="36"/>
      <c r="O611" s="3"/>
      <c r="P611" s="60"/>
      <c r="Q611" s="3"/>
    </row>
    <row r="612" spans="1:17" x14ac:dyDescent="0.3">
      <c r="A612" s="2" t="s">
        <v>660</v>
      </c>
      <c r="B612" s="2" t="s">
        <v>929</v>
      </c>
      <c r="C612" s="2"/>
      <c r="D612" s="2"/>
      <c r="E612" s="3" t="s">
        <v>1172</v>
      </c>
      <c r="F612" s="61">
        <v>250.9</v>
      </c>
      <c r="G612" s="3">
        <f>SUMIF(Tabela2[Código],Tabela6[[#This Row],[Código]],Tabela2[Saldo])</f>
        <v>1</v>
      </c>
      <c r="H612" s="2">
        <v>611</v>
      </c>
      <c r="K612" s="2"/>
      <c r="L612" s="2"/>
      <c r="M612" s="2"/>
      <c r="N612" s="2"/>
      <c r="O612" s="3"/>
      <c r="P612" s="61"/>
      <c r="Q612" s="3"/>
    </row>
    <row r="613" spans="1:17" x14ac:dyDescent="0.3">
      <c r="A613" s="2" t="s">
        <v>661</v>
      </c>
      <c r="B613" s="2" t="s">
        <v>930</v>
      </c>
      <c r="C613" s="2"/>
      <c r="D613" s="2"/>
      <c r="E613" s="3" t="s">
        <v>1172</v>
      </c>
      <c r="F613" s="61">
        <v>0.01</v>
      </c>
      <c r="G613" s="3">
        <f>SUMIF(Tabela2[Código],Tabela6[[#This Row],[Código]],Tabela2[Saldo])</f>
        <v>0.3</v>
      </c>
      <c r="H613" s="2">
        <v>612</v>
      </c>
      <c r="K613" s="2"/>
      <c r="L613" s="2"/>
      <c r="M613" s="2"/>
      <c r="N613" s="2"/>
      <c r="O613" s="3"/>
      <c r="P613" s="61"/>
      <c r="Q613" s="3"/>
    </row>
    <row r="614" spans="1:17" x14ac:dyDescent="0.3">
      <c r="A614" s="2" t="s">
        <v>662</v>
      </c>
      <c r="B614" s="2" t="s">
        <v>931</v>
      </c>
      <c r="C614" s="2"/>
      <c r="D614" s="2"/>
      <c r="E614" s="3" t="s">
        <v>1172</v>
      </c>
      <c r="F614" s="61">
        <v>32.9</v>
      </c>
      <c r="G614" s="3">
        <f>SUMIF(Tabela2[Código],Tabela6[[#This Row],[Código]],Tabela2[Saldo])</f>
        <v>4</v>
      </c>
      <c r="H614" s="3">
        <v>613</v>
      </c>
      <c r="K614" s="2"/>
      <c r="L614" s="2"/>
      <c r="M614" s="2"/>
      <c r="N614" s="2"/>
      <c r="O614" s="3"/>
      <c r="P614" s="61"/>
      <c r="Q614" s="3"/>
    </row>
    <row r="615" spans="1:17" x14ac:dyDescent="0.3">
      <c r="A615" s="2" t="s">
        <v>695</v>
      </c>
      <c r="B615" s="2" t="s">
        <v>932</v>
      </c>
      <c r="C615" s="2"/>
      <c r="D615" s="2"/>
      <c r="E615" s="3" t="s">
        <v>1172</v>
      </c>
      <c r="F615" s="61">
        <v>44.9</v>
      </c>
      <c r="G615" s="3">
        <f>SUMIF(Tabela2[Código],Tabela6[[#This Row],[Código]],Tabela2[Saldo])</f>
        <v>0</v>
      </c>
      <c r="H615" s="2">
        <v>614</v>
      </c>
      <c r="K615" s="2"/>
      <c r="L615" s="2"/>
      <c r="M615" s="2"/>
      <c r="N615" s="2"/>
      <c r="O615" s="3"/>
      <c r="P615" s="61"/>
      <c r="Q615" s="3"/>
    </row>
    <row r="616" spans="1:17" x14ac:dyDescent="0.3">
      <c r="A616" s="2" t="s">
        <v>663</v>
      </c>
      <c r="B616" s="2" t="s">
        <v>933</v>
      </c>
      <c r="C616" s="2"/>
      <c r="D616" s="2"/>
      <c r="E616" s="3" t="s">
        <v>1172</v>
      </c>
      <c r="F616" s="61">
        <v>63</v>
      </c>
      <c r="G616" s="3">
        <f>SUMIF(Tabela2[Código],Tabela6[[#This Row],[Código]],Tabela2[Saldo])</f>
        <v>1.1000000000000001</v>
      </c>
      <c r="H616" s="2">
        <v>615</v>
      </c>
      <c r="K616" s="2"/>
      <c r="L616" s="2"/>
      <c r="M616" s="2"/>
      <c r="N616" s="2"/>
      <c r="O616" s="3"/>
      <c r="P616" s="61"/>
      <c r="Q616" s="3"/>
    </row>
    <row r="617" spans="1:17" x14ac:dyDescent="0.3">
      <c r="A617" s="2" t="s">
        <v>664</v>
      </c>
      <c r="B617" s="2" t="s">
        <v>934</v>
      </c>
      <c r="C617" s="2"/>
      <c r="D617" s="2"/>
      <c r="E617" s="3" t="s">
        <v>1172</v>
      </c>
      <c r="F617" s="61">
        <v>239.9</v>
      </c>
      <c r="G617" s="3">
        <f>SUMIF(Tabela2[Código],Tabela6[[#This Row],[Código]],Tabela2[Saldo])</f>
        <v>0</v>
      </c>
      <c r="H617" s="3">
        <v>616</v>
      </c>
      <c r="K617" s="2"/>
      <c r="L617" s="2"/>
      <c r="M617" s="2"/>
      <c r="N617" s="2"/>
      <c r="O617" s="3"/>
      <c r="P617" s="61"/>
      <c r="Q617" s="3"/>
    </row>
    <row r="618" spans="1:17" x14ac:dyDescent="0.3">
      <c r="A618" s="2" t="s">
        <v>665</v>
      </c>
      <c r="B618" s="2" t="s">
        <v>935</v>
      </c>
      <c r="C618" s="2"/>
      <c r="D618" s="2"/>
      <c r="E618" s="3" t="s">
        <v>1172</v>
      </c>
      <c r="F618" s="61">
        <v>63</v>
      </c>
      <c r="G618" s="3">
        <f>SUMIF(Tabela2[Código],Tabela6[[#This Row],[Código]],Tabela2[Saldo])</f>
        <v>1.4</v>
      </c>
      <c r="H618" s="2">
        <v>617</v>
      </c>
      <c r="K618" s="2"/>
      <c r="L618" s="2"/>
      <c r="M618" s="2"/>
      <c r="N618" s="2"/>
      <c r="O618" s="3"/>
      <c r="P618" s="61"/>
      <c r="Q618" s="3"/>
    </row>
    <row r="619" spans="1:17" x14ac:dyDescent="0.3">
      <c r="A619" s="2" t="s">
        <v>666</v>
      </c>
      <c r="B619" s="2" t="s">
        <v>936</v>
      </c>
      <c r="C619" s="2"/>
      <c r="D619" s="2"/>
      <c r="E619" s="3" t="s">
        <v>1172</v>
      </c>
      <c r="F619" s="61">
        <v>80.900000000000006</v>
      </c>
      <c r="G619" s="3">
        <f>SUMIF(Tabela2[Código],Tabela6[[#This Row],[Código]],Tabela2[Saldo])</f>
        <v>0</v>
      </c>
      <c r="H619" s="2">
        <v>618</v>
      </c>
      <c r="K619" s="2"/>
      <c r="L619" s="2"/>
      <c r="M619" s="2"/>
      <c r="N619" s="2"/>
      <c r="O619" s="3"/>
      <c r="P619" s="61"/>
      <c r="Q619" s="3"/>
    </row>
    <row r="620" spans="1:17" x14ac:dyDescent="0.3">
      <c r="A620" s="2" t="s">
        <v>667</v>
      </c>
      <c r="B620" s="2" t="s">
        <v>937</v>
      </c>
      <c r="C620" s="2"/>
      <c r="D620" s="2"/>
      <c r="E620" s="3" t="s">
        <v>1172</v>
      </c>
      <c r="F620" s="61">
        <v>283.89999999999998</v>
      </c>
      <c r="G620" s="3">
        <f>SUMIF(Tabela2[Código],Tabela6[[#This Row],[Código]],Tabela2[Saldo])</f>
        <v>0</v>
      </c>
      <c r="H620" s="3">
        <v>619</v>
      </c>
      <c r="K620" s="2"/>
      <c r="L620" s="2"/>
      <c r="M620" s="2"/>
      <c r="N620" s="2"/>
      <c r="O620" s="3"/>
      <c r="P620" s="61"/>
      <c r="Q620" s="3"/>
    </row>
    <row r="621" spans="1:17" x14ac:dyDescent="0.3">
      <c r="A621" s="2" t="s">
        <v>668</v>
      </c>
      <c r="B621" s="2" t="s">
        <v>938</v>
      </c>
      <c r="C621" s="2"/>
      <c r="D621" s="2"/>
      <c r="E621" s="3" t="s">
        <v>1172</v>
      </c>
      <c r="F621" s="61">
        <v>17.989999999999998</v>
      </c>
      <c r="G621" s="3">
        <f>SUMIF(Tabela2[Código],Tabela6[[#This Row],[Código]],Tabela2[Saldo])</f>
        <v>1</v>
      </c>
      <c r="H621" s="2">
        <v>620</v>
      </c>
      <c r="K621" s="2"/>
      <c r="L621" s="2"/>
      <c r="M621" s="2"/>
      <c r="N621" s="2"/>
      <c r="O621" s="3"/>
      <c r="P621" s="61"/>
      <c r="Q621" s="3"/>
    </row>
    <row r="622" spans="1:17" x14ac:dyDescent="0.3">
      <c r="A622" s="2" t="s">
        <v>669</v>
      </c>
      <c r="B622" s="2" t="s">
        <v>939</v>
      </c>
      <c r="C622" s="2"/>
      <c r="D622" s="2"/>
      <c r="E622" s="3" t="s">
        <v>1172</v>
      </c>
      <c r="F622" s="61">
        <v>80.900000000000006</v>
      </c>
      <c r="G622" s="3">
        <f>SUMIF(Tabela2[Código],Tabela6[[#This Row],[Código]],Tabela2[Saldo])</f>
        <v>0</v>
      </c>
      <c r="H622" s="2">
        <v>621</v>
      </c>
      <c r="K622" s="2"/>
      <c r="L622" s="2"/>
      <c r="M622" s="2"/>
      <c r="N622" s="2"/>
      <c r="O622" s="3"/>
      <c r="P622" s="61"/>
      <c r="Q622" s="3"/>
    </row>
    <row r="623" spans="1:17" x14ac:dyDescent="0.3">
      <c r="A623" s="2" t="s">
        <v>670</v>
      </c>
      <c r="B623" s="2" t="s">
        <v>940</v>
      </c>
      <c r="C623" s="2"/>
      <c r="D623" s="2"/>
      <c r="E623" s="3" t="s">
        <v>1172</v>
      </c>
      <c r="F623" s="61">
        <v>99.9</v>
      </c>
      <c r="G623" s="3">
        <f>SUMIF(Tabela2[Código],Tabela6[[#This Row],[Código]],Tabela2[Saldo])</f>
        <v>1</v>
      </c>
      <c r="H623" s="3">
        <v>622</v>
      </c>
      <c r="K623" s="2"/>
      <c r="L623" s="2"/>
      <c r="M623" s="2"/>
      <c r="N623" s="2"/>
      <c r="O623" s="3"/>
      <c r="P623" s="61"/>
      <c r="Q623" s="3"/>
    </row>
    <row r="624" spans="1:17" x14ac:dyDescent="0.3">
      <c r="A624" s="2" t="s">
        <v>671</v>
      </c>
      <c r="B624" s="2" t="s">
        <v>941</v>
      </c>
      <c r="C624" s="2"/>
      <c r="D624" s="2"/>
      <c r="E624" s="3" t="s">
        <v>1172</v>
      </c>
      <c r="F624" s="61">
        <v>0.01</v>
      </c>
      <c r="G624" s="3">
        <f>SUMIF(Tabela2[Código],Tabela6[[#This Row],[Código]],Tabela2[Saldo])</f>
        <v>1</v>
      </c>
      <c r="H624" s="2">
        <v>623</v>
      </c>
      <c r="K624" s="2"/>
      <c r="L624" s="2"/>
      <c r="M624" s="2"/>
      <c r="N624" s="2"/>
      <c r="O624" s="3"/>
      <c r="P624" s="61"/>
      <c r="Q624" s="3"/>
    </row>
    <row r="625" spans="1:17" x14ac:dyDescent="0.3">
      <c r="A625" s="2" t="s">
        <v>672</v>
      </c>
      <c r="B625" s="2" t="s">
        <v>942</v>
      </c>
      <c r="C625" s="2"/>
      <c r="D625" s="2"/>
      <c r="E625" s="3" t="s">
        <v>1172</v>
      </c>
      <c r="F625" s="61">
        <v>207</v>
      </c>
      <c r="G625" s="3">
        <f>SUMIF(Tabela2[Código],Tabela6[[#This Row],[Código]],Tabela2[Saldo])</f>
        <v>0.7</v>
      </c>
      <c r="H625" s="2">
        <v>624</v>
      </c>
      <c r="K625" s="2"/>
      <c r="L625" s="2"/>
      <c r="M625" s="2"/>
      <c r="N625" s="2"/>
      <c r="O625" s="3"/>
      <c r="P625" s="61"/>
      <c r="Q625" s="3"/>
    </row>
    <row r="626" spans="1:17" x14ac:dyDescent="0.3">
      <c r="A626" s="2" t="s">
        <v>673</v>
      </c>
      <c r="B626" s="2" t="s">
        <v>943</v>
      </c>
      <c r="C626" s="2"/>
      <c r="D626" s="2"/>
      <c r="E626" s="3" t="s">
        <v>1172</v>
      </c>
      <c r="F626" s="61">
        <v>0.01</v>
      </c>
      <c r="G626" s="3">
        <f>SUMIF(Tabela2[Código],Tabela6[[#This Row],[Código]],Tabela2[Saldo])</f>
        <v>1</v>
      </c>
      <c r="H626" s="3">
        <v>625</v>
      </c>
      <c r="K626" s="2"/>
      <c r="L626" s="2"/>
      <c r="M626" s="2"/>
      <c r="N626" s="2"/>
      <c r="O626" s="3"/>
      <c r="P626" s="61"/>
      <c r="Q626" s="3"/>
    </row>
    <row r="627" spans="1:17" x14ac:dyDescent="0.3">
      <c r="A627" s="2" t="s">
        <v>674</v>
      </c>
      <c r="B627" s="2" t="s">
        <v>944</v>
      </c>
      <c r="C627" s="2"/>
      <c r="D627" s="2"/>
      <c r="E627" s="3" t="s">
        <v>1172</v>
      </c>
      <c r="F627" s="61">
        <v>79.900000000000006</v>
      </c>
      <c r="G627" s="3">
        <f>SUMIF(Tabela2[Código],Tabela6[[#This Row],[Código]],Tabela2[Saldo])</f>
        <v>0.9</v>
      </c>
      <c r="H627" s="2">
        <v>626</v>
      </c>
      <c r="K627" s="2"/>
      <c r="L627" s="2"/>
      <c r="M627" s="2"/>
      <c r="N627" s="2"/>
      <c r="O627" s="3"/>
      <c r="P627" s="61"/>
      <c r="Q627" s="3"/>
    </row>
    <row r="628" spans="1:17" x14ac:dyDescent="0.3">
      <c r="A628" s="2" t="s">
        <v>675</v>
      </c>
      <c r="B628" s="2" t="s">
        <v>945</v>
      </c>
      <c r="C628" s="2"/>
      <c r="D628" s="2"/>
      <c r="E628" s="3" t="s">
        <v>1172</v>
      </c>
      <c r="F628" s="61">
        <v>79.900000000000006</v>
      </c>
      <c r="G628" s="3">
        <f>SUMIF(Tabela2[Código],Tabela6[[#This Row],[Código]],Tabela2[Saldo])</f>
        <v>0.9</v>
      </c>
      <c r="H628" s="2">
        <v>627</v>
      </c>
      <c r="K628" s="2"/>
      <c r="L628" s="2"/>
      <c r="M628" s="2"/>
      <c r="N628" s="2"/>
      <c r="O628" s="3"/>
      <c r="P628" s="61"/>
      <c r="Q628" s="3"/>
    </row>
    <row r="629" spans="1:17" x14ac:dyDescent="0.3">
      <c r="A629" s="2" t="s">
        <v>676</v>
      </c>
      <c r="B629" s="2" t="s">
        <v>946</v>
      </c>
      <c r="C629" s="2"/>
      <c r="D629" s="2"/>
      <c r="E629" s="3" t="s">
        <v>1172</v>
      </c>
      <c r="F629" s="61">
        <v>74.900000000000006</v>
      </c>
      <c r="G629" s="3">
        <f>SUMIF(Tabela2[Código],Tabela6[[#This Row],[Código]],Tabela2[Saldo])</f>
        <v>1</v>
      </c>
      <c r="H629" s="3">
        <v>628</v>
      </c>
      <c r="K629" s="2"/>
      <c r="L629" s="2"/>
      <c r="M629" s="2"/>
      <c r="N629" s="2"/>
      <c r="O629" s="3"/>
      <c r="P629" s="61"/>
      <c r="Q629" s="3"/>
    </row>
    <row r="630" spans="1:17" x14ac:dyDescent="0.3">
      <c r="A630" s="2" t="s">
        <v>677</v>
      </c>
      <c r="B630" s="2" t="s">
        <v>947</v>
      </c>
      <c r="C630" s="2"/>
      <c r="D630" s="2"/>
      <c r="E630" s="3" t="s">
        <v>1172</v>
      </c>
      <c r="F630" s="61">
        <v>56.05</v>
      </c>
      <c r="G630" s="3">
        <f>SUMIF(Tabela2[Código],Tabela6[[#This Row],[Código]],Tabela2[Saldo])</f>
        <v>0.4</v>
      </c>
      <c r="H630" s="2">
        <v>629</v>
      </c>
      <c r="K630" s="2"/>
      <c r="L630" s="2"/>
      <c r="M630" s="2"/>
      <c r="N630" s="2"/>
      <c r="O630" s="3"/>
      <c r="P630" s="61"/>
      <c r="Q630" s="3"/>
    </row>
    <row r="631" spans="1:17" x14ac:dyDescent="0.3">
      <c r="A631" s="2" t="s">
        <v>678</v>
      </c>
      <c r="B631" s="2" t="s">
        <v>948</v>
      </c>
      <c r="C631" s="2"/>
      <c r="D631" s="2"/>
      <c r="E631" s="3" t="s">
        <v>1172</v>
      </c>
      <c r="F631" s="61">
        <v>18</v>
      </c>
      <c r="G631" s="3">
        <f>SUMIF(Tabela2[Código],Tabela6[[#This Row],[Código]],Tabela2[Saldo])</f>
        <v>1</v>
      </c>
      <c r="H631" s="2">
        <v>630</v>
      </c>
      <c r="K631" s="2"/>
      <c r="L631" s="2"/>
      <c r="M631" s="2"/>
      <c r="N631" s="2"/>
      <c r="O631" s="3"/>
      <c r="P631" s="61"/>
      <c r="Q631" s="3"/>
    </row>
    <row r="632" spans="1:17" x14ac:dyDescent="0.3">
      <c r="A632" s="2" t="s">
        <v>679</v>
      </c>
      <c r="B632" s="2" t="s">
        <v>949</v>
      </c>
      <c r="C632" s="2"/>
      <c r="D632" s="2"/>
      <c r="E632" s="3" t="s">
        <v>1172</v>
      </c>
      <c r="F632" s="61">
        <v>56.05</v>
      </c>
      <c r="G632" s="3">
        <f>SUMIF(Tabela2[Código],Tabela6[[#This Row],[Código]],Tabela2[Saldo])</f>
        <v>0</v>
      </c>
      <c r="H632" s="3">
        <v>631</v>
      </c>
      <c r="K632" s="2"/>
      <c r="L632" s="2"/>
      <c r="M632" s="2"/>
      <c r="N632" s="2"/>
      <c r="O632" s="3"/>
      <c r="P632" s="61"/>
      <c r="Q632" s="3"/>
    </row>
    <row r="633" spans="1:17" x14ac:dyDescent="0.3">
      <c r="A633" s="2" t="s">
        <v>680</v>
      </c>
      <c r="B633" s="2" t="s">
        <v>950</v>
      </c>
      <c r="C633" s="2"/>
      <c r="D633" s="2"/>
      <c r="E633" s="3" t="s">
        <v>1172</v>
      </c>
      <c r="F633" s="61">
        <v>69.900000000000006</v>
      </c>
      <c r="G633" s="3">
        <f>SUMIF(Tabela2[Código],Tabela6[[#This Row],[Código]],Tabela2[Saldo])</f>
        <v>1.9</v>
      </c>
      <c r="H633" s="2">
        <v>632</v>
      </c>
      <c r="K633" s="2"/>
      <c r="L633" s="2"/>
      <c r="M633" s="2"/>
      <c r="N633" s="2"/>
      <c r="O633" s="3"/>
      <c r="P633" s="61"/>
      <c r="Q633" s="3"/>
    </row>
    <row r="634" spans="1:17" x14ac:dyDescent="0.3">
      <c r="A634" s="2" t="s">
        <v>681</v>
      </c>
      <c r="B634" s="2" t="s">
        <v>951</v>
      </c>
      <c r="C634" s="2"/>
      <c r="D634" s="2"/>
      <c r="E634" s="3" t="s">
        <v>1172</v>
      </c>
      <c r="F634" s="61">
        <v>72.900000000000006</v>
      </c>
      <c r="G634" s="3">
        <f>SUMIF(Tabela2[Código],Tabela6[[#This Row],[Código]],Tabela2[Saldo])</f>
        <v>1</v>
      </c>
      <c r="H634" s="2">
        <v>633</v>
      </c>
      <c r="K634" s="2"/>
      <c r="L634" s="2"/>
      <c r="M634" s="2"/>
      <c r="N634" s="2"/>
      <c r="O634" s="3"/>
      <c r="P634" s="61"/>
      <c r="Q634" s="3"/>
    </row>
    <row r="635" spans="1:17" x14ac:dyDescent="0.3">
      <c r="A635" s="2" t="s">
        <v>682</v>
      </c>
      <c r="B635" s="2" t="s">
        <v>952</v>
      </c>
      <c r="C635" s="2"/>
      <c r="D635" s="2"/>
      <c r="E635" s="3" t="s">
        <v>1172</v>
      </c>
      <c r="F635" s="61">
        <v>72.900000000000006</v>
      </c>
      <c r="G635" s="3">
        <f>SUMIF(Tabela2[Código],Tabela6[[#This Row],[Código]],Tabela2[Saldo])</f>
        <v>1</v>
      </c>
      <c r="H635" s="3">
        <v>634</v>
      </c>
      <c r="K635" s="2"/>
      <c r="L635" s="2"/>
      <c r="M635" s="2"/>
      <c r="N635" s="2"/>
      <c r="O635" s="3"/>
      <c r="P635" s="61"/>
      <c r="Q635" s="3"/>
    </row>
    <row r="636" spans="1:17" x14ac:dyDescent="0.3">
      <c r="A636" s="2" t="s">
        <v>683</v>
      </c>
      <c r="B636" s="2" t="s">
        <v>953</v>
      </c>
      <c r="C636" s="2"/>
      <c r="D636" s="2"/>
      <c r="E636" s="3" t="s">
        <v>1172</v>
      </c>
      <c r="F636" s="61">
        <v>72.900000000000006</v>
      </c>
      <c r="G636" s="3">
        <f>SUMIF(Tabela2[Código],Tabela6[[#This Row],[Código]],Tabela2[Saldo])</f>
        <v>1</v>
      </c>
      <c r="H636" s="2">
        <v>635</v>
      </c>
      <c r="K636" s="2"/>
      <c r="L636" s="2"/>
      <c r="M636" s="2"/>
      <c r="N636" s="2"/>
      <c r="O636" s="3"/>
      <c r="P636" s="61"/>
      <c r="Q636" s="3"/>
    </row>
    <row r="637" spans="1:17" x14ac:dyDescent="0.3">
      <c r="A637" s="2" t="s">
        <v>684</v>
      </c>
      <c r="B637" s="2" t="s">
        <v>954</v>
      </c>
      <c r="C637" s="2"/>
      <c r="D637" s="2"/>
      <c r="E637" s="3" t="s">
        <v>1172</v>
      </c>
      <c r="F637" s="61">
        <v>59.9</v>
      </c>
      <c r="G637" s="3">
        <f>SUMIF(Tabela2[Código],Tabela6[[#This Row],[Código]],Tabela2[Saldo])</f>
        <v>1</v>
      </c>
      <c r="H637" s="2">
        <v>636</v>
      </c>
      <c r="K637" s="2"/>
      <c r="L637" s="2"/>
      <c r="M637" s="2"/>
      <c r="N637" s="2"/>
      <c r="O637" s="3"/>
      <c r="P637" s="61"/>
      <c r="Q637" s="3"/>
    </row>
    <row r="638" spans="1:17" x14ac:dyDescent="0.3">
      <c r="A638" s="2" t="s">
        <v>685</v>
      </c>
      <c r="B638" s="2" t="s">
        <v>955</v>
      </c>
      <c r="C638" s="2"/>
      <c r="D638" s="2"/>
      <c r="E638" s="3" t="s">
        <v>1173</v>
      </c>
      <c r="F638" s="61">
        <v>0.01</v>
      </c>
      <c r="G638" s="3">
        <f>SUMIF(Tabela2[Código],Tabela6[[#This Row],[Código]],Tabela2[Saldo])</f>
        <v>1</v>
      </c>
      <c r="H638" s="3">
        <v>637</v>
      </c>
      <c r="K638" s="2"/>
      <c r="L638" s="2"/>
      <c r="M638" s="2"/>
      <c r="N638" s="2"/>
      <c r="O638" s="3"/>
      <c r="P638" s="61"/>
      <c r="Q638" s="3"/>
    </row>
    <row r="639" spans="1:17" x14ac:dyDescent="0.3">
      <c r="A639" s="2" t="s">
        <v>686</v>
      </c>
      <c r="B639" s="2" t="s">
        <v>956</v>
      </c>
      <c r="C639" s="2"/>
      <c r="D639" s="2"/>
      <c r="E639" s="3" t="s">
        <v>1173</v>
      </c>
      <c r="F639" s="61">
        <v>79.900000000000006</v>
      </c>
      <c r="G639" s="3">
        <f>SUMIF(Tabela2[Código],Tabela6[[#This Row],[Código]],Tabela2[Saldo])</f>
        <v>0.3</v>
      </c>
      <c r="H639" s="2">
        <v>638</v>
      </c>
      <c r="K639" s="2"/>
      <c r="L639" s="2"/>
      <c r="M639" s="2"/>
      <c r="N639" s="2"/>
      <c r="O639" s="3"/>
      <c r="P639" s="61"/>
      <c r="Q639" s="3"/>
    </row>
    <row r="640" spans="1:17" x14ac:dyDescent="0.3">
      <c r="A640" s="2" t="s">
        <v>687</v>
      </c>
      <c r="B640" s="2" t="s">
        <v>957</v>
      </c>
      <c r="C640" s="2"/>
      <c r="D640" s="2"/>
      <c r="E640" s="3" t="s">
        <v>1173</v>
      </c>
      <c r="F640" s="61">
        <v>45</v>
      </c>
      <c r="G640" s="3">
        <f>SUMIF(Tabela2[Código],Tabela6[[#This Row],[Código]],Tabela2[Saldo])</f>
        <v>0.9</v>
      </c>
      <c r="H640" s="2">
        <v>639</v>
      </c>
      <c r="K640" s="2"/>
      <c r="L640" s="2"/>
      <c r="M640" s="2"/>
      <c r="N640" s="2"/>
      <c r="O640" s="3"/>
      <c r="P640" s="61"/>
      <c r="Q640" s="3"/>
    </row>
    <row r="641" spans="1:17" x14ac:dyDescent="0.3">
      <c r="A641" s="2" t="s">
        <v>688</v>
      </c>
      <c r="B641" s="2" t="s">
        <v>958</v>
      </c>
      <c r="C641" s="2"/>
      <c r="D641" s="2"/>
      <c r="E641" s="3" t="s">
        <v>1173</v>
      </c>
      <c r="F641" s="61">
        <v>159.9</v>
      </c>
      <c r="G641" s="3">
        <f>SUMIF(Tabela2[Código],Tabela6[[#This Row],[Código]],Tabela2[Saldo])</f>
        <v>0</v>
      </c>
      <c r="H641" s="3">
        <v>640</v>
      </c>
      <c r="K641" s="2"/>
      <c r="L641" s="2"/>
      <c r="M641" s="2"/>
      <c r="N641" s="2"/>
      <c r="O641" s="3"/>
      <c r="P641" s="61"/>
      <c r="Q641" s="3"/>
    </row>
    <row r="642" spans="1:17" x14ac:dyDescent="0.3">
      <c r="A642" s="2" t="s">
        <v>689</v>
      </c>
      <c r="B642" s="2" t="s">
        <v>959</v>
      </c>
      <c r="C642" s="2"/>
      <c r="D642" s="2"/>
      <c r="E642" s="3" t="s">
        <v>1174</v>
      </c>
      <c r="F642" s="61">
        <v>64.900000000000006</v>
      </c>
      <c r="G642" s="3">
        <f>SUMIF(Tabela2[Código],Tabela6[[#This Row],[Código]],Tabela2[Saldo])</f>
        <v>0</v>
      </c>
      <c r="H642" s="2">
        <v>641</v>
      </c>
      <c r="K642" s="2"/>
      <c r="L642" s="2"/>
      <c r="M642" s="2"/>
      <c r="N642" s="2"/>
      <c r="O642" s="3"/>
      <c r="P642" s="61"/>
      <c r="Q642" s="3"/>
    </row>
    <row r="643" spans="1:17" x14ac:dyDescent="0.3">
      <c r="A643" s="2" t="s">
        <v>690</v>
      </c>
      <c r="B643" s="2" t="s">
        <v>960</v>
      </c>
      <c r="C643" s="2"/>
      <c r="D643" s="2"/>
      <c r="E643" s="3" t="s">
        <v>1174</v>
      </c>
      <c r="F643" s="61">
        <v>59.9</v>
      </c>
      <c r="G643" s="3">
        <f>SUMIF(Tabela2[Código],Tabela6[[#This Row],[Código]],Tabela2[Saldo])</f>
        <v>0.9</v>
      </c>
      <c r="H643" s="2">
        <v>642</v>
      </c>
      <c r="K643" s="2"/>
      <c r="L643" s="2"/>
      <c r="M643" s="2"/>
      <c r="N643" s="2"/>
      <c r="O643" s="3"/>
      <c r="P643" s="61"/>
      <c r="Q643" s="3"/>
    </row>
    <row r="644" spans="1:17" x14ac:dyDescent="0.3">
      <c r="A644" s="2" t="s">
        <v>691</v>
      </c>
      <c r="B644" s="2" t="s">
        <v>961</v>
      </c>
      <c r="C644" s="2"/>
      <c r="D644" s="2"/>
      <c r="E644" s="3" t="s">
        <v>1174</v>
      </c>
      <c r="F644" s="61">
        <v>59.9</v>
      </c>
      <c r="G644" s="3">
        <f>SUMIF(Tabela2[Código],Tabela6[[#This Row],[Código]],Tabela2[Saldo])</f>
        <v>0</v>
      </c>
      <c r="H644" s="3">
        <v>643</v>
      </c>
      <c r="K644" s="2"/>
      <c r="L644" s="2"/>
      <c r="M644" s="2"/>
      <c r="N644" s="2"/>
      <c r="O644" s="3"/>
      <c r="P644" s="61"/>
      <c r="Q644" s="3"/>
    </row>
    <row r="645" spans="1:17" x14ac:dyDescent="0.3">
      <c r="A645" s="2" t="s">
        <v>692</v>
      </c>
      <c r="B645" s="2" t="s">
        <v>962</v>
      </c>
      <c r="C645" s="2"/>
      <c r="D645" s="2"/>
      <c r="E645" s="3" t="s">
        <v>1174</v>
      </c>
      <c r="F645" s="61">
        <v>59.9</v>
      </c>
      <c r="G645" s="3">
        <f>SUMIF(Tabela2[Código],Tabela6[[#This Row],[Código]],Tabela2[Saldo])</f>
        <v>1</v>
      </c>
      <c r="H645" s="2">
        <v>644</v>
      </c>
      <c r="K645" s="2"/>
      <c r="L645" s="2"/>
      <c r="M645" s="2"/>
      <c r="N645" s="2"/>
      <c r="O645" s="3"/>
      <c r="P645" s="61"/>
      <c r="Q645" s="3"/>
    </row>
    <row r="646" spans="1:17" x14ac:dyDescent="0.3">
      <c r="A646" s="2" t="s">
        <v>693</v>
      </c>
      <c r="B646" s="2" t="s">
        <v>963</v>
      </c>
      <c r="C646" s="2"/>
      <c r="D646" s="2"/>
      <c r="E646" s="3" t="s">
        <v>1174</v>
      </c>
      <c r="F646" s="61">
        <v>245.62</v>
      </c>
      <c r="G646" s="3">
        <f>SUMIF(Tabela2[Código],Tabela6[[#This Row],[Código]],Tabela2[Saldo])</f>
        <v>1</v>
      </c>
      <c r="H646" s="2">
        <v>645</v>
      </c>
      <c r="K646" s="2"/>
      <c r="L646" s="2"/>
      <c r="M646" s="2"/>
      <c r="N646" s="2"/>
      <c r="O646" s="3"/>
      <c r="P646" s="61"/>
      <c r="Q646" s="3"/>
    </row>
    <row r="647" spans="1:17" x14ac:dyDescent="0.3">
      <c r="A647" s="2" t="s">
        <v>694</v>
      </c>
      <c r="B647" s="2" t="s">
        <v>964</v>
      </c>
      <c r="C647" s="2"/>
      <c r="D647" s="2"/>
      <c r="E647" s="3" t="s">
        <v>1175</v>
      </c>
      <c r="F647" s="61">
        <v>245.62</v>
      </c>
      <c r="G647" s="3">
        <f>SUMIF(Tabela2[Código],Tabela6[[#This Row],[Código]],Tabela2[Saldo])</f>
        <v>0</v>
      </c>
      <c r="H647" s="3">
        <v>646</v>
      </c>
      <c r="K647" s="2"/>
      <c r="L647" s="2"/>
      <c r="M647" s="2"/>
      <c r="N647" s="2"/>
      <c r="O647" s="3"/>
      <c r="P647" s="61"/>
      <c r="Q647" s="3"/>
    </row>
    <row r="648" spans="1:17" x14ac:dyDescent="0.3">
      <c r="A648" s="2" t="s">
        <v>696</v>
      </c>
      <c r="B648" s="2" t="s">
        <v>965</v>
      </c>
      <c r="C648" s="2"/>
      <c r="D648" s="2"/>
      <c r="E648" s="3" t="s">
        <v>1175</v>
      </c>
      <c r="F648" s="61">
        <v>89.9</v>
      </c>
      <c r="G648" s="3">
        <f>SUMIF(Tabela2[Código],Tabela6[[#This Row],[Código]],Tabela2[Saldo])</f>
        <v>1</v>
      </c>
      <c r="H648" s="2">
        <v>647</v>
      </c>
      <c r="K648" s="2"/>
      <c r="L648" s="2"/>
      <c r="M648" s="2"/>
      <c r="N648" s="2"/>
      <c r="O648" s="3"/>
      <c r="P648" s="61"/>
      <c r="Q648" s="3"/>
    </row>
    <row r="649" spans="1:17" x14ac:dyDescent="0.3">
      <c r="A649" s="36" t="s">
        <v>697</v>
      </c>
      <c r="B649" s="36" t="s">
        <v>966</v>
      </c>
      <c r="C649" s="36"/>
      <c r="D649" s="36"/>
      <c r="E649" s="3" t="s">
        <v>1175</v>
      </c>
      <c r="F649" s="60">
        <v>0.01</v>
      </c>
      <c r="G649" s="3">
        <f>SUMIF(Tabela2[Código],Tabela6[[#This Row],[Código]],Tabela2[Saldo])</f>
        <v>1</v>
      </c>
      <c r="H649" s="2">
        <v>648</v>
      </c>
      <c r="K649" s="36"/>
      <c r="L649" s="36"/>
      <c r="M649" s="36"/>
      <c r="N649" s="36"/>
      <c r="O649" s="3"/>
      <c r="P649" s="60"/>
      <c r="Q649" s="3"/>
    </row>
    <row r="650" spans="1:17" x14ac:dyDescent="0.3">
      <c r="A650" s="2" t="s">
        <v>701</v>
      </c>
      <c r="B650" s="2" t="s">
        <v>967</v>
      </c>
      <c r="C650" s="2"/>
      <c r="D650" s="2"/>
      <c r="E650" s="3" t="s">
        <v>1175</v>
      </c>
      <c r="F650" s="61">
        <v>16.989999999999998</v>
      </c>
      <c r="G650" s="2">
        <f>SUMIF(Tabela2[Código],Tabela6[[#This Row],[Código]],Tabela2[Saldo])</f>
        <v>8</v>
      </c>
      <c r="H650" s="2">
        <v>649</v>
      </c>
      <c r="K650" s="2"/>
      <c r="L650" s="2"/>
      <c r="M650" s="2"/>
      <c r="N650" s="2"/>
      <c r="O650" s="3"/>
      <c r="P650" s="61"/>
      <c r="Q650" s="2"/>
    </row>
    <row r="651" spans="1:17" x14ac:dyDescent="0.3">
      <c r="A651" s="2" t="s">
        <v>702</v>
      </c>
      <c r="B651" s="2" t="s">
        <v>968</v>
      </c>
      <c r="C651" s="2"/>
      <c r="D651" s="2"/>
      <c r="E651" s="3" t="s">
        <v>1175</v>
      </c>
      <c r="F651" s="61">
        <v>417.6</v>
      </c>
      <c r="G651" s="2">
        <f>SUMIF(Tabela2[Código],Tabela6[[#This Row],[Código]],Tabela2[Saldo])</f>
        <v>3</v>
      </c>
      <c r="H651" s="3">
        <v>650</v>
      </c>
      <c r="K651" s="2"/>
      <c r="L651" s="2"/>
      <c r="M651" s="2"/>
      <c r="N651" s="2"/>
      <c r="O651" s="3"/>
      <c r="P651" s="61"/>
      <c r="Q651" s="2"/>
    </row>
    <row r="652" spans="1:17" x14ac:dyDescent="0.3">
      <c r="A652" s="36" t="s">
        <v>715</v>
      </c>
      <c r="B652" s="36" t="s">
        <v>969</v>
      </c>
      <c r="C652" s="36"/>
      <c r="D652" s="36"/>
      <c r="E652" s="3" t="s">
        <v>1176</v>
      </c>
      <c r="F652" s="60">
        <v>8</v>
      </c>
      <c r="G652" s="36">
        <f>SUMIF(Tabela2[Código],Tabela6[[#This Row],[Código]],Tabela2[Saldo])</f>
        <v>3</v>
      </c>
      <c r="H652" s="2">
        <v>651</v>
      </c>
      <c r="K652" s="36"/>
      <c r="L652" s="36"/>
      <c r="M652" s="36"/>
      <c r="N652" s="36"/>
      <c r="O652" s="3"/>
      <c r="P652" s="60"/>
      <c r="Q652" s="36"/>
    </row>
    <row r="653" spans="1:17" x14ac:dyDescent="0.3">
      <c r="P653" s="58"/>
    </row>
    <row r="654" spans="1:17" x14ac:dyDescent="0.3">
      <c r="P654" s="58"/>
    </row>
    <row r="655" spans="1:17" x14ac:dyDescent="0.3">
      <c r="P655" s="58"/>
    </row>
    <row r="656" spans="1:17" x14ac:dyDescent="0.3">
      <c r="P656" s="58"/>
    </row>
    <row r="657" spans="16:16" x14ac:dyDescent="0.3">
      <c r="P657" s="58"/>
    </row>
    <row r="658" spans="16:16" x14ac:dyDescent="0.3">
      <c r="P658" s="58"/>
    </row>
    <row r="659" spans="16:16" x14ac:dyDescent="0.3">
      <c r="P659" s="58"/>
    </row>
    <row r="660" spans="16:16" x14ac:dyDescent="0.3">
      <c r="P660" s="58"/>
    </row>
    <row r="661" spans="16:16" x14ac:dyDescent="0.3">
      <c r="P661" s="58"/>
    </row>
    <row r="662" spans="16:16" x14ac:dyDescent="0.3">
      <c r="P662" s="58"/>
    </row>
    <row r="663" spans="16:16" x14ac:dyDescent="0.3">
      <c r="P663" s="58"/>
    </row>
    <row r="664" spans="16:16" x14ac:dyDescent="0.3">
      <c r="P664" s="58"/>
    </row>
    <row r="665" spans="16:16" x14ac:dyDescent="0.3">
      <c r="P665" s="58"/>
    </row>
    <row r="666" spans="16:16" x14ac:dyDescent="0.3">
      <c r="P666" s="58"/>
    </row>
    <row r="667" spans="16:16" x14ac:dyDescent="0.3">
      <c r="P667" s="58"/>
    </row>
    <row r="668" spans="16:16" x14ac:dyDescent="0.3">
      <c r="P668" s="58"/>
    </row>
    <row r="669" spans="16:16" x14ac:dyDescent="0.3">
      <c r="P669" s="58"/>
    </row>
    <row r="670" spans="16:16" x14ac:dyDescent="0.3">
      <c r="P670" s="58"/>
    </row>
    <row r="671" spans="16:16" x14ac:dyDescent="0.3">
      <c r="P671" s="58"/>
    </row>
    <row r="672" spans="16:16" x14ac:dyDescent="0.3">
      <c r="P672" s="58"/>
    </row>
    <row r="673" spans="16:16" x14ac:dyDescent="0.3">
      <c r="P673" s="58"/>
    </row>
    <row r="674" spans="16:16" x14ac:dyDescent="0.3">
      <c r="P674" s="58"/>
    </row>
    <row r="675" spans="16:16" x14ac:dyDescent="0.3">
      <c r="P675" s="58"/>
    </row>
    <row r="676" spans="16:16" x14ac:dyDescent="0.3">
      <c r="P676" s="58"/>
    </row>
    <row r="677" spans="16:16" x14ac:dyDescent="0.3">
      <c r="P677" s="58"/>
    </row>
    <row r="678" spans="16:16" x14ac:dyDescent="0.3">
      <c r="P678" s="58"/>
    </row>
    <row r="679" spans="16:16" x14ac:dyDescent="0.3">
      <c r="P679" s="58"/>
    </row>
    <row r="680" spans="16:16" x14ac:dyDescent="0.3">
      <c r="P680" s="58"/>
    </row>
    <row r="681" spans="16:16" x14ac:dyDescent="0.3">
      <c r="P681" s="58"/>
    </row>
    <row r="682" spans="16:16" x14ac:dyDescent="0.3">
      <c r="P682" s="58"/>
    </row>
    <row r="683" spans="16:16" x14ac:dyDescent="0.3">
      <c r="P683" s="58"/>
    </row>
    <row r="684" spans="16:16" x14ac:dyDescent="0.3">
      <c r="P684" s="58"/>
    </row>
    <row r="685" spans="16:16" x14ac:dyDescent="0.3">
      <c r="P685" s="58"/>
    </row>
    <row r="686" spans="16:16" x14ac:dyDescent="0.3">
      <c r="P686" s="58"/>
    </row>
    <row r="687" spans="16:16" x14ac:dyDescent="0.3">
      <c r="P687" s="58"/>
    </row>
    <row r="688" spans="16:16" x14ac:dyDescent="0.3">
      <c r="P688" s="58"/>
    </row>
    <row r="689" spans="16:16" x14ac:dyDescent="0.3">
      <c r="P689" s="58"/>
    </row>
    <row r="690" spans="16:16" x14ac:dyDescent="0.3">
      <c r="P690" s="58"/>
    </row>
    <row r="691" spans="16:16" x14ac:dyDescent="0.3">
      <c r="P691" s="58"/>
    </row>
    <row r="692" spans="16:16" x14ac:dyDescent="0.3">
      <c r="P692" s="58"/>
    </row>
    <row r="693" spans="16:16" x14ac:dyDescent="0.3">
      <c r="P693" s="58"/>
    </row>
    <row r="694" spans="16:16" x14ac:dyDescent="0.3">
      <c r="P694" s="58"/>
    </row>
    <row r="695" spans="16:16" x14ac:dyDescent="0.3">
      <c r="P695" s="58"/>
    </row>
    <row r="696" spans="16:16" x14ac:dyDescent="0.3">
      <c r="P696" s="58"/>
    </row>
    <row r="697" spans="16:16" x14ac:dyDescent="0.3">
      <c r="P697" s="58"/>
    </row>
    <row r="698" spans="16:16" x14ac:dyDescent="0.3">
      <c r="P698" s="58"/>
    </row>
    <row r="699" spans="16:16" x14ac:dyDescent="0.3">
      <c r="P699" s="58"/>
    </row>
    <row r="700" spans="16:16" x14ac:dyDescent="0.3">
      <c r="P700" s="58"/>
    </row>
    <row r="701" spans="16:16" x14ac:dyDescent="0.3">
      <c r="P701" s="58"/>
    </row>
    <row r="702" spans="16:16" x14ac:dyDescent="0.3">
      <c r="P702" s="58"/>
    </row>
    <row r="703" spans="16:16" x14ac:dyDescent="0.3">
      <c r="P703" s="58"/>
    </row>
    <row r="704" spans="16:16" x14ac:dyDescent="0.3">
      <c r="P704" s="58"/>
    </row>
    <row r="705" spans="16:16" x14ac:dyDescent="0.3">
      <c r="P705" s="58"/>
    </row>
    <row r="706" spans="16:16" x14ac:dyDescent="0.3">
      <c r="P706" s="58"/>
    </row>
    <row r="707" spans="16:16" x14ac:dyDescent="0.3">
      <c r="P707" s="58"/>
    </row>
    <row r="708" spans="16:16" x14ac:dyDescent="0.3">
      <c r="P708" s="58"/>
    </row>
    <row r="709" spans="16:16" x14ac:dyDescent="0.3">
      <c r="P709" s="58"/>
    </row>
    <row r="710" spans="16:16" x14ac:dyDescent="0.3">
      <c r="P710" s="58"/>
    </row>
    <row r="711" spans="16:16" x14ac:dyDescent="0.3">
      <c r="P711" s="58"/>
    </row>
    <row r="712" spans="16:16" x14ac:dyDescent="0.3">
      <c r="P712" s="58"/>
    </row>
    <row r="713" spans="16:16" x14ac:dyDescent="0.3">
      <c r="P713" s="58"/>
    </row>
    <row r="714" spans="16:16" x14ac:dyDescent="0.3">
      <c r="P714" s="58"/>
    </row>
    <row r="715" spans="16:16" x14ac:dyDescent="0.3">
      <c r="P715" s="58"/>
    </row>
    <row r="716" spans="16:16" x14ac:dyDescent="0.3">
      <c r="P716" s="58"/>
    </row>
    <row r="717" spans="16:16" x14ac:dyDescent="0.3">
      <c r="P717" s="58"/>
    </row>
    <row r="718" spans="16:16" x14ac:dyDescent="0.3">
      <c r="P718" s="58"/>
    </row>
    <row r="719" spans="16:16" x14ac:dyDescent="0.3">
      <c r="P719" s="58"/>
    </row>
    <row r="720" spans="16:16" x14ac:dyDescent="0.3">
      <c r="P720" s="58"/>
    </row>
    <row r="721" spans="16:16" x14ac:dyDescent="0.3">
      <c r="P721" s="58"/>
    </row>
    <row r="722" spans="16:16" x14ac:dyDescent="0.3">
      <c r="P722" s="58"/>
    </row>
    <row r="723" spans="16:16" x14ac:dyDescent="0.3">
      <c r="P723" s="58"/>
    </row>
    <row r="724" spans="16:16" x14ac:dyDescent="0.3">
      <c r="P724" s="58"/>
    </row>
    <row r="725" spans="16:16" x14ac:dyDescent="0.3">
      <c r="P725" s="58"/>
    </row>
    <row r="726" spans="16:16" x14ac:dyDescent="0.3">
      <c r="P726" s="58"/>
    </row>
    <row r="727" spans="16:16" x14ac:dyDescent="0.3">
      <c r="P727" s="58"/>
    </row>
    <row r="728" spans="16:16" x14ac:dyDescent="0.3">
      <c r="P728" s="58"/>
    </row>
    <row r="729" spans="16:16" x14ac:dyDescent="0.3">
      <c r="P729" s="58"/>
    </row>
    <row r="730" spans="16:16" x14ac:dyDescent="0.3">
      <c r="P730" s="58"/>
    </row>
    <row r="731" spans="16:16" x14ac:dyDescent="0.3">
      <c r="P731" s="58"/>
    </row>
    <row r="732" spans="16:16" x14ac:dyDescent="0.3">
      <c r="P732" s="58"/>
    </row>
    <row r="733" spans="16:16" x14ac:dyDescent="0.3">
      <c r="P733" s="58"/>
    </row>
    <row r="734" spans="16:16" x14ac:dyDescent="0.3">
      <c r="P734" s="58"/>
    </row>
    <row r="735" spans="16:16" x14ac:dyDescent="0.3">
      <c r="P735" s="58"/>
    </row>
    <row r="736" spans="16:16" x14ac:dyDescent="0.3">
      <c r="P736" s="58"/>
    </row>
    <row r="737" spans="16:16" x14ac:dyDescent="0.3">
      <c r="P737" s="58"/>
    </row>
    <row r="738" spans="16:16" x14ac:dyDescent="0.3">
      <c r="P738" s="58"/>
    </row>
    <row r="739" spans="16:16" x14ac:dyDescent="0.3">
      <c r="P739" s="58"/>
    </row>
    <row r="740" spans="16:16" x14ac:dyDescent="0.3">
      <c r="P740" s="58"/>
    </row>
    <row r="741" spans="16:16" x14ac:dyDescent="0.3">
      <c r="P741" s="58"/>
    </row>
    <row r="742" spans="16:16" x14ac:dyDescent="0.3">
      <c r="P742" s="58"/>
    </row>
    <row r="743" spans="16:16" x14ac:dyDescent="0.3">
      <c r="P743" s="58"/>
    </row>
    <row r="744" spans="16:16" x14ac:dyDescent="0.3">
      <c r="P744" s="58"/>
    </row>
    <row r="745" spans="16:16" x14ac:dyDescent="0.3">
      <c r="P745" s="58"/>
    </row>
    <row r="746" spans="16:16" x14ac:dyDescent="0.3">
      <c r="P746" s="58"/>
    </row>
    <row r="747" spans="16:16" x14ac:dyDescent="0.3">
      <c r="P747" s="58"/>
    </row>
    <row r="748" spans="16:16" x14ac:dyDescent="0.3">
      <c r="P748" s="58"/>
    </row>
    <row r="749" spans="16:16" x14ac:dyDescent="0.3">
      <c r="P749" s="58"/>
    </row>
  </sheetData>
  <conditionalFormatting sqref="A2:A652">
    <cfRule type="duplicateValues" dxfId="11" priority="24"/>
  </conditionalFormatting>
  <pageMargins left="0.23622047244094491" right="0.11811023622047245" top="0.11811023622047245" bottom="0.15748031496062992" header="0.11811023622047245" footer="7.874015748031496E-2"/>
  <pageSetup paperSize="9" scale="8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>
    <tabColor theme="4" tint="0.59999389629810485"/>
  </sheetPr>
  <dimension ref="A1:I28"/>
  <sheetViews>
    <sheetView showGridLines="0" showRowColHeaders="0" workbookViewId="0">
      <pane xSplit="26" ySplit="58" topLeftCell="XFD" activePane="bottomRight" state="frozen"/>
      <selection pane="topRight" activeCell="AA1" sqref="AA1"/>
      <selection pane="bottomLeft" activeCell="A59" sqref="A59"/>
      <selection pane="bottomRight" activeCell="A4" sqref="A4"/>
    </sheetView>
  </sheetViews>
  <sheetFormatPr defaultColWidth="0" defaultRowHeight="14.4" zeroHeight="1" x14ac:dyDescent="0.3"/>
  <cols>
    <col min="1" max="1" width="23.88671875" bestFit="1" customWidth="1"/>
    <col min="2" max="2" width="21" bestFit="1" customWidth="1"/>
    <col min="3" max="9" width="9.109375" customWidth="1"/>
    <col min="10" max="16384" width="9.109375" hidden="1"/>
  </cols>
  <sheetData>
    <row r="1" spans="1:2" ht="31.5" customHeight="1" x14ac:dyDescent="0.3">
      <c r="A1" t="s">
        <v>18</v>
      </c>
      <c r="B1" t="s">
        <v>25</v>
      </c>
    </row>
    <row r="2" spans="1:2" x14ac:dyDescent="0.3"/>
    <row r="3" spans="1:2" x14ac:dyDescent="0.3">
      <c r="A3" t="s">
        <v>22</v>
      </c>
      <c r="B3" t="s">
        <v>24</v>
      </c>
    </row>
    <row r="4" spans="1:2" x14ac:dyDescent="0.3">
      <c r="A4" t="s">
        <v>398</v>
      </c>
      <c r="B4" t="s">
        <v>16</v>
      </c>
    </row>
    <row r="5" spans="1:2" x14ac:dyDescent="0.3">
      <c r="A5" s="94" t="s">
        <v>33</v>
      </c>
      <c r="B5" s="94" t="s">
        <v>24</v>
      </c>
    </row>
    <row r="6" spans="1:2" x14ac:dyDescent="0.3">
      <c r="A6" s="94" t="s">
        <v>56</v>
      </c>
      <c r="B6" s="94" t="s">
        <v>16</v>
      </c>
    </row>
    <row r="7" spans="1:2" x14ac:dyDescent="0.3"/>
    <row r="8" spans="1:2" x14ac:dyDescent="0.3"/>
    <row r="9" spans="1:2" x14ac:dyDescent="0.3"/>
    <row r="10" spans="1:2" x14ac:dyDescent="0.3"/>
    <row r="11" spans="1:2" x14ac:dyDescent="0.3"/>
    <row r="12" spans="1:2" x14ac:dyDescent="0.3"/>
    <row r="13" spans="1:2" x14ac:dyDescent="0.3"/>
    <row r="14" spans="1:2" x14ac:dyDescent="0.3"/>
    <row r="15" spans="1:2" x14ac:dyDescent="0.3"/>
    <row r="16" spans="1:2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</sheetData>
  <sheetProtection selectLockedCells="1" selectUn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7" filterMode="1"/>
  <dimension ref="A1:F28"/>
  <sheetViews>
    <sheetView showGridLines="0" showRowColHeaders="0" workbookViewId="0">
      <selection activeCell="B1" sqref="B1"/>
    </sheetView>
  </sheetViews>
  <sheetFormatPr defaultRowHeight="14.4" x14ac:dyDescent="0.3"/>
  <cols>
    <col min="1" max="1" width="14" bestFit="1" customWidth="1"/>
    <col min="2" max="2" width="12.109375" bestFit="1" customWidth="1"/>
    <col min="3" max="3" width="20.88671875" bestFit="1" customWidth="1"/>
  </cols>
  <sheetData>
    <row r="1" spans="1:6" x14ac:dyDescent="0.3">
      <c r="A1" s="113" t="s">
        <v>706</v>
      </c>
      <c r="B1" s="113" t="s">
        <v>707</v>
      </c>
      <c r="C1" s="113" t="s">
        <v>708</v>
      </c>
      <c r="F1" s="97" t="s">
        <v>714</v>
      </c>
    </row>
    <row r="2" spans="1:6" x14ac:dyDescent="0.3">
      <c r="A2" s="113" t="s">
        <v>728</v>
      </c>
      <c r="B2" s="113" t="s">
        <v>728</v>
      </c>
      <c r="C2" s="113" t="s">
        <v>709</v>
      </c>
    </row>
    <row r="3" spans="1:6" x14ac:dyDescent="0.3">
      <c r="A3" s="113" t="s">
        <v>728</v>
      </c>
      <c r="B3" s="113" t="s">
        <v>728</v>
      </c>
      <c r="C3" s="113" t="s">
        <v>713</v>
      </c>
    </row>
    <row r="4" spans="1:6" x14ac:dyDescent="0.3">
      <c r="A4" s="113" t="s">
        <v>728</v>
      </c>
      <c r="B4" s="113" t="s">
        <v>728</v>
      </c>
      <c r="C4" s="113" t="s">
        <v>711</v>
      </c>
    </row>
    <row r="5" spans="1:6" x14ac:dyDescent="0.3">
      <c r="A5" s="113" t="s">
        <v>728</v>
      </c>
      <c r="B5" s="113" t="s">
        <v>728</v>
      </c>
      <c r="C5" s="113" t="s">
        <v>710</v>
      </c>
    </row>
    <row r="6" spans="1:6" x14ac:dyDescent="0.3">
      <c r="A6" s="113" t="s">
        <v>728</v>
      </c>
      <c r="B6" s="113" t="s">
        <v>728</v>
      </c>
      <c r="C6" s="113" t="s">
        <v>712</v>
      </c>
    </row>
    <row r="7" spans="1:6" x14ac:dyDescent="0.3">
      <c r="A7" s="113" t="s">
        <v>728</v>
      </c>
      <c r="B7" s="113" t="s">
        <v>728</v>
      </c>
      <c r="C7" s="113" t="s">
        <v>707</v>
      </c>
    </row>
    <row r="8" spans="1:6" x14ac:dyDescent="0.3">
      <c r="A8" s="113"/>
      <c r="B8" s="113"/>
      <c r="C8" s="113"/>
    </row>
    <row r="9" spans="1:6" x14ac:dyDescent="0.3">
      <c r="A9" s="113"/>
      <c r="B9" s="113"/>
      <c r="C9" s="113"/>
    </row>
    <row r="10" spans="1:6" x14ac:dyDescent="0.3">
      <c r="A10" s="113"/>
      <c r="B10" s="113"/>
      <c r="C10" s="113"/>
    </row>
    <row r="11" spans="1:6" x14ac:dyDescent="0.3">
      <c r="A11" s="113"/>
      <c r="B11" s="113"/>
      <c r="C11" s="113"/>
    </row>
    <row r="12" spans="1:6" x14ac:dyDescent="0.3">
      <c r="A12" s="113"/>
      <c r="B12" s="113"/>
      <c r="C12" s="113"/>
    </row>
    <row r="13" spans="1:6" x14ac:dyDescent="0.3">
      <c r="A13" s="113"/>
      <c r="B13" s="113"/>
      <c r="C13" s="113"/>
    </row>
    <row r="14" spans="1:6" x14ac:dyDescent="0.3">
      <c r="A14" s="113"/>
      <c r="B14" s="113"/>
      <c r="C14" s="113"/>
    </row>
    <row r="15" spans="1:6" x14ac:dyDescent="0.3">
      <c r="A15" s="113"/>
      <c r="B15" s="113"/>
      <c r="C15" s="113"/>
    </row>
    <row r="16" spans="1:6" x14ac:dyDescent="0.3">
      <c r="A16" s="113"/>
      <c r="B16" s="113"/>
      <c r="C16" s="113"/>
    </row>
    <row r="17" spans="1:3" x14ac:dyDescent="0.3">
      <c r="A17" s="113"/>
      <c r="B17" s="113"/>
      <c r="C17" s="113"/>
    </row>
    <row r="18" spans="1:3" x14ac:dyDescent="0.3">
      <c r="A18" s="113"/>
      <c r="B18" s="113"/>
      <c r="C18" s="113"/>
    </row>
    <row r="19" spans="1:3" x14ac:dyDescent="0.3">
      <c r="A19" s="113"/>
      <c r="B19" s="113"/>
      <c r="C19" s="113"/>
    </row>
    <row r="20" spans="1:3" x14ac:dyDescent="0.3">
      <c r="A20" s="113"/>
      <c r="B20" s="113"/>
      <c r="C20" s="113"/>
    </row>
    <row r="21" spans="1:3" x14ac:dyDescent="0.3">
      <c r="A21" s="113"/>
      <c r="B21" s="113"/>
      <c r="C21" s="113"/>
    </row>
    <row r="22" spans="1:3" x14ac:dyDescent="0.3">
      <c r="A22" s="113"/>
      <c r="B22" s="113"/>
      <c r="C22" s="113"/>
    </row>
    <row r="23" spans="1:3" x14ac:dyDescent="0.3">
      <c r="A23" s="113"/>
      <c r="B23" s="113"/>
      <c r="C23" s="113"/>
    </row>
    <row r="24" spans="1:3" x14ac:dyDescent="0.3">
      <c r="A24" s="113"/>
      <c r="B24" s="113"/>
      <c r="C24" s="113"/>
    </row>
    <row r="25" spans="1:3" x14ac:dyDescent="0.3">
      <c r="A25" s="113"/>
      <c r="B25" s="113"/>
      <c r="C25" s="113"/>
    </row>
    <row r="26" spans="1:3" x14ac:dyDescent="0.3">
      <c r="A26" s="113"/>
      <c r="B26" s="113"/>
      <c r="C26" s="113"/>
    </row>
    <row r="27" spans="1:3" x14ac:dyDescent="0.3">
      <c r="A27" s="113"/>
      <c r="B27" s="113"/>
      <c r="C27" s="113"/>
    </row>
    <row r="28" spans="1:3" x14ac:dyDescent="0.3">
      <c r="A28" s="113"/>
      <c r="B28" s="113"/>
      <c r="C28" s="113"/>
    </row>
  </sheetData>
  <autoFilter ref="A1:C7" xr:uid="{00000000-0009-0000-0000-000005000000}">
    <filterColumn colId="0">
      <filters>
        <filter val="ADMIN"/>
      </filters>
    </filterColumn>
    <filterColumn colId="1">
      <filters>
        <filter val="admin"/>
      </filters>
    </filterColumn>
  </autoFilter>
  <hyperlinks>
    <hyperlink ref="F1" location="Menu!A1" display="Menu!A1" xr:uid="{00000000-0004-0000-05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>
    <tabColor theme="4" tint="0.39997558519241921"/>
  </sheetPr>
  <dimension ref="A1:AK41"/>
  <sheetViews>
    <sheetView showGridLines="0" showRowColHeaders="0" showZeros="0" zoomScale="110" zoomScaleNormal="110" zoomScaleSheetLayoutView="100" workbookViewId="0">
      <pane xSplit="37" ySplit="41" topLeftCell="AL" activePane="bottomRight" state="frozen"/>
      <selection pane="topRight" activeCell="AL1" sqref="AL1"/>
      <selection pane="bottomLeft" activeCell="A42" sqref="A42"/>
      <selection pane="bottomRight" activeCell="J29" sqref="J29:Y30"/>
    </sheetView>
  </sheetViews>
  <sheetFormatPr defaultColWidth="0" defaultRowHeight="11.25" customHeight="1" zeroHeight="1" x14ac:dyDescent="0.3"/>
  <cols>
    <col min="1" max="36" width="3.6640625" customWidth="1"/>
    <col min="37" max="37" width="3.6640625" hidden="1" customWidth="1"/>
    <col min="38" max="16384" width="3.6640625" hidden="1"/>
  </cols>
  <sheetData>
    <row r="1" spans="1:37" ht="33" customHeight="1" x14ac:dyDescent="0.3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</row>
    <row r="2" spans="1:37" ht="11.25" customHeight="1" x14ac:dyDescent="0.3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</row>
    <row r="3" spans="1:37" ht="11.25" customHeight="1" x14ac:dyDescent="0.3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</row>
    <row r="4" spans="1:37" ht="11.25" customHeight="1" x14ac:dyDescent="0.3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</row>
    <row r="5" spans="1:37" ht="11.25" customHeight="1" x14ac:dyDescent="0.3">
      <c r="A5" s="111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</row>
    <row r="6" spans="1:37" ht="11.25" customHeight="1" x14ac:dyDescent="0.3">
      <c r="A6" s="111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</row>
    <row r="7" spans="1:37" ht="11.25" customHeight="1" x14ac:dyDescent="0.3">
      <c r="A7" s="111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</row>
    <row r="8" spans="1:37" ht="11.25" customHeight="1" x14ac:dyDescent="0.3">
      <c r="A8" s="111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</row>
    <row r="9" spans="1:37" ht="11.25" customHeight="1" x14ac:dyDescent="0.3">
      <c r="A9" s="111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</row>
    <row r="10" spans="1:37" ht="11.25" customHeight="1" x14ac:dyDescent="0.3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</row>
    <row r="11" spans="1:37" ht="11.25" customHeight="1" x14ac:dyDescent="0.3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/>
      <c r="AH11" s="111"/>
      <c r="AI11" s="111"/>
      <c r="AJ11" s="111"/>
      <c r="AK11" s="111"/>
    </row>
    <row r="12" spans="1:37" ht="11.25" customHeight="1" x14ac:dyDescent="0.3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K12" s="111"/>
    </row>
    <row r="13" spans="1:37" ht="11.25" customHeight="1" x14ac:dyDescent="0.3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F13" s="111"/>
      <c r="AG13" s="111"/>
      <c r="AH13" s="111"/>
      <c r="AI13" s="111"/>
      <c r="AJ13" s="111"/>
      <c r="AK13" s="111"/>
    </row>
    <row r="14" spans="1:37" ht="11.25" customHeight="1" x14ac:dyDescent="0.3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</row>
    <row r="15" spans="1:37" ht="11.25" customHeight="1" x14ac:dyDescent="0.3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11"/>
      <c r="AJ15" s="111"/>
      <c r="AK15" s="111"/>
    </row>
    <row r="16" spans="1:37" ht="11.25" customHeight="1" x14ac:dyDescent="0.3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11"/>
      <c r="AJ16" s="111"/>
      <c r="AK16" s="111"/>
    </row>
    <row r="17" spans="1:37" ht="11.25" customHeight="1" x14ac:dyDescent="0.3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</row>
    <row r="18" spans="1:37" ht="11.25" customHeight="1" x14ac:dyDescent="0.3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</row>
    <row r="19" spans="1:37" ht="11.25" customHeight="1" x14ac:dyDescent="0.3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</row>
    <row r="20" spans="1:37" ht="11.25" customHeight="1" x14ac:dyDescent="0.3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</row>
    <row r="21" spans="1:37" ht="11.25" customHeight="1" x14ac:dyDescent="0.3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111"/>
      <c r="AK21" s="111"/>
    </row>
    <row r="22" spans="1:37" ht="11.25" customHeight="1" x14ac:dyDescent="0.3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</row>
    <row r="23" spans="1:37" ht="11.25" customHeight="1" x14ac:dyDescent="0.3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  <c r="AE23" s="111"/>
      <c r="AF23" s="111"/>
      <c r="AG23" s="111"/>
      <c r="AH23" s="111"/>
      <c r="AI23" s="111"/>
      <c r="AJ23" s="111"/>
      <c r="AK23" s="111"/>
    </row>
    <row r="24" spans="1:37" ht="11.25" customHeight="1" x14ac:dyDescent="0.3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1"/>
      <c r="AJ24" s="111"/>
      <c r="AK24" s="111"/>
    </row>
    <row r="25" spans="1:37" ht="11.25" customHeight="1" x14ac:dyDescent="0.3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</row>
    <row r="26" spans="1:37" ht="11.25" customHeight="1" x14ac:dyDescent="0.3">
      <c r="A26" s="111"/>
      <c r="B26" s="111"/>
      <c r="C26" s="111"/>
      <c r="D26" s="111"/>
      <c r="E26" s="111"/>
      <c r="F26" s="111"/>
      <c r="G26" s="111"/>
      <c r="H26" s="111"/>
      <c r="I26" s="111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</row>
    <row r="27" spans="1:37" ht="11.25" customHeight="1" x14ac:dyDescent="0.3">
      <c r="A27" s="111"/>
      <c r="B27" s="111"/>
      <c r="C27" s="111"/>
      <c r="D27" s="111"/>
      <c r="E27" s="111"/>
      <c r="F27" s="111"/>
      <c r="G27" s="111"/>
      <c r="H27" s="111"/>
      <c r="I27" s="111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11"/>
      <c r="AA27" s="111"/>
      <c r="AB27" s="111"/>
      <c r="AC27" s="111"/>
      <c r="AD27" s="111"/>
      <c r="AE27" s="111"/>
      <c r="AF27" s="111"/>
      <c r="AG27" s="111"/>
      <c r="AH27" s="111"/>
      <c r="AI27" s="111"/>
      <c r="AJ27" s="111"/>
      <c r="AK27" s="111"/>
    </row>
    <row r="28" spans="1:37" ht="11.25" customHeight="1" x14ac:dyDescent="0.3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</row>
    <row r="29" spans="1:37" ht="11.25" customHeight="1" x14ac:dyDescent="0.3">
      <c r="A29" s="111"/>
      <c r="B29" s="111"/>
      <c r="C29" s="111"/>
      <c r="D29" s="111"/>
      <c r="E29" s="111"/>
      <c r="F29" s="111"/>
      <c r="G29" s="111"/>
      <c r="H29" s="111"/>
      <c r="I29" s="111"/>
      <c r="J29" s="124">
        <f ca="1">TODAY()</f>
        <v>45914</v>
      </c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11"/>
      <c r="AA29" s="111"/>
      <c r="AB29" s="111"/>
      <c r="AC29" s="111"/>
      <c r="AD29" s="111"/>
      <c r="AE29" s="111"/>
      <c r="AF29" s="111"/>
      <c r="AG29" s="111"/>
      <c r="AH29" s="111"/>
      <c r="AI29" s="111"/>
      <c r="AJ29" s="111"/>
      <c r="AK29" s="111"/>
    </row>
    <row r="30" spans="1:37" ht="11.25" customHeight="1" x14ac:dyDescent="0.3">
      <c r="A30" s="111"/>
      <c r="B30" s="111"/>
      <c r="C30" s="111"/>
      <c r="D30" s="111"/>
      <c r="E30" s="111"/>
      <c r="F30" s="111"/>
      <c r="G30" s="111"/>
      <c r="H30" s="111"/>
      <c r="I30" s="111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</row>
    <row r="31" spans="1:37" ht="11.25" customHeight="1" x14ac:dyDescent="0.3">
      <c r="A31" s="111"/>
      <c r="B31" s="111"/>
      <c r="C31" s="111"/>
      <c r="D31" s="111"/>
      <c r="E31" s="111"/>
      <c r="F31" s="111"/>
      <c r="G31" s="111"/>
      <c r="H31" s="111"/>
      <c r="I31" s="111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</row>
    <row r="32" spans="1:37" ht="11.25" customHeight="1" x14ac:dyDescent="0.3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2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</row>
    <row r="33" spans="1:37" ht="11.25" customHeight="1" x14ac:dyDescent="0.3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</row>
    <row r="34" spans="1:37" ht="11.25" customHeight="1" x14ac:dyDescent="0.3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</row>
    <row r="35" spans="1:37" ht="11.25" customHeight="1" x14ac:dyDescent="0.3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</row>
    <row r="36" spans="1:37" ht="11.25" customHeight="1" x14ac:dyDescent="0.3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</row>
    <row r="37" spans="1:37" ht="11.25" customHeight="1" x14ac:dyDescent="0.3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</row>
    <row r="38" spans="1:37" ht="11.25" customHeight="1" x14ac:dyDescent="0.3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</row>
    <row r="39" spans="1:37" ht="11.25" customHeight="1" x14ac:dyDescent="0.3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</row>
    <row r="40" spans="1:37" ht="11.25" customHeight="1" x14ac:dyDescent="0.3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</row>
    <row r="41" spans="1:37" ht="11.25" customHeight="1" x14ac:dyDescent="0.3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</row>
  </sheetData>
  <sheetProtection selectLockedCells="1" selectUnlockedCells="1"/>
  <mergeCells count="4">
    <mergeCell ref="K24:X25"/>
    <mergeCell ref="J26:Y27"/>
    <mergeCell ref="J29:Y30"/>
    <mergeCell ref="J31:Y31"/>
  </mergeCells>
  <pageMargins left="0.11" right="0.05" top="0.62" bottom="0.75" header="0.3" footer="0.3"/>
  <pageSetup paperSize="9" scale="10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</vt:i4>
      </vt:variant>
    </vt:vector>
  </HeadingPairs>
  <TitlesOfParts>
    <vt:vector size="11" baseType="lpstr">
      <vt:lpstr>Entrada e Saída</vt:lpstr>
      <vt:lpstr>Consulta Estoque</vt:lpstr>
      <vt:lpstr>Registro de Inventário</vt:lpstr>
      <vt:lpstr>Cadastro de Produtos</vt:lpstr>
      <vt:lpstr>Cadastros Gerais</vt:lpstr>
      <vt:lpstr>Senha</vt:lpstr>
      <vt:lpstr>Menu</vt:lpstr>
      <vt:lpstr>'Cadastro de Produtos'!Area_de_extracao</vt:lpstr>
      <vt:lpstr>'Consulta Estoque'!Area_de_extracao</vt:lpstr>
      <vt:lpstr>'Consulta Estoque'!Criterios</vt:lpstr>
      <vt:lpstr>TabelaEstoque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Faustino</dc:creator>
  <cp:lastModifiedBy>Vicente Faustino</cp:lastModifiedBy>
  <cp:lastPrinted>2015-08-04T10:51:41Z</cp:lastPrinted>
  <dcterms:created xsi:type="dcterms:W3CDTF">2013-01-19T13:48:59Z</dcterms:created>
  <dcterms:modified xsi:type="dcterms:W3CDTF">2025-09-14T16:04:01Z</dcterms:modified>
</cp:coreProperties>
</file>